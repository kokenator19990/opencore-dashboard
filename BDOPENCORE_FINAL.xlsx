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5" autoFilterDateGrouping="1"/>
  </bookViews>
  <sheets>
    <sheet xmlns:r="http://schemas.openxmlformats.org/officeDocument/2006/relationships" name="Métricas" sheetId="1" state="visible" r:id="rId1"/>
    <sheet xmlns:r="http://schemas.openxmlformats.org/officeDocument/2006/relationships" name="INTELIGENCIA_MERCADO" sheetId="2" state="visible" r:id="rId2"/>
    <sheet xmlns:r="http://schemas.openxmlformats.org/officeDocument/2006/relationships" name="CUENTAS_VIP_TOP" sheetId="3" state="visible" r:id="rId3"/>
    <sheet xmlns:r="http://schemas.openxmlformats.org/officeDocument/2006/relationships" name="BASE_COMPLETA_LIMPIA" sheetId="4" state="visible" r:id="rId4"/>
    <sheet xmlns:r="http://schemas.openxmlformats.org/officeDocument/2006/relationships" name="OUTREACH_LINKEDIN" sheetId="5" state="visible" r:id="rId5"/>
    <sheet xmlns:r="http://schemas.openxmlformats.org/officeDocument/2006/relationships" name="NOTAS_DASHBOARD" sheetId="6" state="visible" r:id="rId6"/>
  </sheets>
  <definedNames/>
  <calcPr calcId="124519" fullCalcOnLoad="1" refMode="A1" iterate="0" iterateCount="100" iterateDelta="0.0001"/>
</workbook>
</file>

<file path=xl/styles.xml><?xml version="1.0" encoding="utf-8"?>
<styleSheet xmlns="http://schemas.openxmlformats.org/spreadsheetml/2006/main">
  <numFmts count="2">
    <numFmt numFmtId="164" formatCode="0.0%"/>
    <numFmt numFmtId="165" formatCode="dd/mm/yyyy"/>
  </numFmts>
  <fonts count="23">
    <font>
      <name val="Calibri"/>
      <charset val="1"/>
      <family val="0"/>
      <color theme="1"/>
      <sz val="11"/>
    </font>
    <font>
      <name val="Arial"/>
      <family val="0"/>
      <sz val="10"/>
    </font>
    <font>
      <name val="Arial"/>
      <family val="0"/>
      <sz val="10"/>
    </font>
    <font>
      <name val="Arial"/>
      <family val="0"/>
      <sz val="10"/>
    </font>
    <font>
      <name val="Calibri"/>
      <charset val="1"/>
      <family val="0"/>
      <b val="1"/>
      <color rgb="FF1B2A4A"/>
      <sz val="16"/>
    </font>
    <font>
      <name val="Calibri"/>
      <charset val="1"/>
      <family val="0"/>
      <color rgb="FF808080"/>
      <sz val="9"/>
    </font>
    <font>
      <name val="Calibri"/>
      <charset val="1"/>
      <family val="0"/>
      <b val="1"/>
      <color rgb="FF1B2A4A"/>
      <sz val="20"/>
    </font>
    <font>
      <name val="Calibri"/>
      <charset val="1"/>
      <family val="0"/>
      <b val="1"/>
      <color rgb="FF70AD47"/>
      <sz val="20"/>
    </font>
    <font>
      <name val="Calibri"/>
      <charset val="1"/>
      <family val="0"/>
      <b val="1"/>
      <color rgb="FFED7D31"/>
      <sz val="20"/>
    </font>
    <font>
      <name val="Calibri"/>
      <charset val="1"/>
      <family val="0"/>
      <b val="1"/>
      <color rgb="FF2E75B6"/>
      <sz val="20"/>
    </font>
    <font>
      <name val="Calibri"/>
      <charset val="1"/>
      <family val="0"/>
      <b val="1"/>
      <color rgb="FFFFFFFF"/>
      <sz val="12"/>
    </font>
    <font>
      <name val="Calibri"/>
      <charset val="1"/>
      <family val="0"/>
      <b val="1"/>
      <color rgb="FFFFFFFF"/>
      <sz val="11"/>
    </font>
    <font>
      <name val="Calibri"/>
      <charset val="1"/>
      <family val="0"/>
      <b val="1"/>
      <color rgb="FF1B2A4A"/>
      <sz val="10"/>
    </font>
    <font>
      <name val="Calibri"/>
      <charset val="1"/>
      <family val="0"/>
      <color rgb="FF1B2A4A"/>
      <sz val="10"/>
    </font>
    <font>
      <name val="Calibri"/>
      <family val="2"/>
      <b val="1"/>
      <color rgb="FF757575"/>
      <sz val="18"/>
    </font>
    <font>
      <name val="Calibri"/>
      <family val="2"/>
      <color rgb="FF000000"/>
      <sz val="10"/>
    </font>
    <font>
      <name val="Calibri"/>
      <family val="2"/>
      <b val="1"/>
      <color rgb="FF000000"/>
      <sz val="10"/>
    </font>
    <font>
      <name val="Calibri"/>
      <family val="2"/>
      <color rgb="FF1A1A1A"/>
      <sz val="10"/>
    </font>
    <font>
      <name val="Calibri"/>
      <charset val="1"/>
      <family val="0"/>
      <color rgb="FF0000FF"/>
      <sz val="11"/>
      <u val="single"/>
    </font>
    <font>
      <name val="Calibri"/>
      <charset val="1"/>
      <family val="0"/>
      <color rgb="FF000000"/>
      <sz val="11"/>
    </font>
    <font>
      <name val="Calibri"/>
      <charset val="1"/>
      <family val="0"/>
      <b val="1"/>
      <color rgb="FFFFFFFF"/>
      <sz val="10"/>
    </font>
    <font>
      <name val="Calibri"/>
      <charset val="1"/>
      <family val="0"/>
      <sz val="9"/>
    </font>
    <font>
      <name val="Calibri"/>
      <charset val="1"/>
      <family val="0"/>
      <i val="1"/>
      <color rgb="FF666666"/>
      <sz val="9"/>
    </font>
  </fonts>
  <fills count="12">
    <fill>
      <patternFill/>
    </fill>
    <fill>
      <patternFill patternType="gray125"/>
    </fill>
    <fill>
      <patternFill patternType="solid">
        <fgColor rgb="FF1B2A4A"/>
        <bgColor rgb="FF1A3A5C"/>
      </patternFill>
    </fill>
    <fill>
      <patternFill patternType="solid">
        <fgColor rgb="FF2E75B6"/>
        <bgColor rgb="FF4F81BD"/>
      </patternFill>
    </fill>
    <fill>
      <patternFill patternType="solid">
        <fgColor rgb="FFF2F2F2"/>
        <bgColor rgb="FFEAF3FB"/>
      </patternFill>
    </fill>
    <fill>
      <patternFill patternType="solid">
        <fgColor rgb="FFD6E4F0"/>
        <bgColor rgb="FFD9D9D9"/>
      </patternFill>
    </fill>
    <fill>
      <patternFill patternType="solid">
        <fgColor rgb="FF1F497D"/>
        <bgColor rgb="FF1A3A5C"/>
      </patternFill>
    </fill>
    <fill>
      <patternFill patternType="solid">
        <fgColor rgb="FFFFF2CC"/>
        <bgColor rgb="FFF2F2F2"/>
      </patternFill>
    </fill>
    <fill>
      <patternFill patternType="solid">
        <fgColor rgb="FF00FFFF"/>
        <bgColor rgb="FF00FFFF"/>
      </patternFill>
    </fill>
    <fill>
      <patternFill patternType="solid">
        <fgColor rgb="FFB6D7A8"/>
        <bgColor rgb="FFCCCCCC"/>
      </patternFill>
    </fill>
    <fill>
      <patternFill patternType="solid">
        <fgColor rgb="FF1A3A5C"/>
        <bgColor rgb="FF1B2A4A"/>
      </patternFill>
    </fill>
    <fill>
      <patternFill patternType="solid">
        <fgColor rgb="FFEAF3FB"/>
        <bgColor rgb="FFF2F2F2"/>
      </patternFill>
    </fill>
  </fills>
  <borders count="5">
    <border>
      <left/>
      <right/>
      <top/>
      <bottom/>
      <diagonal/>
    </border>
    <border>
      <left style="thin">
        <color rgb="FFD9D9D9"/>
      </left>
      <right style="thin">
        <color rgb="FFD9D9D9"/>
      </right>
      <top style="thin">
        <color rgb="FFD9D9D9"/>
      </top>
      <bottom style="thin">
        <color rgb="FFD9D9D9"/>
      </bottom>
      <diagonal/>
    </border>
    <border>
      <left style="thin">
        <color rgb="FFBFBFBF"/>
      </left>
      <right style="thin">
        <color rgb="FFBFBFBF"/>
      </right>
      <top style="thin">
        <color rgb="FFBFBFBF"/>
      </top>
      <bottom style="thin">
        <color rgb="FFBFBFBF"/>
      </bottom>
      <diagonal/>
    </border>
    <border>
      <left style="thin">
        <color rgb="FFD3D3D3"/>
      </left>
      <right style="thin">
        <color rgb="FFD3D3D3"/>
      </right>
      <top style="thin">
        <color rgb="FFD3D3D3"/>
      </top>
      <bottom style="thin">
        <color rgb="FFD3D3D3"/>
      </bottom>
      <diagonal/>
    </border>
    <border>
      <left style="thin">
        <color rgb="FFCCCCCC"/>
      </left>
      <right style="thin">
        <color rgb="FFCCCCCC"/>
      </right>
      <top style="thin">
        <color rgb="FFCCCCCC"/>
      </top>
      <bottom style="thin">
        <color rgb="FFCCCC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7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left" vertical="center"/>
    </xf>
    <xf numFmtId="0" fontId="5" fillId="0" borderId="0" applyAlignment="1" pivotButton="0" quotePrefix="0" xfId="0">
      <alignment horizontal="center" vertical="center"/>
    </xf>
    <xf numFmtId="0" fontId="6" fillId="0" borderId="0" applyAlignment="1" pivotButton="0" quotePrefix="0" xfId="0">
      <alignment horizontal="center" vertical="center"/>
    </xf>
    <xf numFmtId="0" fontId="7" fillId="0" borderId="0" applyAlignment="1" pivotButton="0" quotePrefix="0" xfId="0">
      <alignment horizontal="center" vertical="center"/>
    </xf>
    <xf numFmtId="0" fontId="8" fillId="0" borderId="0" applyAlignment="1" pivotButton="0" quotePrefix="0" xfId="0">
      <alignment horizontal="center" vertical="center"/>
    </xf>
    <xf numFmtId="0" fontId="9" fillId="0" borderId="0" applyAlignment="1" pivotButton="0" quotePrefix="0" xfId="0">
      <alignment horizontal="center" vertical="center"/>
    </xf>
    <xf numFmtId="164" fontId="7" fillId="0" borderId="0" applyAlignment="1" pivotButton="0" quotePrefix="0" xfId="0">
      <alignment horizontal="center" vertical="center"/>
    </xf>
    <xf numFmtId="0" fontId="10" fillId="2" borderId="1" applyAlignment="1" pivotButton="0" quotePrefix="0" xfId="0">
      <alignment horizontal="center" vertical="center"/>
    </xf>
    <xf numFmtId="0" fontId="11" fillId="3" borderId="1" applyAlignment="1" pivotButton="0" quotePrefix="0" xfId="0">
      <alignment horizontal="center" vertical="center"/>
    </xf>
    <xf numFmtId="0" fontId="12" fillId="4" borderId="1" applyAlignment="1" pivotButton="0" quotePrefix="0" xfId="0">
      <alignment horizontal="left" vertical="center"/>
    </xf>
    <xf numFmtId="0" fontId="13" fillId="4" borderId="1" applyAlignment="1" pivotButton="0" quotePrefix="0" xfId="0">
      <alignment horizontal="center" vertical="center"/>
    </xf>
    <xf numFmtId="0" fontId="12" fillId="4" borderId="1" applyAlignment="1" pivotButton="0" quotePrefix="0" xfId="0">
      <alignment horizontal="center" vertical="center"/>
    </xf>
    <xf numFmtId="0" fontId="12" fillId="5" borderId="1" applyAlignment="1" pivotButton="0" quotePrefix="0" xfId="0">
      <alignment horizontal="left" vertical="center"/>
    </xf>
    <xf numFmtId="0" fontId="13" fillId="5" borderId="1" applyAlignment="1" pivotButton="0" quotePrefix="0" xfId="0">
      <alignment horizontal="center" vertical="center"/>
    </xf>
    <xf numFmtId="0" fontId="12" fillId="5" borderId="1" applyAlignment="1" pivotButton="0" quotePrefix="0" xfId="0">
      <alignment horizontal="center" vertical="center"/>
    </xf>
    <xf numFmtId="164" fontId="12" fillId="4" borderId="1" applyAlignment="1" pivotButton="0" quotePrefix="0" xfId="0">
      <alignment horizontal="center" vertical="center"/>
    </xf>
    <xf numFmtId="164" fontId="12" fillId="5" borderId="1" applyAlignment="1" pivotButton="0" quotePrefix="0" xfId="0">
      <alignment horizontal="center" vertical="center"/>
    </xf>
    <xf numFmtId="164" fontId="13" fillId="4" borderId="1" applyAlignment="1" pivotButton="0" quotePrefix="0" xfId="0">
      <alignment horizontal="center" vertical="center"/>
    </xf>
    <xf numFmtId="164" fontId="13" fillId="5" borderId="1" applyAlignment="1" pivotButton="0" quotePrefix="0" xfId="0">
      <alignment horizontal="center" vertical="center"/>
    </xf>
    <xf numFmtId="0" fontId="11" fillId="6" borderId="2" applyAlignment="1" pivotButton="0" quotePrefix="0" xfId="0">
      <alignment horizontal="center" vertical="center"/>
    </xf>
    <xf numFmtId="0" fontId="0" fillId="0" borderId="0" applyAlignment="1" pivotButton="0" quotePrefix="0" xfId="0">
      <alignment horizontal="general" vertical="bottom"/>
    </xf>
    <xf numFmtId="0" fontId="0" fillId="7" borderId="3" applyAlignment="1" pivotButton="0" quotePrefix="0" xfId="0">
      <alignment horizontal="general" vertical="bottom"/>
    </xf>
    <xf numFmtId="0" fontId="18" fillId="7" borderId="0" applyAlignment="1" pivotButton="0" quotePrefix="0" xfId="0">
      <alignment horizontal="general" vertical="bottom"/>
    </xf>
    <xf numFmtId="0" fontId="19" fillId="7" borderId="2" applyAlignment="1" pivotButton="0" quotePrefix="0" xfId="0">
      <alignment horizontal="center" vertical="center"/>
    </xf>
    <xf numFmtId="165" fontId="19" fillId="7" borderId="2" applyAlignment="1" pivotButton="0" quotePrefix="0" xfId="0">
      <alignment horizontal="center" vertical="center"/>
    </xf>
    <xf numFmtId="0" fontId="0" fillId="7" borderId="0" applyAlignment="1" pivotButton="0" quotePrefix="0" xfId="0">
      <alignment horizontal="general" vertical="bottom"/>
    </xf>
    <xf numFmtId="0" fontId="18" fillId="8" borderId="0" applyAlignment="1" pivotButton="0" quotePrefix="0" xfId="0">
      <alignment horizontal="general" vertical="bottom"/>
    </xf>
    <xf numFmtId="0" fontId="0" fillId="9" borderId="3" applyAlignment="1" pivotButton="0" quotePrefix="0" xfId="0">
      <alignment horizontal="general" vertical="bottom"/>
    </xf>
    <xf numFmtId="0" fontId="0" fillId="0" borderId="3" applyAlignment="1" pivotButton="0" quotePrefix="0" xfId="0">
      <alignment horizontal="general" vertical="bottom"/>
    </xf>
    <xf numFmtId="165" fontId="0" fillId="0" borderId="0" applyAlignment="1" pivotButton="0" quotePrefix="0" xfId="0">
      <alignment horizontal="general" vertical="bottom"/>
    </xf>
    <xf numFmtId="0" fontId="20" fillId="10" borderId="4" applyAlignment="1" pivotButton="0" quotePrefix="0" xfId="0">
      <alignment horizontal="center" vertical="center"/>
    </xf>
    <xf numFmtId="0" fontId="21" fillId="0" borderId="4" applyAlignment="1" pivotButton="0" quotePrefix="0" xfId="0">
      <alignment horizontal="left" vertical="center"/>
    </xf>
    <xf numFmtId="0" fontId="21" fillId="0" borderId="4" applyAlignment="1" pivotButton="0" quotePrefix="0" xfId="0">
      <alignment horizontal="left" vertical="top" wrapText="1"/>
    </xf>
    <xf numFmtId="0" fontId="22" fillId="11" borderId="4" applyAlignment="1" pivotButton="0" quotePrefix="0" xfId="0">
      <alignment horizontal="left" vertical="center"/>
    </xf>
    <xf numFmtId="0" fontId="21" fillId="0" borderId="4"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left" vertical="center"/>
    </xf>
    <xf numFmtId="0" fontId="5" fillId="0" borderId="0" applyAlignment="1" pivotButton="0" quotePrefix="0" xfId="0">
      <alignment horizontal="center" vertical="center"/>
    </xf>
    <xf numFmtId="0" fontId="6" fillId="0" borderId="0" applyAlignment="1" pivotButton="0" quotePrefix="0" xfId="0">
      <alignment horizontal="center" vertical="center"/>
    </xf>
    <xf numFmtId="0" fontId="7" fillId="0" borderId="0" applyAlignment="1" pivotButton="0" quotePrefix="0" xfId="0">
      <alignment horizontal="center" vertical="center"/>
    </xf>
    <xf numFmtId="0" fontId="8" fillId="0" borderId="0" applyAlignment="1" pivotButton="0" quotePrefix="0" xfId="0">
      <alignment horizontal="center" vertical="center"/>
    </xf>
    <xf numFmtId="0" fontId="9" fillId="0" borderId="0" applyAlignment="1" pivotButton="0" quotePrefix="0" xfId="0">
      <alignment horizontal="center" vertical="center"/>
    </xf>
    <xf numFmtId="164" fontId="7" fillId="0" borderId="0" applyAlignment="1" pivotButton="0" quotePrefix="0" xfId="0">
      <alignment horizontal="center" vertical="center"/>
    </xf>
    <xf numFmtId="0" fontId="10" fillId="2" borderId="1" applyAlignment="1" pivotButton="0" quotePrefix="0" xfId="0">
      <alignment horizontal="center" vertical="center"/>
    </xf>
    <xf numFmtId="0" fontId="11" fillId="3" borderId="1" applyAlignment="1" pivotButton="0" quotePrefix="0" xfId="0">
      <alignment horizontal="center" vertical="center"/>
    </xf>
    <xf numFmtId="0" fontId="12" fillId="4" borderId="1" applyAlignment="1" pivotButton="0" quotePrefix="0" xfId="0">
      <alignment horizontal="left" vertical="center"/>
    </xf>
    <xf numFmtId="0" fontId="13" fillId="4" borderId="1" applyAlignment="1" pivotButton="0" quotePrefix="0" xfId="0">
      <alignment horizontal="center" vertical="center"/>
    </xf>
    <xf numFmtId="0" fontId="12" fillId="4" borderId="1" applyAlignment="1" pivotButton="0" quotePrefix="0" xfId="0">
      <alignment horizontal="center" vertical="center"/>
    </xf>
    <xf numFmtId="0" fontId="12" fillId="5" borderId="1" applyAlignment="1" pivotButton="0" quotePrefix="0" xfId="0">
      <alignment horizontal="left" vertical="center"/>
    </xf>
    <xf numFmtId="0" fontId="13" fillId="5" borderId="1" applyAlignment="1" pivotButton="0" quotePrefix="0" xfId="0">
      <alignment horizontal="center" vertical="center"/>
    </xf>
    <xf numFmtId="0" fontId="12" fillId="5" borderId="1" applyAlignment="1" pivotButton="0" quotePrefix="0" xfId="0">
      <alignment horizontal="center" vertical="center"/>
    </xf>
    <xf numFmtId="164" fontId="12" fillId="4" borderId="1" applyAlignment="1" pivotButton="0" quotePrefix="0" xfId="0">
      <alignment horizontal="center" vertical="center"/>
    </xf>
    <xf numFmtId="164" fontId="12" fillId="5" borderId="1" applyAlignment="1" pivotButton="0" quotePrefix="0" xfId="0">
      <alignment horizontal="center" vertical="center"/>
    </xf>
    <xf numFmtId="164" fontId="13" fillId="4" borderId="1" applyAlignment="1" pivotButton="0" quotePrefix="0" xfId="0">
      <alignment horizontal="center" vertical="center"/>
    </xf>
    <xf numFmtId="164" fontId="13" fillId="5" borderId="1" applyAlignment="1" pivotButton="0" quotePrefix="0" xfId="0">
      <alignment horizontal="center" vertical="center"/>
    </xf>
    <xf numFmtId="0" fontId="11" fillId="6" borderId="2" applyAlignment="1" pivotButton="0" quotePrefix="0" xfId="0">
      <alignment horizontal="center" vertical="center"/>
    </xf>
    <xf numFmtId="0" fontId="0" fillId="7" borderId="3" applyAlignment="1" pivotButton="0" quotePrefix="0" xfId="0">
      <alignment horizontal="general" vertical="bottom"/>
    </xf>
    <xf numFmtId="0" fontId="18" fillId="7" borderId="0" applyAlignment="1" pivotButton="0" quotePrefix="0" xfId="0">
      <alignment horizontal="general" vertical="bottom"/>
    </xf>
    <xf numFmtId="0" fontId="19" fillId="7" borderId="2" applyAlignment="1" pivotButton="0" quotePrefix="0" xfId="0">
      <alignment horizontal="center" vertical="center"/>
    </xf>
    <xf numFmtId="165" fontId="19" fillId="7" borderId="2" applyAlignment="1" pivotButton="0" quotePrefix="0" xfId="0">
      <alignment horizontal="center" vertical="center"/>
    </xf>
    <xf numFmtId="0" fontId="0" fillId="7" borderId="0" applyAlignment="1" pivotButton="0" quotePrefix="0" xfId="0">
      <alignment horizontal="general" vertical="bottom"/>
    </xf>
    <xf numFmtId="0" fontId="18" fillId="8" borderId="0" applyAlignment="1" pivotButton="0" quotePrefix="0" xfId="0">
      <alignment horizontal="general" vertical="bottom"/>
    </xf>
    <xf numFmtId="0" fontId="0" fillId="9" borderId="3" applyAlignment="1" pivotButton="0" quotePrefix="0" xfId="0">
      <alignment horizontal="general" vertical="bottom"/>
    </xf>
    <xf numFmtId="0" fontId="0" fillId="0" borderId="3" applyAlignment="1" pivotButton="0" quotePrefix="0" xfId="0">
      <alignment horizontal="general" vertical="bottom"/>
    </xf>
    <xf numFmtId="165" fontId="0" fillId="0" borderId="0" applyAlignment="1" pivotButton="0" quotePrefix="0" xfId="0">
      <alignment horizontal="general" vertical="bottom"/>
    </xf>
    <xf numFmtId="0" fontId="20" fillId="10" borderId="4" applyAlignment="1" pivotButton="0" quotePrefix="0" xfId="0">
      <alignment horizontal="center" vertical="center"/>
    </xf>
    <xf numFmtId="0" fontId="21" fillId="0" borderId="4" applyAlignment="1" pivotButton="0" quotePrefix="0" xfId="0">
      <alignment horizontal="left" vertical="center"/>
    </xf>
    <xf numFmtId="0" fontId="21" fillId="0" borderId="4" applyAlignment="1" pivotButton="0" quotePrefix="0" xfId="0">
      <alignment horizontal="left" vertical="top" wrapText="1"/>
    </xf>
    <xf numFmtId="0" fontId="22" fillId="11" borderId="4" applyAlignment="1" pivotButton="0" quotePrefix="0" xfId="0">
      <alignment horizontal="left" vertical="center"/>
    </xf>
    <xf numFmtId="0" fontId="21" fillId="0" borderId="4"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757575"/>
      <rgbColor rgb="FF800080"/>
      <rgbColor rgb="FF008080"/>
      <rgbColor rgb="FFBFBFBF"/>
      <rgbColor rgb="FF808080"/>
      <rgbColor rgb="FF9999FF"/>
      <rgbColor rgb="FFC0504D"/>
      <rgbColor rgb="FFFFF2CC"/>
      <rgbColor rgb="FFEAF3FB"/>
      <rgbColor rgb="FF660066"/>
      <rgbColor rgb="FFFF8080"/>
      <rgbColor rgb="FF0066CC"/>
      <rgbColor rgb="FFD3D3D3"/>
      <rgbColor rgb="FF000080"/>
      <rgbColor rgb="FFFF00FF"/>
      <rgbColor rgb="FFFFFF00"/>
      <rgbColor rgb="FF00FFFF"/>
      <rgbColor rgb="FF800080"/>
      <rgbColor rgb="FF800000"/>
      <rgbColor rgb="FF008080"/>
      <rgbColor rgb="FF0000FF"/>
      <rgbColor rgb="FF00CCFF"/>
      <rgbColor rgb="FFD6E4F0"/>
      <rgbColor rgb="FFF2F2F2"/>
      <rgbColor rgb="FFB6D7A8"/>
      <rgbColor rgb="FFCCCCCC"/>
      <rgbColor rgb="FFFF99CC"/>
      <rgbColor rgb="FFB7B7B7"/>
      <rgbColor rgb="FFD9D9D9"/>
      <rgbColor rgb="FF2E75B6"/>
      <rgbColor rgb="FF70AD47"/>
      <rgbColor rgb="FF9BBB59"/>
      <rgbColor rgb="FFFFCC00"/>
      <rgbColor rgb="FFFF9900"/>
      <rgbColor rgb="FFED7D31"/>
      <rgbColor rgb="FF8064A2"/>
      <rgbColor rgb="FF8B8B8B"/>
      <rgbColor rgb="FF1A3A5C"/>
      <rgbColor rgb="FF4F81BD"/>
      <rgbColor rgb="FF003300"/>
      <rgbColor rgb="FF1A1A1A"/>
      <rgbColor rgb="FF993300"/>
      <rgbColor rgb="FF666666"/>
      <rgbColor rgb="FF1F497D"/>
      <rgbColor rgb="FF1B2A4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757575"/>
                </a:solidFill>
                <a:uFillTx/>
                <a:latin typeface="Calibri"/>
                <a:ea typeface="Calibri"/>
              </a:rPr>
              <a:t>Gestión por Estado (Total Global)</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Métricas!$F$12</f>
              <strCache>
                <ptCount val="1"/>
                <pt idx="0">
                  <v>TOTAL</v>
                </pt>
              </strCache>
            </strRef>
          </tx>
          <spPr>
            <a:solidFill xmlns:a="http://schemas.openxmlformats.org/drawingml/2006/main">
              <a:srgbClr val="4F81BD"/>
            </a:solidFill>
            <a:ln xmlns:a="http://schemas.openxmlformats.org/drawingml/2006/main" w="12600">
              <a:solidFill>
                <a:srgbClr val="000000"/>
              </a:solidFill>
              <a:prstDash val="solid"/>
              <a:round/>
            </a:ln>
          </spPr>
          <invertIfNegative val="0"/>
          <dLbls>
            <txPr>
              <a:bodyPr xmlns:a="http://schemas.openxmlformats.org/drawingml/2006/main"/>
              <a:lstStyle xmlns:a="http://schemas.openxmlformats.org/drawingml/2006/main"/>
              <a:p xmlns:a="http://schemas.openxmlformats.org/drawingml/2006/main">
                <a:pPr>
                  <a:defRPr sz="1000" b="0" strike="noStrike">
                    <a:uFillTx/>
                    <a:latin typeface="Arial"/>
                  </a:defRPr>
                </a:pPr>
                <a:r>
                  <a:t>None</a:t>
                </a:r>
              </a:p>
            </txPr>
            <showLegendKey val="0"/>
            <showVal val="0"/>
            <showCatName val="0"/>
            <showSerName val="0"/>
            <showPercent val="0"/>
            <showLeaderLines val="1"/>
          </dLbls>
          <cat>
            <strRef>
              <f>Métricas!$B$13:$B$18</f>
              <strCache>
                <ptCount val="6"/>
                <pt idx="0">
                  <v>Reunión agendada</v>
                </pt>
                <pt idx="1">
                  <v>No Reunión</v>
                </pt>
                <pt idx="2">
                  <v>No le interesó</v>
                </pt>
                <pt idx="3">
                  <v>Lo verá</v>
                </pt>
                <pt idx="4">
                  <v>Me llamará</v>
                </pt>
                <pt idx="5">
                  <v>Otro</v>
                </pt>
              </strCache>
            </strRef>
          </cat>
          <val>
            <numRef>
              <f>Métricas!$F$13:$F$18</f>
              <numCache>
                <formatCode>General</formatCode>
                <ptCount val="6"/>
                <pt idx="0">
                  <v>0</v>
                </pt>
                <pt idx="1">
                  <v>0</v>
                </pt>
                <pt idx="2">
                  <v>0</v>
                </pt>
                <pt idx="3">
                  <v>0</v>
                </pt>
                <pt idx="4">
                  <v>0</v>
                </pt>
                <pt idx="5">
                  <v>0</v>
                </pt>
              </numCache>
            </numRef>
          </val>
        </ser>
        <gapWidth val="150"/>
        <overlap val="0"/>
        <axId val="20585129"/>
        <axId val="13794583"/>
      </barChart>
      <catAx>
        <axId val="20585129"/>
        <scaling>
          <orientation val="minMax"/>
        </scaling>
        <delete val="0"/>
        <axPos val="b"/>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000" b="0" strike="noStrike">
                    <a:solidFill>
                      <a:srgbClr val="000000"/>
                    </a:solidFill>
                    <a:uFillTx/>
                    <a:latin typeface="Calibri"/>
                    <a:ea typeface="Calibri"/>
                  </a:rPr>
                  <a:t>None</a:t>
                </a:r>
              </a:p>
            </rich>
          </tx>
          <overlay val="0"/>
          <spPr>
            <a:noFill xmlns:a="http://schemas.openxmlformats.org/drawingml/2006/main"/>
            <a:ln xmlns:a="http://schemas.openxmlformats.org/drawingml/2006/main" w="0">
              <a:noFill/>
              <a:prstDash val="solid"/>
            </a:ln>
          </spPr>
        </title>
        <numFmt formatCode="General" sourceLinked="0"/>
        <majorTickMark val="none"/>
        <minorTickMark val="none"/>
        <tickLblPos val="nextTo"/>
        <spPr>
          <a:ln xmlns:a="http://schemas.openxmlformats.org/drawingml/2006/main" w="6480">
            <a:solidFill>
              <a:srgbClr val="8B8B8B"/>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ea typeface="Calibri"/>
              </a:defRPr>
            </a:pPr>
            <a:r>
              <a:t>None</a:t>
            </a:r>
          </a:p>
        </txPr>
        <crossAx val="13794583"/>
        <crosses val="autoZero"/>
        <auto val="1"/>
        <lblAlgn val="ctr"/>
        <lblOffset val="100"/>
        <noMultiLvlLbl val="0"/>
      </catAx>
      <valAx>
        <axId val="13794583"/>
        <scaling>
          <orientation val="minMax"/>
        </scaling>
        <delete val="0"/>
        <axPos val="l"/>
        <majorGridlines>
          <spPr>
            <a:ln xmlns:a="http://schemas.openxmlformats.org/drawingml/2006/main" w="6480">
              <a:solidFill>
                <a:srgbClr val="B7B7B7"/>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300" b="0" strike="noStrike">
                    <a:uFillTx/>
                    <a:latin typeface="Arial"/>
                  </a:defRPr>
                </a:pPr>
                <a:r>
                  <a:rPr sz="1000" b="1" strike="noStrike">
                    <a:solidFill>
                      <a:srgbClr val="000000"/>
                    </a:solidFill>
                    <a:uFillTx/>
                    <a:latin typeface="Calibri"/>
                    <a:ea typeface="Calibri"/>
                  </a:rPr>
                  <a:t>Cantidad</a:t>
                </a:r>
              </a:p>
            </rich>
          </tx>
          <overlay val="0"/>
          <spPr>
            <a:noFill xmlns:a="http://schemas.openxmlformats.org/drawingml/2006/main"/>
            <a:ln xmlns:a="http://schemas.openxmlformats.org/drawingml/2006/main" w="0">
              <a:noFill/>
              <a:prstDash val="solid"/>
            </a:ln>
          </spPr>
        </title>
        <numFmt formatCode="General" sourceLinked="0"/>
        <majorTickMark val="none"/>
        <minorTickMark val="none"/>
        <tickLblPos val="nextTo"/>
        <spPr>
          <a:ln xmlns:a="http://schemas.openxmlformats.org/drawingml/2006/main" w="6480">
            <a:solidFill>
              <a:srgbClr val="8B8B8B"/>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ea typeface="Calibri"/>
              </a:defRPr>
            </a:pPr>
            <a:r>
              <a:t>None</a:t>
            </a:r>
          </a:p>
        </txPr>
        <crossAx val="20585129"/>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757575"/>
                </a:solidFill>
                <a:uFillTx/>
                <a:latin typeface="Calibri"/>
                <a:ea typeface="Calibri"/>
              </a:rPr>
              <a:t>Distribución por Canal</a:t>
            </a:r>
          </a:p>
        </rich>
      </tx>
      <overlay val="0"/>
      <spPr>
        <a:noFill xmlns:a="http://schemas.openxmlformats.org/drawingml/2006/main"/>
        <a:ln xmlns:a="http://schemas.openxmlformats.org/drawingml/2006/main" w="0">
          <a:noFill/>
          <a:prstDash val="solid"/>
        </a:ln>
      </spPr>
    </title>
    <plotArea>
      <pieChart>
        <varyColors val="1"/>
        <ser>
          <idx val="0"/>
          <order val="0"/>
          <tx>
            <strRef>
              <f>Métricas!$F$21</f>
              <strCache>
                <ptCount val="1"/>
                <pt idx="0">
                  <v>TOTAL</v>
                </pt>
              </strCache>
            </strRef>
          </tx>
          <spPr>
            <a:solidFill xmlns:a="http://schemas.openxmlformats.org/drawingml/2006/main">
              <a:srgbClr val="4F81BD"/>
            </a:solidFill>
            <a:ln xmlns:a="http://schemas.openxmlformats.org/drawingml/2006/main" w="12600">
              <a:noFill/>
              <a:prstDash val="solid"/>
            </a:ln>
          </spPr>
          <explosion val="0"/>
          <dPt>
            <idx val="0"/>
            <spPr>
              <a:solidFill xmlns:a="http://schemas.openxmlformats.org/drawingml/2006/main">
                <a:srgbClr val="4F81BD"/>
              </a:solidFill>
              <a:ln xmlns:a="http://schemas.openxmlformats.org/drawingml/2006/main" w="0">
                <a:noFill/>
                <a:prstDash val="solid"/>
              </a:ln>
            </spPr>
          </dPt>
          <dPt>
            <idx val="1"/>
            <spPr>
              <a:solidFill xmlns:a="http://schemas.openxmlformats.org/drawingml/2006/main">
                <a:srgbClr val="C0504D"/>
              </a:solidFill>
              <a:ln xmlns:a="http://schemas.openxmlformats.org/drawingml/2006/main" w="0">
                <a:noFill/>
                <a:prstDash val="solid"/>
              </a:ln>
            </spPr>
          </dPt>
          <dPt>
            <idx val="2"/>
            <spPr>
              <a:solidFill xmlns:a="http://schemas.openxmlformats.org/drawingml/2006/main">
                <a:srgbClr val="9BBB59"/>
              </a:solidFill>
              <a:ln xmlns:a="http://schemas.openxmlformats.org/drawingml/2006/main" w="0">
                <a:noFill/>
                <a:prstDash val="solid"/>
              </a:ln>
            </spPr>
          </dPt>
          <dPt>
            <idx val="3"/>
            <spPr>
              <a:solidFill xmlns:a="http://schemas.openxmlformats.org/drawingml/2006/main">
                <a:srgbClr val="8064A2"/>
              </a:solidFill>
              <a:ln xmlns:a="http://schemas.openxmlformats.org/drawingml/2006/main" w="0">
                <a:noFill/>
                <a:prstDash val="solid"/>
              </a:ln>
            </spPr>
          </dPt>
          <dLbls>
            <dLbl>
              <idx val="0"/>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Calibri"/>
                    </a:defRPr>
                  </a:pPr>
                  <a:r>
                    <a:t>None</a:t>
                  </a:r>
                </a:p>
              </txPr>
              <dLblPos val="bestFit"/>
              <showLegendKey val="0"/>
              <showVal val="0"/>
              <showCatName val="0"/>
              <showSerName val="0"/>
              <showPercent val="0"/>
            </dLbl>
            <dLbl>
              <idx val="1"/>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Calibri"/>
                    </a:defRPr>
                  </a:pPr>
                  <a:r>
                    <a:t>None</a:t>
                  </a:r>
                </a:p>
              </txPr>
              <dLblPos val="bestFit"/>
              <showLegendKey val="0"/>
              <showVal val="0"/>
              <showCatName val="0"/>
              <showSerName val="0"/>
              <showPercent val="0"/>
            </dLbl>
            <dLbl>
              <idx val="2"/>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Calibri"/>
                    </a:defRPr>
                  </a:pPr>
                  <a:r>
                    <a:t>None</a:t>
                  </a:r>
                </a:p>
              </txPr>
              <dLblPos val="bestFit"/>
              <showLegendKey val="0"/>
              <showVal val="0"/>
              <showCatName val="0"/>
              <showSerName val="0"/>
              <showPercent val="0"/>
            </dLbl>
            <dLbl>
              <idx val="3"/>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Calibri"/>
                    </a:defRPr>
                  </a:pPr>
                  <a:r>
                    <a:t>None</a:t>
                  </a:r>
                </a:p>
              </txPr>
              <dLblPos val="bestFit"/>
              <showLegendKey val="0"/>
              <showVal val="0"/>
              <showCatName val="0"/>
              <showSerName val="0"/>
              <showPercent val="0"/>
            </dLbl>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Calibri"/>
                    <a:ea typeface="Calibri"/>
                  </a:defRPr>
                </a:pPr>
                <a:r>
                  <a:t>None</a:t>
                </a:r>
              </a:p>
            </txPr>
            <dLblPos val="bestFit"/>
            <showLegendKey val="0"/>
            <showVal val="0"/>
            <showCatName val="0"/>
            <showSerName val="0"/>
            <showPercent val="0"/>
            <showLeaderLines val="1"/>
          </dLbls>
          <cat>
            <strRef>
              <f>Métricas!$B$22:$B$25</f>
              <strCache>
                <ptCount val="4"/>
                <pt idx="0">
                  <v>LinkedIn</v>
                </pt>
                <pt idx="1">
                  <v>Correo</v>
                </pt>
                <pt idx="2">
                  <v>Teléfono</v>
                </pt>
                <pt idx="3">
                  <v>Contacto Directo</v>
                </pt>
              </strCache>
            </strRef>
          </cat>
          <val>
            <numRef>
              <f>Métricas!$F$22:$F$25</f>
              <numCache>
                <formatCode>General</formatCode>
                <ptCount val="4"/>
                <pt idx="0">
                  <v>12</v>
                </pt>
                <pt idx="1">
                  <v>0</v>
                </pt>
                <pt idx="2">
                  <v>0</v>
                </pt>
                <pt idx="3">
                  <v>0</v>
                </pt>
              </numCache>
            </numRef>
          </val>
        </ser>
        <firstSliceAng val="0"/>
      </pieChart>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a:solidFill>
                <a:srgbClr val="1A1A1A"/>
              </a:solidFill>
              <a:uFillTx/>
              <a:latin typeface="Calibri"/>
              <a:ea typeface="Calibri"/>
            </a:defRPr>
          </a:pPr>
          <a:r>
            <a:t>None</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3.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757575"/>
                </a:solidFill>
                <a:uFillTx/>
                <a:latin typeface="Calibri"/>
                <a:ea typeface="Calibri"/>
              </a:rPr>
              <a:t>Pipeline (Embudo de Ventas)</a:t>
            </a:r>
          </a:p>
        </rich>
      </tx>
      <overlay val="0"/>
      <spPr>
        <a:noFill xmlns:a="http://schemas.openxmlformats.org/drawingml/2006/main"/>
        <a:ln xmlns:a="http://schemas.openxmlformats.org/drawingml/2006/main" w="0">
          <a:noFill/>
          <a:prstDash val="solid"/>
        </a:ln>
      </spPr>
    </title>
    <plotArea>
      <barChart>
        <barDir val="bar"/>
        <grouping val="clustered"/>
        <varyColors val="0"/>
        <ser>
          <idx val="0"/>
          <order val="0"/>
          <tx>
            <strRef>
              <f>Métricas!$C$35</f>
              <strCache>
                <ptCount val="1"/>
                <pt idx="0">
                  <v>Cantidad</v>
                </pt>
              </strCache>
            </strRef>
          </tx>
          <spPr>
            <a:solidFill xmlns:a="http://schemas.openxmlformats.org/drawingml/2006/main">
              <a:srgbClr val="4F81BD"/>
            </a:solidFill>
            <a:ln xmlns:a="http://schemas.openxmlformats.org/drawingml/2006/main" w="12600">
              <a:solidFill>
                <a:srgbClr val="000000"/>
              </a:solidFill>
              <a:prstDash val="solid"/>
              <a:round/>
            </a:ln>
          </spPr>
          <invertIfNegative val="0"/>
          <dLbls>
            <txPr>
              <a:bodyPr xmlns:a="http://schemas.openxmlformats.org/drawingml/2006/main"/>
              <a:lstStyle xmlns:a="http://schemas.openxmlformats.org/drawingml/2006/main"/>
              <a:p xmlns:a="http://schemas.openxmlformats.org/drawingml/2006/main">
                <a:pPr>
                  <a:defRPr sz="1000" b="0" strike="noStrike">
                    <a:uFillTx/>
                    <a:latin typeface="Arial"/>
                  </a:defRPr>
                </a:pPr>
                <a:r>
                  <a:t>None</a:t>
                </a:r>
              </a:p>
            </txPr>
            <showLegendKey val="0"/>
            <showVal val="0"/>
            <showCatName val="0"/>
            <showSerName val="0"/>
            <showPercent val="0"/>
            <showLeaderLines val="1"/>
          </dLbls>
          <cat>
            <strRef>
              <f>Métricas!$B$36:$B$39</f>
              <strCache>
                <ptCount val="4"/>
                <pt idx="0">
                  <v>Total Prospectos</v>
                </pt>
                <pt idx="1">
                  <v>Contactadas</v>
                </pt>
                <pt idx="2">
                  <v>En Seguimiento</v>
                </pt>
                <pt idx="3">
                  <v>Reuniones Agendadas</v>
                </pt>
              </strCache>
            </strRef>
          </cat>
          <val>
            <numRef>
              <f>Métricas!$C$36:$C$39</f>
              <numCache>
                <formatCode>General</formatCode>
                <ptCount val="4"/>
                <pt idx="0">
                  <v>2830</v>
                </pt>
                <pt idx="1">
                  <v>12</v>
                </pt>
                <pt idx="2">
                  <v>0</v>
                </pt>
                <pt idx="3">
                  <v>0</v>
                </pt>
              </numCache>
            </numRef>
          </val>
        </ser>
        <gapWidth val="150"/>
        <overlap val="0"/>
        <axId val="78068007"/>
        <axId val="95886250"/>
      </barChart>
      <catAx>
        <axId val="78068007"/>
        <scaling>
          <orientation val="maxMin"/>
        </scaling>
        <delete val="0"/>
        <axPos val="b"/>
        <title>
          <tx>
            <rich>
              <a:bodyPr xmlns:a="http://schemas.openxmlformats.org/drawingml/2006/main" rot="-5400000"/>
              <a:lstStyle xmlns:a="http://schemas.openxmlformats.org/drawingml/2006/main"/>
              <a:p xmlns:a="http://schemas.openxmlformats.org/drawingml/2006/main">
                <a:pPr>
                  <a:defRPr sz="1300" b="0" strike="noStrike">
                    <a:uFillTx/>
                    <a:latin typeface="Arial"/>
                  </a:defRPr>
                </a:pPr>
                <a:r>
                  <a:rPr sz="1000" b="0" strike="noStrike">
                    <a:solidFill>
                      <a:srgbClr val="000000"/>
                    </a:solidFill>
                    <a:uFillTx/>
                    <a:latin typeface="Calibri"/>
                    <a:ea typeface="Calibri"/>
                  </a:rPr>
                  <a:t>None</a:t>
                </a:r>
              </a:p>
            </rich>
          </tx>
          <overlay val="0"/>
          <spPr>
            <a:noFill xmlns:a="http://schemas.openxmlformats.org/drawingml/2006/main"/>
            <a:ln xmlns:a="http://schemas.openxmlformats.org/drawingml/2006/main" w="0">
              <a:noFill/>
              <a:prstDash val="solid"/>
            </a:ln>
          </spPr>
        </title>
        <numFmt formatCode="General" sourceLinked="0"/>
        <majorTickMark val="none"/>
        <minorTickMark val="none"/>
        <tickLblPos val="nextTo"/>
        <spPr>
          <a:ln xmlns:a="http://schemas.openxmlformats.org/drawingml/2006/main" w="6480">
            <a:solidFill>
              <a:srgbClr val="8B8B8B"/>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ea typeface="Calibri"/>
              </a:defRPr>
            </a:pPr>
            <a:r>
              <a:t>None</a:t>
            </a:r>
          </a:p>
        </txPr>
        <crossAx val="95886250"/>
        <crosses val="autoZero"/>
        <auto val="1"/>
        <lblAlgn val="ctr"/>
        <lblOffset val="100"/>
        <noMultiLvlLbl val="0"/>
      </catAx>
      <valAx>
        <axId val="95886250"/>
        <scaling>
          <orientation val="minMax"/>
        </scaling>
        <delete val="0"/>
        <axPos val="l"/>
        <majorGridlines>
          <spPr>
            <a:ln xmlns:a="http://schemas.openxmlformats.org/drawingml/2006/main" w="6480">
              <a:solidFill>
                <a:srgbClr val="B7B7B7"/>
              </a:solidFill>
              <a:prstDash val="solid"/>
              <a:round/>
            </a:ln>
          </spPr>
        </majorGridlines>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000" b="0" strike="noStrike">
                    <a:solidFill>
                      <a:srgbClr val="000000"/>
                    </a:solidFill>
                    <a:uFillTx/>
                    <a:latin typeface="Calibri"/>
                    <a:ea typeface="Calibri"/>
                  </a:rPr>
                  <a:t>None</a:t>
                </a:r>
              </a:p>
            </rich>
          </tx>
          <overlay val="0"/>
          <spPr>
            <a:noFill xmlns:a="http://schemas.openxmlformats.org/drawingml/2006/main"/>
            <a:ln xmlns:a="http://schemas.openxmlformats.org/drawingml/2006/main" w="0">
              <a:noFill/>
              <a:prstDash val="solid"/>
            </a:ln>
          </spPr>
        </title>
        <numFmt formatCode="General" sourceLinked="0"/>
        <majorTickMark val="none"/>
        <minorTickMark val="none"/>
        <tickLblPos val="nextTo"/>
        <spPr>
          <a:ln xmlns:a="http://schemas.openxmlformats.org/drawingml/2006/main" w="6480">
            <a:solidFill>
              <a:srgbClr val="8B8B8B"/>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ea typeface="Calibri"/>
              </a:defRPr>
            </a:pPr>
            <a:r>
              <a:t>None</a:t>
            </a:r>
          </a:p>
        </txPr>
        <crossAx val="78068007"/>
        <crosses val="max"/>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twoCellAnchor editAs="oneCell">
    <from>
      <col>7</col>
      <colOff>0</colOff>
      <row>6</row>
      <rowOff>0</rowOff>
    </from>
    <to>
      <col>11</col>
      <colOff>969120</colOff>
      <row>21</row>
      <rowOff>104400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7</col>
      <colOff>0</colOff>
      <row>24</row>
      <rowOff>0</rowOff>
    </from>
    <to>
      <col>11</col>
      <colOff>969120</colOff>
      <row>37</row>
      <rowOff>228240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7</col>
      <colOff>0</colOff>
      <row>41</row>
      <rowOff>0</rowOff>
    </from>
    <to>
      <col>11</col>
      <colOff>969120</colOff>
      <row>55</row>
      <rowOff>28080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hyperlink" Target="https://cl.linkedin.com/in/hector-calderon-gonzalez-3439a358" TargetMode="External" Id="rId1"/><Relationship Type="http://schemas.openxmlformats.org/officeDocument/2006/relationships/hyperlink" Target="https://cl.linkedin.com/company/a-hartrodt-chile" TargetMode="External" Id="rId2"/><Relationship Type="http://schemas.openxmlformats.org/officeDocument/2006/relationships/hyperlink" Target="https://cl.linkedin.com/company/broom-group" TargetMode="External" Id="rId3"/><Relationship Type="http://schemas.openxmlformats.org/officeDocument/2006/relationships/hyperlink" Target="https://cl.linkedin.com/company/abarriendos" TargetMode="External" Id="rId4"/><Relationship Type="http://schemas.openxmlformats.org/officeDocument/2006/relationships/hyperlink" Target="https://cl.linkedin.com/company/aceros-chilca-mepsa" TargetMode="External" Id="rId5"/><Relationship Type="http://schemas.openxmlformats.org/officeDocument/2006/relationships/hyperlink" Target="https://cl.linkedin.com/company/acetogen" TargetMode="External" Id="rId6"/><Relationship Type="http://schemas.openxmlformats.org/officeDocument/2006/relationships/hyperlink" Target="https://cl.linkedin.com/in/sabin-capetillo-83376711a" TargetMode="External" Id="rId7"/><Relationship Type="http://schemas.openxmlformats.org/officeDocument/2006/relationships/hyperlink" Target="https://cl.linkedin.com/company/adler-steel-chile" TargetMode="External" Id="rId8"/><Relationship Type="http://schemas.openxmlformats.org/officeDocument/2006/relationships/hyperlink" Target="https://cl.linkedin.com/in/david-acevedo-olgu&#237;n-01586b56" TargetMode="External" Id="rId9"/><Relationship Type="http://schemas.openxmlformats.org/officeDocument/2006/relationships/hyperlink" Target="https://cl.linkedin.com/company/grupo-dap" TargetMode="External" Id="rId10"/><Relationship Type="http://schemas.openxmlformats.org/officeDocument/2006/relationships/hyperlink" Target="https://cl.linkedin.com/in/javier-arellano-28087313" TargetMode="External" Id="rId11"/><Relationship Type="http://schemas.openxmlformats.org/officeDocument/2006/relationships/hyperlink" Target="https://cl.linkedin.com/company/aerocardal" TargetMode="External" Id="rId12"/><Relationship Type="http://schemas.openxmlformats.org/officeDocument/2006/relationships/hyperlink" Target="https://cl.linkedin.com/in/richard-correa-escudero-6820b484" TargetMode="External" Id="rId13"/><Relationship Type="http://schemas.openxmlformats.org/officeDocument/2006/relationships/hyperlink" Target="https://cl.linkedin.com/company/aguasin" TargetMode="External" Id="rId14"/><Relationship Type="http://schemas.openxmlformats.org/officeDocument/2006/relationships/hyperlink" Target="https://cl.linkedin.com/in/carlos-ram&#237;rez-c&#225;rdenas-tecnolog&#237;a" TargetMode="External" Id="rId15"/><Relationship Type="http://schemas.openxmlformats.org/officeDocument/2006/relationships/hyperlink" Target="https://cl.linkedin.com/company/agunsa" TargetMode="External" Id="rId16"/><Relationship Type="http://schemas.openxmlformats.org/officeDocument/2006/relationships/hyperlink" Target="https://cl.linkedin.com/in/francisco-fern&#225;ndez-mancilla" TargetMode="External" Id="rId17"/><Relationship Type="http://schemas.openxmlformats.org/officeDocument/2006/relationships/hyperlink" Target="https://cl.linkedin.com/company/alessandri" TargetMode="External" Id="rId18"/><Relationship Type="http://schemas.openxmlformats.org/officeDocument/2006/relationships/hyperlink" Target="https://www.linkedin.com/company/alfapeople" TargetMode="External" Id="rId19"/><Relationship Type="http://schemas.openxmlformats.org/officeDocument/2006/relationships/hyperlink" Target="https://www.linkedin.com/company/aliservice-s-a" TargetMode="External" Id="rId20"/><Relationship Type="http://schemas.openxmlformats.org/officeDocument/2006/relationships/hyperlink" Target="https://cl.linkedin.com/company/american-parts-spa" TargetMode="External" Id="rId21"/><Relationship Type="http://schemas.openxmlformats.org/officeDocument/2006/relationships/hyperlink" Target="https://cl.linkedin.com/in/michael-salameh-148509ab" TargetMode="External" Id="rId22"/><Relationship Type="http://schemas.openxmlformats.org/officeDocument/2006/relationships/hyperlink" Target="https://www.linkedin.com/company/anakena-chile" TargetMode="External" Id="rId23"/><Relationship Type="http://schemas.openxmlformats.org/officeDocument/2006/relationships/hyperlink" Target="https://cl.linkedin.com/in/francoyanez" TargetMode="External" Id="rId24"/><Relationship Type="http://schemas.openxmlformats.org/officeDocument/2006/relationships/hyperlink" Target="https://cl.linkedin.com/company/ancor-tecmin" TargetMode="External" Id="rId25"/><Relationship Type="http://schemas.openxmlformats.org/officeDocument/2006/relationships/hyperlink" Target="https://www.linkedin.com/company/andessolar" TargetMode="External" Id="rId26"/><Relationship Type="http://schemas.openxmlformats.org/officeDocument/2006/relationships/hyperlink" Target="https://cl.linkedin.com/in/rodrigo-subiabre-84130844" TargetMode="External" Id="rId27"/><Relationship Type="http://schemas.openxmlformats.org/officeDocument/2006/relationships/hyperlink" Target="https://www.linkedin.com/company/anglo-american" TargetMode="External" Id="rId28"/><Relationship Type="http://schemas.openxmlformats.org/officeDocument/2006/relationships/hyperlink" Target="https://cl.linkedin.com/in/mayron-araya-30a828b1" TargetMode="External" Id="rId29"/><Relationship Type="http://schemas.openxmlformats.org/officeDocument/2006/relationships/hyperlink" Target="https://www.linkedin.com/company/artilec-ltda" TargetMode="External" Id="rId30"/><Relationship Type="http://schemas.openxmlformats.org/officeDocument/2006/relationships/hyperlink" Target="https://cl.linkedin.com/in/aldo-veas-2850534" TargetMode="External" Id="rId31"/><Relationship Type="http://schemas.openxmlformats.org/officeDocument/2006/relationships/hyperlink" Target="https://www.linkedin.com/company/at-pac" TargetMode="External" Id="rId32"/></Relationships>
</file>

<file path=xl/worksheets/sheet1.xml><?xml version="1.0" encoding="utf-8"?>
<worksheet xmlns="http://schemas.openxmlformats.org/spreadsheetml/2006/main">
  <sheetPr filterMode="0">
    <outlinePr summaryBelow="1" summaryRight="1"/>
    <pageSetUpPr fitToPage="0"/>
  </sheetPr>
  <dimension ref="A1:F4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customHeight="1" zeroHeight="0" outlineLevelRow="0"/>
  <cols>
    <col width="2" customWidth="1" style="37" min="1" max="1"/>
    <col width="30" customWidth="1" style="37" min="2" max="2"/>
    <col width="16" customWidth="1" style="37" min="3" max="6"/>
  </cols>
  <sheetData>
    <row r="1" ht="18" customHeight="1" s="38">
      <c r="A1" s="37" t="inlineStr">
        <is>
          <t>jh</t>
        </is>
      </c>
    </row>
    <row r="2" ht="30" customHeight="1" s="38">
      <c r="B2" s="39" t="inlineStr">
        <is>
          <t>📊  DASHBOARD CRM — OPENCORE</t>
        </is>
      </c>
    </row>
    <row r="3" ht="18" customHeight="1" s="38"/>
    <row r="4" ht="18" customHeight="1" s="38">
      <c r="B4" s="40" t="inlineStr">
        <is>
          <t>Total Prospectos</t>
        </is>
      </c>
      <c r="C4" s="40" t="inlineStr">
        <is>
          <t>Contactadas</t>
        </is>
      </c>
      <c r="D4" s="40" t="inlineStr">
        <is>
          <t>No Contactadas</t>
        </is>
      </c>
      <c r="E4" s="40" t="inlineStr">
        <is>
          <t>Reuniones Agendadas</t>
        </is>
      </c>
      <c r="F4" s="40" t="inlineStr">
        <is>
          <t>Tasa de Conversión</t>
        </is>
      </c>
    </row>
    <row r="5" ht="36" customHeight="1" s="38">
      <c r="B5" s="41">
        <f>COUNTA(CUENTAS_VIP_TOP!A:A)-1+COUNTA(INTELIGENCIA_MERCADO!A:A)-1+COUNTA(BASE_COMPLETA_LIMPIA!A:A)-1</f>
        <v/>
      </c>
      <c r="C5" s="42">
        <f>COUNTIF(CUENTAS_VIP_TOP!N:N, "Contactada")+COUNTIF(INTELIGENCIA_MERCADO!M:M, "Contactada")+COUNTIF(BASE_COMPLETA_LIMPIA!L:L, "Contactada")</f>
        <v/>
      </c>
      <c r="D5" s="43">
        <f>B5-C5</f>
        <v/>
      </c>
      <c r="E5" s="44">
        <f>COUNTIF(CUENTAS_VIP_TOP!O:O, "Reunión agendada")+COUNTIF(INTELIGENCIA_MERCADO!N:N, "Reunión agendada")+COUNTIF(BASE_COMPLETA_LIMPIA!M:M, "Reunión agendada")</f>
        <v/>
      </c>
      <c r="F5" s="45">
        <f>IF(C5=0, 0, E5/C5)</f>
        <v/>
      </c>
    </row>
    <row r="6" ht="18" customHeight="1" s="38"/>
    <row r="7" ht="19.5" customHeight="1" s="38">
      <c r="B7" s="46" t="inlineStr">
        <is>
          <t>Resumen por Segmento</t>
        </is>
      </c>
      <c r="C7" s="47" t="inlineStr">
        <is>
          <t>VIP Top</t>
        </is>
      </c>
      <c r="D7" s="47" t="inlineStr">
        <is>
          <t>Intelig. Mercado</t>
        </is>
      </c>
      <c r="E7" s="47" t="inlineStr">
        <is>
          <t>Base Completa</t>
        </is>
      </c>
      <c r="F7" s="47" t="inlineStr">
        <is>
          <t>TOTAL</t>
        </is>
      </c>
    </row>
    <row r="8" ht="18" customHeight="1" s="38">
      <c r="B8" s="48" t="inlineStr">
        <is>
          <t>Total Prospectos</t>
        </is>
      </c>
      <c r="C8" s="49">
        <f>COUNTA(CUENTAS_VIP_TOP!A:A)-1</f>
        <v/>
      </c>
      <c r="D8" s="49">
        <f>COUNTA(INTELIGENCIA_MERCADO!A:A)-1</f>
        <v/>
      </c>
      <c r="E8" s="49">
        <f>COUNTA(BASE_COMPLETA_LIMPIA!A:A)-1</f>
        <v/>
      </c>
      <c r="F8" s="50">
        <f>COUNTA(CUENTAS_VIP_TOP!A:A)-1+COUNTA(INTELIGENCIA_MERCADO!A:A)-1+COUNTA(BASE_COMPLETA_LIMPIA!A:A)-1</f>
        <v/>
      </c>
    </row>
    <row r="9" ht="18" customHeight="1" s="38">
      <c r="B9" s="51" t="inlineStr">
        <is>
          <t>Contactadas</t>
        </is>
      </c>
      <c r="C9" s="52">
        <f>COUNTIF(CUENTAS_VIP_TOP!N:N, "Contactada")</f>
        <v/>
      </c>
      <c r="D9" s="52">
        <f>COUNTIF(INTELIGENCIA_MERCADO!M:M, "Contactada")</f>
        <v/>
      </c>
      <c r="E9" s="52">
        <f>COUNTIF(BASE_COMPLETA_LIMPIA!L:L, "Contactada")</f>
        <v/>
      </c>
      <c r="F9" s="53">
        <f>COUNTIF(CUENTAS_VIP_TOP!N:N, "Contactada")+COUNTIF(INTELIGENCIA_MERCADO!M:M, "Contactada")+COUNTIF(BASE_COMPLETA_LIMPIA!L:L, "Contactada")</f>
        <v/>
      </c>
    </row>
    <row r="10" ht="18" customHeight="1" s="38">
      <c r="B10" s="48" t="inlineStr">
        <is>
          <t>No Contactadas</t>
        </is>
      </c>
      <c r="C10" s="49">
        <f>C8-C9</f>
        <v/>
      </c>
      <c r="D10" s="49">
        <f>D8-D9</f>
        <v/>
      </c>
      <c r="E10" s="49">
        <f>E8-E9</f>
        <v/>
      </c>
      <c r="F10" s="50">
        <f>F8-F9</f>
        <v/>
      </c>
    </row>
    <row r="11" ht="18" customHeight="1" s="38"/>
    <row r="12" ht="19.5" customHeight="1" s="38">
      <c r="B12" s="46" t="inlineStr">
        <is>
          <t>Estado de Gestión</t>
        </is>
      </c>
      <c r="C12" s="47" t="inlineStr">
        <is>
          <t>VIP Top</t>
        </is>
      </c>
      <c r="D12" s="47" t="inlineStr">
        <is>
          <t>Intelig. Mercado</t>
        </is>
      </c>
      <c r="E12" s="47" t="inlineStr">
        <is>
          <t>Base Completa</t>
        </is>
      </c>
      <c r="F12" s="47" t="inlineStr">
        <is>
          <t>TOTAL</t>
        </is>
      </c>
    </row>
    <row r="13" ht="18" customHeight="1" s="38">
      <c r="B13" s="48" t="inlineStr">
        <is>
          <t>Reunión agendada</t>
        </is>
      </c>
      <c r="C13" s="49">
        <f>COUNTIF(CUENTAS_VIP_TOP!O:O, "Reunión agendada")</f>
        <v/>
      </c>
      <c r="D13" s="49">
        <f>COUNTIF(INTELIGENCIA_MERCADO!N:N, "Reunión agendada")</f>
        <v/>
      </c>
      <c r="E13" s="49">
        <f>COUNTIF(BASE_COMPLETA_LIMPIA!M:M, "Reunión agendada")</f>
        <v/>
      </c>
      <c r="F13" s="50">
        <f>COUNTIF(CUENTAS_VIP_TOP!O:O, "Reunión agendada")+COUNTIF(INTELIGENCIA_MERCADO!N:N, "Reunión agendada")+COUNTIF(BASE_COMPLETA_LIMPIA!M:M, "Reunión agendada")</f>
        <v/>
      </c>
    </row>
    <row r="14" ht="18" customHeight="1" s="38">
      <c r="B14" s="51" t="inlineStr">
        <is>
          <t>No Reunión</t>
        </is>
      </c>
      <c r="C14" s="52">
        <f>COUNTIF(CUENTAS_VIP_TOP!O:O, "No Reunión")</f>
        <v/>
      </c>
      <c r="D14" s="52">
        <f>COUNTIF(INTELIGENCIA_MERCADO!N:N, "No Reunión")</f>
        <v/>
      </c>
      <c r="E14" s="52">
        <f>COUNTIF(BASE_COMPLETA_LIMPIA!M:M, "No Reunión")</f>
        <v/>
      </c>
      <c r="F14" s="53">
        <f>COUNTIF(CUENTAS_VIP_TOP!O:O, "No Reunión")+COUNTIF(INTELIGENCIA_MERCADO!N:N, "No Reunión")+COUNTIF(BASE_COMPLETA_LIMPIA!M:M, "No Reunión")</f>
        <v/>
      </c>
    </row>
    <row r="15" ht="18" customHeight="1" s="38">
      <c r="B15" s="48" t="inlineStr">
        <is>
          <t>No le interesó</t>
        </is>
      </c>
      <c r="C15" s="49">
        <f>COUNTIF(CUENTAS_VIP_TOP!O:O, "No le interesó")</f>
        <v/>
      </c>
      <c r="D15" s="49">
        <f>COUNTIF(INTELIGENCIA_MERCADO!N:N, "No le interesó")</f>
        <v/>
      </c>
      <c r="E15" s="49">
        <f>COUNTIF(BASE_COMPLETA_LIMPIA!M:M, "No le interesó")</f>
        <v/>
      </c>
      <c r="F15" s="50">
        <f>COUNTIF(CUENTAS_VIP_TOP!O:O, "No le interesó")+COUNTIF(INTELIGENCIA_MERCADO!N:N, "No le interesó")+COUNTIF(BASE_COMPLETA_LIMPIA!M:M, "No le interesó")</f>
        <v/>
      </c>
    </row>
    <row r="16" ht="18" customHeight="1" s="38">
      <c r="B16" s="51" t="inlineStr">
        <is>
          <t>Lo verá</t>
        </is>
      </c>
      <c r="C16" s="52">
        <f>COUNTIF(CUENTAS_VIP_TOP!O:O, "Lo verá")</f>
        <v/>
      </c>
      <c r="D16" s="52">
        <f>COUNTIF(INTELIGENCIA_MERCADO!N:N, "Lo verá")</f>
        <v/>
      </c>
      <c r="E16" s="52">
        <f>COUNTIF(BASE_COMPLETA_LIMPIA!M:M, "Lo verá")</f>
        <v/>
      </c>
      <c r="F16" s="53">
        <f>COUNTIF(CUENTAS_VIP_TOP!O:O, "Lo verá")+COUNTIF(INTELIGENCIA_MERCADO!N:N, "Lo verá")+COUNTIF(BASE_COMPLETA_LIMPIA!M:M, "Lo verá")</f>
        <v/>
      </c>
    </row>
    <row r="17" ht="18" customHeight="1" s="38">
      <c r="B17" s="48" t="inlineStr">
        <is>
          <t>Me llamará</t>
        </is>
      </c>
      <c r="C17" s="49">
        <f>COUNTIF(CUENTAS_VIP_TOP!O:O, "Me llamará")</f>
        <v/>
      </c>
      <c r="D17" s="49">
        <f>COUNTIF(INTELIGENCIA_MERCADO!N:N, "Me llamará")</f>
        <v/>
      </c>
      <c r="E17" s="49">
        <f>COUNTIF(BASE_COMPLETA_LIMPIA!M:M, "Me llamará")</f>
        <v/>
      </c>
      <c r="F17" s="50">
        <f>COUNTIF(CUENTAS_VIP_TOP!O:O, "Me llamará")+COUNTIF(INTELIGENCIA_MERCADO!N:N, "Me llamará")+COUNTIF(BASE_COMPLETA_LIMPIA!M:M, "Me llamará")</f>
        <v/>
      </c>
    </row>
    <row r="18" ht="18" customHeight="1" s="38">
      <c r="B18" s="51" t="inlineStr">
        <is>
          <t>Otro</t>
        </is>
      </c>
      <c r="C18" s="52">
        <f>COUNTIF(CUENTAS_VIP_TOP!O:O, "Otro")</f>
        <v/>
      </c>
      <c r="D18" s="52">
        <f>COUNTIF(INTELIGENCIA_MERCADO!N:N, "Otro")</f>
        <v/>
      </c>
      <c r="E18" s="52">
        <f>COUNTIF(BASE_COMPLETA_LIMPIA!M:M, "Otro")</f>
        <v/>
      </c>
      <c r="F18" s="53">
        <f>COUNTIF(CUENTAS_VIP_TOP!O:O, "Otro")+COUNTIF(INTELIGENCIA_MERCADO!N:N, "Otro")+COUNTIF(BASE_COMPLETA_LIMPIA!M:M, "Otro")</f>
        <v/>
      </c>
    </row>
    <row r="19" ht="18" customHeight="1" s="38"/>
    <row r="20" ht="18" customHeight="1" s="38"/>
    <row r="21" ht="19.5" customHeight="1" s="38">
      <c r="B21" s="46" t="inlineStr">
        <is>
          <t>Canal de Contacto</t>
        </is>
      </c>
      <c r="C21" s="47" t="inlineStr">
        <is>
          <t>VIP Top</t>
        </is>
      </c>
      <c r="D21" s="47" t="inlineStr">
        <is>
          <t>Intelig. Mercado</t>
        </is>
      </c>
      <c r="E21" s="47" t="inlineStr">
        <is>
          <t>Base Completa</t>
        </is>
      </c>
      <c r="F21" s="47" t="inlineStr">
        <is>
          <t>TOTAL</t>
        </is>
      </c>
    </row>
    <row r="22" ht="18" customHeight="1" s="38">
      <c r="B22" s="48" t="inlineStr">
        <is>
          <t>LinkedIn</t>
        </is>
      </c>
      <c r="C22" s="49">
        <f>COUNTIF(CUENTAS_VIP_TOP!R:R, "LinkedIn")</f>
        <v/>
      </c>
      <c r="D22" s="49">
        <f>COUNTIF(INTELIGENCIA_MERCADO!Q:Q, "LinkedIn")</f>
        <v/>
      </c>
      <c r="E22" s="49">
        <f>COUNTIF(BASE_COMPLETA_LIMPIA!P:P, "LinkedIn")</f>
        <v/>
      </c>
      <c r="F22" s="50">
        <f>COUNTIF(CUENTAS_VIP_TOP!R:R, "LinkedIn")+COUNTIF(INTELIGENCIA_MERCADO!Q:Q, "LinkedIn")+COUNTIF(BASE_COMPLETA_LIMPIA!P:P, "LinkedIn")</f>
        <v/>
      </c>
    </row>
    <row r="23" ht="18" customHeight="1" s="38">
      <c r="B23" s="51" t="inlineStr">
        <is>
          <t>Correo</t>
        </is>
      </c>
      <c r="C23" s="52">
        <f>COUNTIF(CUENTAS_VIP_TOP!R:R, "Correo")</f>
        <v/>
      </c>
      <c r="D23" s="52">
        <f>COUNTIF(INTELIGENCIA_MERCADO!Q:Q, "Correo")</f>
        <v/>
      </c>
      <c r="E23" s="52">
        <f>COUNTIF(BASE_COMPLETA_LIMPIA!P:P, "Correo")</f>
        <v/>
      </c>
      <c r="F23" s="53">
        <f>COUNTIF(CUENTAS_VIP_TOP!R:R, "Correo")+COUNTIF(INTELIGENCIA_MERCADO!Q:Q, "Correo")+COUNTIF(BASE_COMPLETA_LIMPIA!P:P, "Correo")</f>
        <v/>
      </c>
    </row>
    <row r="24" ht="18" customHeight="1" s="38">
      <c r="B24" s="48" t="inlineStr">
        <is>
          <t>Teléfono</t>
        </is>
      </c>
      <c r="C24" s="49">
        <f>COUNTIF(CUENTAS_VIP_TOP!R:R, "Teléfono")</f>
        <v/>
      </c>
      <c r="D24" s="49">
        <f>COUNTIF(INTELIGENCIA_MERCADO!Q:Q, "Teléfono")</f>
        <v/>
      </c>
      <c r="E24" s="49">
        <f>COUNTIF(BASE_COMPLETA_LIMPIA!P:P, "Teléfono")</f>
        <v/>
      </c>
      <c r="F24" s="50">
        <f>COUNTIF(CUENTAS_VIP_TOP!R:R, "Teléfono")+COUNTIF(INTELIGENCIA_MERCADO!Q:Q, "Teléfono")+COUNTIF(BASE_COMPLETA_LIMPIA!P:P, "Teléfono")</f>
        <v/>
      </c>
    </row>
    <row r="25" ht="18" customHeight="1" s="38">
      <c r="B25" s="51" t="inlineStr">
        <is>
          <t>Contacto Directo</t>
        </is>
      </c>
      <c r="C25" s="52">
        <f>COUNTIF(CUENTAS_VIP_TOP!R:R, "Contacto Directo")</f>
        <v/>
      </c>
      <c r="D25" s="52">
        <f>COUNTIF(INTELIGENCIA_MERCADO!Q:Q, "Contacto Directo")</f>
        <v/>
      </c>
      <c r="E25" s="52">
        <f>COUNTIF(BASE_COMPLETA_LIMPIA!P:P, "Contacto Directo")</f>
        <v/>
      </c>
      <c r="F25" s="53">
        <f>COUNTIF(CUENTAS_VIP_TOP!R:R, "Contacto Directo")+COUNTIF(INTELIGENCIA_MERCADO!Q:Q, "Contacto Directo")+COUNTIF(BASE_COMPLETA_LIMPIA!P:P, "Contacto Directo")</f>
        <v/>
      </c>
    </row>
    <row r="26" ht="18" customHeight="1" s="38"/>
    <row r="27" ht="18" customHeight="1" s="38"/>
    <row r="28" ht="19.5" customHeight="1" s="38">
      <c r="B28" s="46" t="inlineStr">
        <is>
          <t>Conversión por Canal</t>
        </is>
      </c>
      <c r="C28" s="47" t="inlineStr">
        <is>
          <t>Contactados</t>
        </is>
      </c>
      <c r="D28" s="47" t="inlineStr">
        <is>
          <t>Reuniones</t>
        </is>
      </c>
      <c r="E28" s="47" t="inlineStr">
        <is>
          <t>Tasa de Éxito</t>
        </is>
      </c>
    </row>
    <row r="29" ht="18" customHeight="1" s="38">
      <c r="B29" s="48" t="inlineStr">
        <is>
          <t>LinkedIn</t>
        </is>
      </c>
      <c r="C29" s="49">
        <f>COUNTIF(CUENTAS_VIP_TOP!R:R, "LinkedIn")+COUNTIF(INTELIGENCIA_MERCADO!Q:Q, "LinkedIn")+COUNTIF(BASE_COMPLETA_LIMPIA!P:P, "LinkedIn")</f>
        <v/>
      </c>
      <c r="D29" s="49">
        <f>COUNTIFS(CUENTAS_VIP_TOP!R:R, "LinkedIn", CUENTAS_VIP_TOP!O:O, "Reunión agendada")+COUNTIFS(INTELIGENCIA_MERCADO!Q:Q, "LinkedIn", INTELIGENCIA_MERCADO!N:N, "Reunión agendada")+COUNTIFS(BASE_COMPLETA_LIMPIA!P:P, "LinkedIn", BASE_COMPLETA_LIMPIA!M:M, "Reunión agendada")</f>
        <v/>
      </c>
      <c r="E29" s="54">
        <f>IF(C29=0, 0, D29/C29)</f>
        <v/>
      </c>
    </row>
    <row r="30" ht="18" customHeight="1" s="38">
      <c r="B30" s="51" t="inlineStr">
        <is>
          <t>Correo</t>
        </is>
      </c>
      <c r="C30" s="52">
        <f>COUNTIF(CUENTAS_VIP_TOP!R:R, "Correo")+COUNTIF(INTELIGENCIA_MERCADO!Q:Q, "Correo")+COUNTIF(BASE_COMPLETA_LIMPIA!P:P, "Correo")</f>
        <v/>
      </c>
      <c r="D30" s="52">
        <f>COUNTIFS(CUENTAS_VIP_TOP!R:R, "Correo", CUENTAS_VIP_TOP!O:O, "Reunión agendada")+COUNTIFS(INTELIGENCIA_MERCADO!Q:Q, "Correo", INTELIGENCIA_MERCADO!N:N, "Reunión agendada")+COUNTIFS(BASE_COMPLETA_LIMPIA!P:P, "Correo", BASE_COMPLETA_LIMPIA!M:M, "Reunión agendada")</f>
        <v/>
      </c>
      <c r="E30" s="55">
        <f>IF(C30=0, 0, D30/C30)</f>
        <v/>
      </c>
    </row>
    <row r="31" ht="18" customHeight="1" s="38">
      <c r="B31" s="48" t="inlineStr">
        <is>
          <t>Teléfono</t>
        </is>
      </c>
      <c r="C31" s="49">
        <f>COUNTIF(CUENTAS_VIP_TOP!R:R, "Teléfono")+COUNTIF(INTELIGENCIA_MERCADO!Q:Q, "Teléfono")+COUNTIF(BASE_COMPLETA_LIMPIA!P:P, "Teléfono")</f>
        <v/>
      </c>
      <c r="D31" s="49">
        <f>COUNTIFS(CUENTAS_VIP_TOP!R:R, "Teléfono", CUENTAS_VIP_TOP!O:O, "Reunión agendada")+COUNTIFS(INTELIGENCIA_MERCADO!Q:Q, "Teléfono", INTELIGENCIA_MERCADO!N:N, "Reunión agendada")+COUNTIFS(BASE_COMPLETA_LIMPIA!P:P, "Teléfono", BASE_COMPLETA_LIMPIA!M:M, "Reunión agendada")</f>
        <v/>
      </c>
      <c r="E31" s="54">
        <f>IF(C31=0, 0, D31/C31)</f>
        <v/>
      </c>
    </row>
    <row r="32" ht="18" customHeight="1" s="38">
      <c r="B32" s="51" t="inlineStr">
        <is>
          <t>Contacto Directo</t>
        </is>
      </c>
      <c r="C32" s="52">
        <f>COUNTIF(CUENTAS_VIP_TOP!R:R, "Contacto Directo")+COUNTIF(INTELIGENCIA_MERCADO!Q:Q, "Contacto Directo")+COUNTIF(BASE_COMPLETA_LIMPIA!P:P, "Contacto Directo")</f>
        <v/>
      </c>
      <c r="D32" s="52">
        <f>COUNTIFS(CUENTAS_VIP_TOP!R:R, "Contacto Directo", CUENTAS_VIP_TOP!O:O, "Reunión agendada")+COUNTIFS(INTELIGENCIA_MERCADO!Q:Q, "Contacto Directo", INTELIGENCIA_MERCADO!N:N, "Reunión agendada")+COUNTIFS(BASE_COMPLETA_LIMPIA!P:P, "Contacto Directo", BASE_COMPLETA_LIMPIA!M:M, "Reunión agendada")</f>
        <v/>
      </c>
      <c r="E32" s="55">
        <f>IF(C32=0, 0, D32/C32)</f>
        <v/>
      </c>
    </row>
    <row r="33" ht="18" customHeight="1" s="38"/>
    <row r="34" ht="18" customHeight="1" s="38"/>
    <row r="35" ht="19.5" customHeight="1" s="38">
      <c r="B35" s="46" t="inlineStr">
        <is>
          <t>Pipeline (Embudo)</t>
        </is>
      </c>
      <c r="C35" s="47" t="inlineStr">
        <is>
          <t>Cantidad</t>
        </is>
      </c>
      <c r="D35" s="47" t="inlineStr">
        <is>
          <t>% del Total</t>
        </is>
      </c>
    </row>
    <row r="36" ht="18" customHeight="1" s="38">
      <c r="B36" s="48" t="inlineStr">
        <is>
          <t>Total Prospectos</t>
        </is>
      </c>
      <c r="C36" s="50">
        <f>COUNTA(CUENTAS_VIP_TOP!A:A)-1+COUNTA(INTELIGENCIA_MERCADO!A:A)-1+COUNTA(BASE_COMPLETA_LIMPIA!A:A)-1</f>
        <v/>
      </c>
      <c r="D36" s="56">
        <f>IF(C$36=0, 0, C36/C$36)</f>
        <v/>
      </c>
    </row>
    <row r="37" ht="18" customHeight="1" s="38">
      <c r="B37" s="51" t="inlineStr">
        <is>
          <t>Contactadas</t>
        </is>
      </c>
      <c r="C37" s="53">
        <f>COUNTIF(CUENTAS_VIP_TOP!N:N, "Contactada")+COUNTIF(INTELIGENCIA_MERCADO!M:M, "Contactada")+COUNTIF(BASE_COMPLETA_LIMPIA!L:L, "Contactada")</f>
        <v/>
      </c>
      <c r="D37" s="57">
        <f>IF(C$36=0, 0, C37/C$36)</f>
        <v/>
      </c>
    </row>
    <row r="38" ht="18" customHeight="1" s="38">
      <c r="B38" s="48" t="inlineStr">
        <is>
          <t>En Seguimiento</t>
        </is>
      </c>
      <c r="C38" s="50">
        <f>COUNTIF(CUENTAS_VIP_TOP!O:O, "Lo verá")+COUNTIF(INTELIGENCIA_MERCADO!N:N, "Lo verá")+COUNTIF(BASE_COMPLETA_LIMPIA!M:M, "Lo verá")+COUNTIF(CUENTAS_VIP_TOP!O:O, "Me llamará")+COUNTIF(INTELIGENCIA_MERCADO!N:N, "Me llamará")+COUNTIF(BASE_COMPLETA_LIMPIA!M:M, "Me llamará")</f>
        <v/>
      </c>
      <c r="D38" s="56">
        <f>IF(C$36=0, 0, C38/C$36)</f>
        <v/>
      </c>
    </row>
    <row r="39" ht="18" customHeight="1" s="38">
      <c r="B39" s="51" t="inlineStr">
        <is>
          <t>Reuniones Agendadas</t>
        </is>
      </c>
      <c r="C39" s="53">
        <f>COUNTIF(CUENTAS_VIP_TOP!O:O, "Reunión agendada")+COUNTIF(INTELIGENCIA_MERCADO!N:N, "Reunión agendada")+COUNTIF(BASE_COMPLETA_LIMPIA!M:M, "Reunión agendada")</f>
        <v/>
      </c>
      <c r="D39" s="57">
        <f>IF(C$36=0, 0, C39/C$36)</f>
        <v/>
      </c>
    </row>
    <row r="40" ht="15.75" customHeight="1" s="38"/>
    <row r="41" ht="15.75" customHeight="1" s="38"/>
    <row r="42" ht="19.5" customHeight="1" s="38">
      <c r="B42" s="46" t="inlineStr">
        <is>
          <t>Seguimientos</t>
        </is>
      </c>
      <c r="C42" s="47" t="inlineStr">
        <is>
          <t>Cantidad</t>
        </is>
      </c>
    </row>
    <row r="43" ht="15.75" customHeight="1" s="38">
      <c r="B43" s="48" t="inlineStr">
        <is>
          <t>⚠ Vencidos (pasó la fecha)</t>
        </is>
      </c>
      <c r="C43" s="50">
        <f>COUNTIFS(CUENTAS_VIP_TOP!S:S, "&lt;"&amp;TODAY(), CUENTAS_VIP_TOP!S:S, "&lt;&gt;"&amp;"")+COUNTIFS(INTELIGENCIA_MERCADO!R:R, "&lt;"&amp;TODAY(), INTELIGENCIA_MERCADO!R:R, "&lt;&gt;"&amp;"")+COUNTIFS(BASE_COMPLETA_LIMPIA!Q:Q, "&lt;"&amp;TODAY(), BASE_COMPLETA_LIMPIA!Q:Q, "&lt;&gt;"&amp;"")</f>
        <v/>
      </c>
    </row>
    <row r="44" ht="15.75" customHeight="1" s="38">
      <c r="B44" s="51" t="inlineStr">
        <is>
          <t>📌 Para Hoy</t>
        </is>
      </c>
      <c r="C44" s="53">
        <f>COUNTIFS(CUENTAS_VIP_TOP!S:S, "="&amp;TODAY())+COUNTIFS(INTELIGENCIA_MERCADO!R:R, "="&amp;TODAY())+COUNTIFS(BASE_COMPLETA_LIMPIA!Q:Q, "="&amp;TODAY())</f>
        <v/>
      </c>
    </row>
    <row r="45" ht="15.75" customHeight="1" s="38">
      <c r="B45" s="48" t="inlineStr">
        <is>
          <t>📅 Pendientes (futuro)</t>
        </is>
      </c>
      <c r="C45" s="50">
        <f>COUNTIFS(CUENTAS_VIP_TOP!S:S, "&gt;"&amp;TODAY())+COUNTIFS(INTELIGENCIA_MERCADO!R:R, "&gt;"&amp;TODAY())+COUNTIFS(BASE_COMPLETA_LIMPIA!Q:Q, "&gt;"&amp;TODAY())</f>
        <v/>
      </c>
    </row>
    <row r="46" ht="15.75" customHeight="1" s="38"/>
    <row r="47" ht="15.75" customHeight="1" s="38"/>
    <row r="48" ht="15.75" customHeight="1" s="38"/>
    <row r="49" ht="15.75" customHeight="1" s="38"/>
    <row r="50" ht="15.75" customHeight="1" s="38"/>
    <row r="51" ht="15.75" customHeight="1" s="38"/>
    <row r="52" ht="15.75" customHeight="1" s="38"/>
    <row r="53" ht="15.75" customHeight="1" s="38"/>
    <row r="54" ht="15.75" customHeight="1" s="38"/>
    <row r="55" ht="15.75" customHeight="1" s="38"/>
    <row r="56" ht="15.75" customHeight="1" s="38"/>
    <row r="57" ht="15.75" customHeight="1" s="38"/>
    <row r="58" ht="15.75" customHeight="1" s="38"/>
    <row r="59" ht="15.75" customHeight="1" s="38"/>
    <row r="60" ht="15.75" customHeight="1" s="38"/>
    <row r="61" ht="15.75" customHeight="1" s="38"/>
    <row r="62" ht="15.75" customHeight="1" s="38"/>
    <row r="63" ht="15.75" customHeight="1" s="38"/>
    <row r="64" ht="15.75" customHeight="1" s="38"/>
    <row r="65" ht="15.75" customHeight="1" s="38"/>
    <row r="66" ht="15.75" customHeight="1" s="38"/>
    <row r="67" ht="15.75" customHeight="1" s="38"/>
    <row r="68" ht="15.75" customHeight="1" s="38"/>
    <row r="69" ht="15.75" customHeight="1" s="38"/>
    <row r="70" ht="15.75" customHeight="1" s="38"/>
    <row r="71" ht="15.75" customHeight="1" s="38"/>
    <row r="72" ht="15.75" customHeight="1" s="38"/>
    <row r="73" ht="15.75" customHeight="1" s="38"/>
    <row r="74" ht="15.75" customHeight="1" s="38"/>
    <row r="75" ht="15.75" customHeight="1" s="38"/>
    <row r="76" ht="15.75" customHeight="1" s="38"/>
    <row r="77" ht="15.75" customHeight="1" s="38"/>
    <row r="78" ht="15.75" customHeight="1" s="38"/>
    <row r="79" ht="15.75" customHeight="1" s="38"/>
    <row r="80" ht="15.75" customHeight="1" s="38"/>
    <row r="81" ht="15.75" customHeight="1" s="38"/>
    <row r="82" ht="15.75" customHeight="1" s="38"/>
    <row r="83" ht="15.75" customHeight="1" s="38"/>
    <row r="84" ht="15.75" customHeight="1" s="38"/>
    <row r="85" ht="15.75" customHeight="1" s="38"/>
    <row r="86" ht="15.75" customHeight="1" s="38"/>
    <row r="87" ht="15.75" customHeight="1" s="38"/>
    <row r="88" ht="15.75" customHeight="1" s="38"/>
    <row r="89" ht="15.75" customHeight="1" s="38"/>
    <row r="90" ht="15.75" customHeight="1" s="38"/>
    <row r="91" ht="15.75" customHeight="1" s="38"/>
    <row r="92" ht="15.75" customHeight="1" s="38"/>
    <row r="93" ht="15.75" customHeight="1" s="38"/>
    <row r="94" ht="15.75" customHeight="1" s="38"/>
    <row r="95" ht="15.75" customHeight="1" s="38"/>
    <row r="96" ht="15.75" customHeight="1" s="38"/>
    <row r="97" ht="15.75" customHeight="1" s="38"/>
    <row r="98" ht="15.75" customHeight="1" s="38"/>
    <row r="99" ht="15.75" customHeight="1" s="38"/>
    <row r="100" ht="15.75" customHeight="1" s="38"/>
    <row r="101" ht="15.75" customHeight="1" s="38"/>
    <row r="102" ht="15.75" customHeight="1" s="38"/>
    <row r="103" ht="15.75" customHeight="1" s="38"/>
    <row r="104" ht="15.75" customHeight="1" s="38"/>
    <row r="105" ht="15.75" customHeight="1" s="38"/>
    <row r="106" ht="15.75" customHeight="1" s="38"/>
    <row r="107" ht="15.75" customHeight="1" s="38"/>
    <row r="108" ht="15.75" customHeight="1" s="38"/>
    <row r="109" ht="15.75" customHeight="1" s="38"/>
    <row r="110" ht="15.75" customHeight="1" s="38"/>
    <row r="111" ht="15.75" customHeight="1" s="38"/>
    <row r="112" ht="15.75" customHeight="1" s="38"/>
    <row r="113" ht="15.75" customHeight="1" s="38"/>
    <row r="114" ht="15.75" customHeight="1" s="38"/>
    <row r="115" ht="15.75" customHeight="1" s="38"/>
    <row r="116" ht="15.75" customHeight="1" s="38"/>
    <row r="117" ht="15.75" customHeight="1" s="38"/>
    <row r="118" ht="15.75" customHeight="1" s="38"/>
    <row r="119" ht="15.75" customHeight="1" s="38"/>
    <row r="120" ht="15.75" customHeight="1" s="38"/>
    <row r="121" ht="15.75" customHeight="1" s="38"/>
    <row r="122" ht="15.75" customHeight="1" s="38"/>
    <row r="123" ht="15.75" customHeight="1" s="38"/>
    <row r="124" ht="15.75" customHeight="1" s="38"/>
    <row r="125" ht="15.75" customHeight="1" s="38"/>
    <row r="126" ht="15.75" customHeight="1" s="38"/>
    <row r="127" ht="15.75" customHeight="1" s="38"/>
    <row r="128" ht="15.75" customHeight="1" s="38"/>
    <row r="129" ht="15.75" customHeight="1" s="38"/>
    <row r="130" ht="15.75" customHeight="1" s="38"/>
    <row r="131" ht="15.75" customHeight="1" s="38"/>
    <row r="132" ht="15.75" customHeight="1" s="38"/>
    <row r="133" ht="15.75" customHeight="1" s="38"/>
    <row r="134" ht="15.75" customHeight="1" s="38"/>
    <row r="135" ht="15.75" customHeight="1" s="38"/>
    <row r="136" ht="15.75" customHeight="1" s="38"/>
    <row r="137" ht="15.75" customHeight="1" s="38"/>
    <row r="138" ht="15.75" customHeight="1" s="38"/>
    <row r="139" ht="15.75" customHeight="1" s="38"/>
    <row r="140" ht="15.75" customHeight="1" s="38"/>
    <row r="141" ht="15.75" customHeight="1" s="38"/>
    <row r="142" ht="15.75" customHeight="1" s="38"/>
    <row r="143" ht="15.75" customHeight="1" s="38"/>
    <row r="144" ht="15.75" customHeight="1" s="38"/>
    <row r="145" ht="15.75" customHeight="1" s="38"/>
    <row r="146" ht="15.75" customHeight="1" s="38"/>
    <row r="147" ht="15.75" customHeight="1" s="38"/>
    <row r="148" ht="15.75" customHeight="1" s="38"/>
    <row r="149" ht="15.75" customHeight="1" s="38"/>
    <row r="150" ht="15.75" customHeight="1" s="38"/>
    <row r="151" ht="15.75" customHeight="1" s="38"/>
    <row r="152" ht="15.75" customHeight="1" s="38"/>
    <row r="153" ht="15.75" customHeight="1" s="38"/>
    <row r="154" ht="15.75" customHeight="1" s="38"/>
    <row r="155" ht="15.75" customHeight="1" s="38"/>
    <row r="156" ht="15.75" customHeight="1" s="38"/>
    <row r="157" ht="15.75" customHeight="1" s="38"/>
    <row r="158" ht="15.75" customHeight="1" s="38"/>
    <row r="159" ht="15.75" customHeight="1" s="38"/>
    <row r="160" ht="15.75" customHeight="1" s="38"/>
    <row r="161" ht="15.75" customHeight="1" s="38"/>
    <row r="162" ht="15.75" customHeight="1" s="38"/>
    <row r="163" ht="15.75" customHeight="1" s="38"/>
    <row r="164" ht="15.75" customHeight="1" s="38"/>
    <row r="165" ht="15.75" customHeight="1" s="38"/>
    <row r="166" ht="15.75" customHeight="1" s="38"/>
    <row r="167" ht="15.75" customHeight="1" s="38"/>
    <row r="168" ht="15.75" customHeight="1" s="38"/>
    <row r="169" ht="15.75" customHeight="1" s="38"/>
    <row r="170" ht="15.75" customHeight="1" s="38"/>
    <row r="171" ht="15.75" customHeight="1" s="38"/>
    <row r="172" ht="15.75" customHeight="1" s="38"/>
    <row r="173" ht="15.75" customHeight="1" s="38"/>
    <row r="174" ht="15.75" customHeight="1" s="38"/>
    <row r="175" ht="15.75" customHeight="1" s="38"/>
    <row r="176" ht="15.75" customHeight="1" s="38"/>
    <row r="177" ht="15.75" customHeight="1" s="38"/>
    <row r="178" ht="15.75" customHeight="1" s="38"/>
    <row r="179" ht="15.75" customHeight="1" s="38"/>
    <row r="180" ht="15.75" customHeight="1" s="38"/>
    <row r="181" ht="15.75" customHeight="1" s="38"/>
    <row r="182" ht="15.75" customHeight="1" s="38"/>
    <row r="183" ht="15.75" customHeight="1" s="38"/>
    <row r="184" ht="15.75" customHeight="1" s="38"/>
    <row r="185" ht="15.75" customHeight="1" s="38"/>
    <row r="186" ht="15.75" customHeight="1" s="38"/>
    <row r="187" ht="15.75" customHeight="1" s="38"/>
    <row r="188" ht="15.75" customHeight="1" s="38"/>
    <row r="189" ht="15.75" customHeight="1" s="38"/>
    <row r="190" ht="15.75" customHeight="1" s="38"/>
    <row r="191" ht="15.75" customHeight="1" s="38"/>
    <row r="192" ht="15.75" customHeight="1" s="38"/>
    <row r="193" ht="15.75" customHeight="1" s="38"/>
    <row r="194" ht="15.75" customHeight="1" s="38"/>
    <row r="195" ht="15.75" customHeight="1" s="38"/>
    <row r="196" ht="15.75" customHeight="1" s="38"/>
    <row r="197" ht="15.75" customHeight="1" s="38"/>
    <row r="198" ht="15.75" customHeight="1" s="38"/>
    <row r="199" ht="15.75" customHeight="1" s="38"/>
    <row r="200" ht="15.75" customHeight="1" s="38"/>
    <row r="201" ht="15.75" customHeight="1" s="38"/>
    <row r="202" ht="15.75" customHeight="1" s="38"/>
    <row r="203" ht="15.75" customHeight="1" s="38"/>
    <row r="204" ht="15.75" customHeight="1" s="38"/>
    <row r="205" ht="15.75" customHeight="1" s="38"/>
    <row r="206" ht="15.75" customHeight="1" s="38"/>
    <row r="207" ht="15.75" customHeight="1" s="38"/>
    <row r="208" ht="15.75" customHeight="1" s="38"/>
    <row r="209" ht="15.75" customHeight="1" s="38"/>
    <row r="210" ht="15.75" customHeight="1" s="38"/>
    <row r="211" ht="15.75" customHeight="1" s="38"/>
    <row r="212" ht="15.75" customHeight="1" s="38"/>
    <row r="213" ht="15.75" customHeight="1" s="38"/>
    <row r="214" ht="15.75" customHeight="1" s="38"/>
    <row r="215" ht="15.75" customHeight="1" s="38"/>
    <row r="216" ht="15.75" customHeight="1" s="38"/>
    <row r="217" ht="15.75" customHeight="1" s="38"/>
    <row r="218" ht="15.75" customHeight="1" s="38"/>
    <row r="219" ht="15.75" customHeight="1" s="38"/>
    <row r="220" ht="15.75" customHeight="1" s="38"/>
    <row r="221" ht="15.75" customHeight="1" s="38"/>
    <row r="222" ht="15.75" customHeight="1" s="38"/>
    <row r="223" ht="15.75" customHeight="1" s="38"/>
    <row r="224" ht="15.75" customHeight="1" s="38"/>
    <row r="225" ht="15.75" customHeight="1" s="38"/>
    <row r="226" ht="15.75" customHeight="1" s="38"/>
    <row r="227" ht="15.75" customHeight="1" s="38"/>
    <row r="228" ht="15.75" customHeight="1" s="38"/>
    <row r="229" ht="15.75" customHeight="1" s="38"/>
    <row r="230" ht="15.75" customHeight="1" s="38"/>
    <row r="231" ht="15.75" customHeight="1" s="38"/>
    <row r="232" ht="15.75" customHeight="1" s="38"/>
    <row r="233" ht="15.75" customHeight="1" s="38"/>
    <row r="234" ht="15.75" customHeight="1" s="38"/>
    <row r="235" ht="15.75" customHeight="1" s="38"/>
    <row r="236" ht="15.75" customHeight="1" s="38"/>
    <row r="237" ht="15.75" customHeight="1" s="38"/>
    <row r="238" ht="15.75" customHeight="1" s="38"/>
    <row r="239" ht="15.75" customHeight="1" s="38"/>
    <row r="240" ht="15.75" customHeight="1" s="38"/>
    <row r="241" ht="15.75" customHeight="1" s="38"/>
    <row r="242" ht="15.75" customHeight="1" s="38"/>
    <row r="243" ht="15.75" customHeight="1" s="38"/>
    <row r="244" ht="15.75" customHeight="1" s="38"/>
    <row r="245" ht="15.75" customHeight="1" s="38"/>
    <row r="246" ht="15.75" customHeight="1" s="38"/>
    <row r="247" ht="15.75" customHeight="1" s="38"/>
    <row r="248" ht="15.75" customHeight="1" s="38"/>
    <row r="249" ht="15.75" customHeight="1" s="38"/>
    <row r="250" ht="15.75" customHeight="1" s="38"/>
    <row r="251" ht="15.75" customHeight="1" s="38"/>
    <row r="252" ht="15.75" customHeight="1" s="38"/>
    <row r="253" ht="15.75" customHeight="1" s="38"/>
    <row r="254" ht="15.75" customHeight="1" s="38"/>
    <row r="255" ht="15.75" customHeight="1" s="38"/>
    <row r="256" ht="15.75" customHeight="1" s="38"/>
    <row r="257" ht="15.75" customHeight="1" s="38"/>
    <row r="258" ht="15.75" customHeight="1" s="38"/>
    <row r="259" ht="15.75" customHeight="1" s="38"/>
    <row r="260" ht="15.75" customHeight="1" s="38"/>
    <row r="261" ht="15.75" customHeight="1" s="38"/>
    <row r="262" ht="15.75" customHeight="1" s="38"/>
    <row r="263" ht="15.75" customHeight="1" s="38"/>
    <row r="264" ht="15.75" customHeight="1" s="38"/>
    <row r="265" ht="15.75" customHeight="1" s="38"/>
    <row r="266" ht="15.75" customHeight="1" s="38"/>
    <row r="267" ht="15.75" customHeight="1" s="38"/>
    <row r="268" ht="15.75" customHeight="1" s="38"/>
    <row r="269" ht="15.75" customHeight="1" s="38"/>
    <row r="270" ht="15.75" customHeight="1" s="38"/>
    <row r="271" ht="15.75" customHeight="1" s="38"/>
    <row r="272" ht="15.75" customHeight="1" s="38"/>
    <row r="273" ht="15.75" customHeight="1" s="38"/>
    <row r="274" ht="15.75" customHeight="1" s="38"/>
    <row r="275" ht="15.75" customHeight="1" s="38"/>
    <row r="276" ht="15.75" customHeight="1" s="38"/>
    <row r="277" ht="15.75" customHeight="1" s="38"/>
    <row r="278" ht="15.75" customHeight="1" s="38"/>
    <row r="279" ht="15.75" customHeight="1" s="38"/>
    <row r="280" ht="15.75" customHeight="1" s="38"/>
    <row r="281" ht="15.75" customHeight="1" s="38"/>
    <row r="282" ht="15.75" customHeight="1" s="38"/>
    <row r="283" ht="15.75" customHeight="1" s="38"/>
    <row r="284" ht="15.75" customHeight="1" s="38"/>
    <row r="285" ht="15.75" customHeight="1" s="38"/>
    <row r="286" ht="15.75" customHeight="1" s="38"/>
    <row r="287" ht="15.75" customHeight="1" s="38"/>
    <row r="288" ht="15.75" customHeight="1" s="38"/>
    <row r="289" ht="15.75" customHeight="1" s="38"/>
    <row r="290" ht="15.75" customHeight="1" s="38"/>
    <row r="291" ht="15.75" customHeight="1" s="38"/>
    <row r="292" ht="15.75" customHeight="1" s="38"/>
    <row r="293" ht="15.75" customHeight="1" s="38"/>
    <row r="294" ht="15.75" customHeight="1" s="38"/>
    <row r="295" ht="15.75" customHeight="1" s="38"/>
    <row r="296" ht="15.75" customHeight="1" s="38"/>
    <row r="297" ht="15.75" customHeight="1" s="38"/>
    <row r="298" ht="15.75" customHeight="1" s="38"/>
    <row r="299" ht="15.75" customHeight="1" s="38"/>
    <row r="300" ht="15.75" customHeight="1" s="38"/>
    <row r="301" ht="15.75" customHeight="1" s="38"/>
    <row r="302" ht="15.75" customHeight="1" s="38"/>
    <row r="303" ht="15.75" customHeight="1" s="38"/>
    <row r="304" ht="15.75" customHeight="1" s="38"/>
    <row r="305" ht="15.75" customHeight="1" s="38"/>
    <row r="306" ht="15.75" customHeight="1" s="38"/>
    <row r="307" ht="15.75" customHeight="1" s="38"/>
    <row r="308" ht="15.75" customHeight="1" s="38"/>
    <row r="309" ht="15.75" customHeight="1" s="38"/>
    <row r="310" ht="15.75" customHeight="1" s="38"/>
    <row r="311" ht="15.75" customHeight="1" s="38"/>
    <row r="312" ht="15.75" customHeight="1" s="38"/>
    <row r="313" ht="15.75" customHeight="1" s="38"/>
    <row r="314" ht="15.75" customHeight="1" s="38"/>
    <row r="315" ht="15.75" customHeight="1" s="38"/>
    <row r="316" ht="15.75" customHeight="1" s="38"/>
    <row r="317" ht="15.75" customHeight="1" s="38"/>
    <row r="318" ht="15.75" customHeight="1" s="38"/>
    <row r="319" ht="15.75" customHeight="1" s="38"/>
    <row r="320" ht="15.75" customHeight="1" s="38"/>
    <row r="321" ht="15.75" customHeight="1" s="38"/>
    <row r="322" ht="15.75" customHeight="1" s="38"/>
    <row r="323" ht="15.75" customHeight="1" s="38"/>
    <row r="324" ht="15.75" customHeight="1" s="38"/>
    <row r="325" ht="15.75" customHeight="1" s="38"/>
    <row r="326" ht="15.75" customHeight="1" s="38"/>
    <row r="327" ht="15.75" customHeight="1" s="38"/>
    <row r="328" ht="15.75" customHeight="1" s="38"/>
    <row r="329" ht="15.75" customHeight="1" s="38"/>
    <row r="330" ht="15.75" customHeight="1" s="38"/>
    <row r="331" ht="15.75" customHeight="1" s="38"/>
    <row r="332" ht="15.75" customHeight="1" s="38"/>
    <row r="333" ht="15.75" customHeight="1" s="38"/>
    <row r="334" ht="15.75" customHeight="1" s="38"/>
    <row r="335" ht="15.75" customHeight="1" s="38"/>
    <row r="336" ht="15.75" customHeight="1" s="38"/>
    <row r="337" ht="15.75" customHeight="1" s="38"/>
    <row r="338" ht="15.75" customHeight="1" s="38"/>
    <row r="339" ht="15.75" customHeight="1" s="38"/>
    <row r="340" ht="15.75" customHeight="1" s="38"/>
    <row r="341" ht="15.75" customHeight="1" s="38"/>
    <row r="342" ht="15.75" customHeight="1" s="38"/>
    <row r="343" ht="15.75" customHeight="1" s="38"/>
    <row r="344" ht="15.75" customHeight="1" s="38"/>
    <row r="345" ht="15.75" customHeight="1" s="38"/>
    <row r="346" ht="15.75" customHeight="1" s="38"/>
    <row r="347" ht="15.75" customHeight="1" s="38"/>
    <row r="348" ht="15.75" customHeight="1" s="38"/>
    <row r="349" ht="15.75" customHeight="1" s="38"/>
    <row r="350" ht="15.75" customHeight="1" s="38"/>
    <row r="351" ht="15.75" customHeight="1" s="38"/>
    <row r="352" ht="15.75" customHeight="1" s="38"/>
    <row r="353" ht="15.75" customHeight="1" s="38"/>
    <row r="354" ht="15.75" customHeight="1" s="38"/>
    <row r="355" ht="15.75" customHeight="1" s="38"/>
    <row r="356" ht="15.75" customHeight="1" s="38"/>
    <row r="357" ht="15.75" customHeight="1" s="38"/>
    <row r="358" ht="15.75" customHeight="1" s="38"/>
    <row r="359" ht="15.75" customHeight="1" s="38"/>
    <row r="360" ht="15.75" customHeight="1" s="38"/>
    <row r="361" ht="15.75" customHeight="1" s="38"/>
    <row r="362" ht="15.75" customHeight="1" s="38"/>
    <row r="363" ht="15.75" customHeight="1" s="38"/>
    <row r="364" ht="15.75" customHeight="1" s="38"/>
    <row r="365" ht="15.75" customHeight="1" s="38"/>
    <row r="366" ht="15.75" customHeight="1" s="38"/>
    <row r="367" ht="15.75" customHeight="1" s="38"/>
    <row r="368" ht="15.75" customHeight="1" s="38"/>
    <row r="369" ht="15.75" customHeight="1" s="38"/>
    <row r="370" ht="15.75" customHeight="1" s="38"/>
    <row r="371" ht="15.75" customHeight="1" s="38"/>
    <row r="372" ht="15.75" customHeight="1" s="38"/>
    <row r="373" ht="15.75" customHeight="1" s="38"/>
    <row r="374" ht="15.75" customHeight="1" s="38"/>
    <row r="375" ht="15.75" customHeight="1" s="38"/>
    <row r="376" ht="15.75" customHeight="1" s="38"/>
    <row r="377" ht="15.75" customHeight="1" s="38"/>
    <row r="378" ht="15.75" customHeight="1" s="38"/>
    <row r="379" ht="15.75" customHeight="1" s="38"/>
    <row r="380" ht="15.75" customHeight="1" s="38"/>
    <row r="381" ht="15.75" customHeight="1" s="38"/>
    <row r="382" ht="15.75" customHeight="1" s="38"/>
    <row r="383" ht="15.75" customHeight="1" s="38"/>
    <row r="384" ht="15.75" customHeight="1" s="38"/>
    <row r="385" ht="15.75" customHeight="1" s="38"/>
    <row r="386" ht="15.75" customHeight="1" s="38"/>
    <row r="387" ht="15.75" customHeight="1" s="38"/>
    <row r="388" ht="15.75" customHeight="1" s="38"/>
    <row r="389" ht="15.75" customHeight="1" s="38"/>
    <row r="390" ht="15.75" customHeight="1" s="38"/>
    <row r="391" ht="15.75" customHeight="1" s="38"/>
    <row r="392" ht="15.75" customHeight="1" s="38"/>
    <row r="393" ht="15.75" customHeight="1" s="38"/>
    <row r="394" ht="15.75" customHeight="1" s="38"/>
    <row r="395" ht="15.75" customHeight="1" s="38"/>
    <row r="396" ht="15.75" customHeight="1" s="38"/>
    <row r="397" ht="15.75" customHeight="1" s="38"/>
    <row r="398" ht="15.75" customHeight="1" s="38"/>
    <row r="399" ht="15.75" customHeight="1" s="38"/>
    <row r="400" ht="15.75" customHeight="1" s="38"/>
    <row r="401" ht="15.75" customHeight="1" s="38"/>
    <row r="402" ht="15.75" customHeight="1" s="38"/>
    <row r="403" ht="15.75" customHeight="1" s="38"/>
    <row r="404" ht="15.75" customHeight="1" s="38"/>
    <row r="405" ht="15.75" customHeight="1" s="38"/>
    <row r="406" ht="15.75" customHeight="1" s="38"/>
    <row r="407" ht="15.75" customHeight="1" s="38"/>
    <row r="408" ht="15.75" customHeight="1" s="38"/>
    <row r="409" ht="15.75" customHeight="1" s="38"/>
    <row r="410" ht="15.75" customHeight="1" s="38"/>
    <row r="411" ht="15.75" customHeight="1" s="38"/>
    <row r="412" ht="15.75" customHeight="1" s="38"/>
    <row r="413" ht="15.75" customHeight="1" s="38"/>
    <row r="414" ht="15.75" customHeight="1" s="38"/>
    <row r="415" ht="15.75" customHeight="1" s="38"/>
    <row r="416" ht="15.75" customHeight="1" s="38"/>
    <row r="417" ht="15.75" customHeight="1" s="38"/>
    <row r="418" ht="15.75" customHeight="1" s="38"/>
    <row r="419" ht="15.75" customHeight="1" s="38"/>
    <row r="420" ht="15.75" customHeight="1" s="38"/>
    <row r="421" ht="15.75" customHeight="1" s="38"/>
    <row r="422" ht="15.75" customHeight="1" s="38"/>
    <row r="423" ht="15.75" customHeight="1" s="38"/>
    <row r="424" ht="15.75" customHeight="1" s="38"/>
    <row r="425" ht="15.75" customHeight="1" s="38"/>
    <row r="426" ht="15.75" customHeight="1" s="38"/>
    <row r="427" ht="15.75" customHeight="1" s="38"/>
    <row r="428" ht="15.75" customHeight="1" s="38"/>
    <row r="429" ht="15.75" customHeight="1" s="38"/>
    <row r="430" ht="15.75" customHeight="1" s="38"/>
    <row r="431" ht="15.75" customHeight="1" s="38"/>
    <row r="432" ht="15.75" customHeight="1" s="38"/>
    <row r="433" ht="15.75" customHeight="1" s="38"/>
    <row r="434" ht="15.75" customHeight="1" s="38"/>
    <row r="435" ht="15.75" customHeight="1" s="38"/>
    <row r="436" ht="15.75" customHeight="1" s="38"/>
    <row r="437" ht="15.75" customHeight="1" s="38"/>
    <row r="438" ht="15.75" customHeight="1" s="38"/>
    <row r="439" ht="15.75" customHeight="1" s="38"/>
    <row r="440" ht="15.75" customHeight="1" s="38"/>
    <row r="441" ht="15.75" customHeight="1" s="38"/>
    <row r="442" ht="15.75" customHeight="1" s="38"/>
    <row r="443" ht="15.75" customHeight="1" s="38"/>
    <row r="444" ht="15.75" customHeight="1" s="38"/>
    <row r="445" ht="15.75" customHeight="1" s="38"/>
    <row r="446" ht="15.75" customHeight="1" s="38"/>
    <row r="447" ht="15.75" customHeight="1" s="38"/>
    <row r="448" ht="15.75" customHeight="1" s="38"/>
    <row r="449" ht="15.75" customHeight="1" s="38"/>
    <row r="450" ht="15.75" customHeight="1" s="38"/>
    <row r="451" ht="15.75" customHeight="1" s="38"/>
    <row r="452" ht="15.75" customHeight="1" s="38"/>
    <row r="453" ht="15.75" customHeight="1" s="38"/>
    <row r="454" ht="15.75" customHeight="1" s="38"/>
    <row r="455" ht="15.75" customHeight="1" s="38"/>
    <row r="456" ht="15.75" customHeight="1" s="38"/>
    <row r="457" ht="15.75" customHeight="1" s="38"/>
    <row r="458" ht="15.75" customHeight="1" s="38"/>
    <row r="459" ht="15.75" customHeight="1" s="38"/>
    <row r="460" ht="15.75" customHeight="1" s="38"/>
    <row r="461" ht="15.75" customHeight="1" s="38"/>
    <row r="462" ht="15.75" customHeight="1" s="38"/>
    <row r="463" ht="15.75" customHeight="1" s="38"/>
    <row r="464" ht="15.75" customHeight="1" s="38"/>
    <row r="465" ht="15.75" customHeight="1" s="38"/>
    <row r="466" ht="15.75" customHeight="1" s="38"/>
    <row r="467" ht="15.75" customHeight="1" s="38"/>
    <row r="468" ht="15.75" customHeight="1" s="38"/>
    <row r="469" ht="15.75" customHeight="1" s="38"/>
    <row r="470" ht="15.75" customHeight="1" s="38"/>
    <row r="471" ht="15.75" customHeight="1" s="38"/>
    <row r="472" ht="15.75" customHeight="1" s="38"/>
    <row r="473" ht="15.75" customHeight="1" s="38"/>
    <row r="474" ht="15.75" customHeight="1" s="38"/>
    <row r="475" ht="15.75" customHeight="1" s="38"/>
    <row r="476" ht="15.75" customHeight="1" s="38"/>
    <row r="477" ht="15.75" customHeight="1" s="38"/>
    <row r="478" ht="15.75" customHeight="1" s="38"/>
    <row r="479" ht="15.75" customHeight="1" s="38"/>
    <row r="480" ht="15.75" customHeight="1" s="38"/>
    <row r="481" ht="15.75" customHeight="1" s="38"/>
    <row r="482" ht="15.75" customHeight="1" s="38"/>
    <row r="483" ht="15.75" customHeight="1" s="38"/>
    <row r="484" ht="15.75" customHeight="1" s="38"/>
    <row r="485" ht="15.75" customHeight="1" s="38"/>
    <row r="486" ht="15.75" customHeight="1" s="38"/>
    <row r="487" ht="15.75" customHeight="1" s="38"/>
    <row r="488" ht="15.75" customHeight="1" s="38"/>
    <row r="489" ht="15.75" customHeight="1" s="38"/>
    <row r="490" ht="15.75" customHeight="1" s="38"/>
    <row r="491" ht="15.75" customHeight="1" s="38"/>
    <row r="492" ht="15.75" customHeight="1" s="38"/>
    <row r="493" ht="15.75" customHeight="1" s="38"/>
    <row r="494" ht="15.75" customHeight="1" s="38"/>
    <row r="495" ht="15.75" customHeight="1" s="38"/>
    <row r="496" ht="15.75" customHeight="1" s="38"/>
    <row r="497" ht="15.75" customHeight="1" s="38"/>
    <row r="498" ht="15.75" customHeight="1" s="38"/>
    <row r="499" ht="15.75" customHeight="1" s="38"/>
    <row r="500" ht="15.75" customHeight="1" s="38"/>
    <row r="501" ht="15.75" customHeight="1" s="38"/>
    <row r="502" ht="15.75" customHeight="1" s="38"/>
    <row r="503" ht="15.75" customHeight="1" s="38"/>
    <row r="504" ht="15.75" customHeight="1" s="38"/>
    <row r="505" ht="15.75" customHeight="1" s="38"/>
    <row r="506" ht="15.75" customHeight="1" s="38"/>
    <row r="507" ht="15.75" customHeight="1" s="38"/>
    <row r="508" ht="15.75" customHeight="1" s="38"/>
    <row r="509" ht="15.75" customHeight="1" s="38"/>
    <row r="510" ht="15.75" customHeight="1" s="38"/>
    <row r="511" ht="15.75" customHeight="1" s="38"/>
    <row r="512" ht="15.75" customHeight="1" s="38"/>
    <row r="513" ht="15.75" customHeight="1" s="38"/>
    <row r="514" ht="15.75" customHeight="1" s="38"/>
    <row r="515" ht="15.75" customHeight="1" s="38"/>
    <row r="516" ht="15.75" customHeight="1" s="38"/>
    <row r="517" ht="15.75" customHeight="1" s="38"/>
    <row r="518" ht="15.75" customHeight="1" s="38"/>
    <row r="519" ht="15.75" customHeight="1" s="38"/>
    <row r="520" ht="15.75" customHeight="1" s="38"/>
    <row r="521" ht="15.75" customHeight="1" s="38"/>
    <row r="522" ht="15.75" customHeight="1" s="38"/>
    <row r="523" ht="15.75" customHeight="1" s="38"/>
    <row r="524" ht="15.75" customHeight="1" s="38"/>
    <row r="525" ht="15.75" customHeight="1" s="38"/>
    <row r="526" ht="15.75" customHeight="1" s="38"/>
    <row r="527" ht="15.75" customHeight="1" s="38"/>
    <row r="528" ht="15.75" customHeight="1" s="38"/>
    <row r="529" ht="15.75" customHeight="1" s="38"/>
    <row r="530" ht="15.75" customHeight="1" s="38"/>
    <row r="531" ht="15.75" customHeight="1" s="38"/>
    <row r="532" ht="15.75" customHeight="1" s="38"/>
    <row r="533" ht="15.75" customHeight="1" s="38"/>
    <row r="534" ht="15.75" customHeight="1" s="38"/>
    <row r="535" ht="15.75" customHeight="1" s="38"/>
    <row r="536" ht="15.75" customHeight="1" s="38"/>
    <row r="537" ht="15.75" customHeight="1" s="38"/>
    <row r="538" ht="15.75" customHeight="1" s="38"/>
    <row r="539" ht="15.75" customHeight="1" s="38"/>
    <row r="540" ht="15.75" customHeight="1" s="38"/>
    <row r="541" ht="15.75" customHeight="1" s="38"/>
    <row r="542" ht="15.75" customHeight="1" s="38"/>
    <row r="543" ht="15.75" customHeight="1" s="38"/>
    <row r="544" ht="15.75" customHeight="1" s="38"/>
    <row r="545" ht="15.75" customHeight="1" s="38"/>
    <row r="546" ht="15.75" customHeight="1" s="38"/>
    <row r="547" ht="15.75" customHeight="1" s="38"/>
    <row r="548" ht="15.75" customHeight="1" s="38"/>
    <row r="549" ht="15.75" customHeight="1" s="38"/>
    <row r="550" ht="15.75" customHeight="1" s="38"/>
    <row r="551" ht="15.75" customHeight="1" s="38"/>
    <row r="552" ht="15.75" customHeight="1" s="38"/>
    <row r="553" ht="15.75" customHeight="1" s="38"/>
    <row r="554" ht="15.75" customHeight="1" s="38"/>
    <row r="555" ht="15.75" customHeight="1" s="38"/>
    <row r="556" ht="15.75" customHeight="1" s="38"/>
    <row r="557" ht="15.75" customHeight="1" s="38"/>
    <row r="558" ht="15.75" customHeight="1" s="38"/>
    <row r="559" ht="15.75" customHeight="1" s="38"/>
    <row r="560" ht="15.75" customHeight="1" s="38"/>
    <row r="561" ht="15.75" customHeight="1" s="38"/>
    <row r="562" ht="15.75" customHeight="1" s="38"/>
    <row r="563" ht="15.75" customHeight="1" s="38"/>
    <row r="564" ht="15.75" customHeight="1" s="38"/>
    <row r="565" ht="15.75" customHeight="1" s="38"/>
    <row r="566" ht="15.75" customHeight="1" s="38"/>
    <row r="567" ht="15.75" customHeight="1" s="38"/>
    <row r="568" ht="15.75" customHeight="1" s="38"/>
    <row r="569" ht="15.75" customHeight="1" s="38"/>
    <row r="570" ht="15.75" customHeight="1" s="38"/>
    <row r="571" ht="15.75" customHeight="1" s="38"/>
    <row r="572" ht="15.75" customHeight="1" s="38"/>
    <row r="573" ht="15.75" customHeight="1" s="38"/>
    <row r="574" ht="15.75" customHeight="1" s="38"/>
    <row r="575" ht="15.75" customHeight="1" s="38"/>
    <row r="576" ht="15.75" customHeight="1" s="38"/>
    <row r="577" ht="15.75" customHeight="1" s="38"/>
    <row r="578" ht="15.75" customHeight="1" s="38"/>
    <row r="579" ht="15.75" customHeight="1" s="38"/>
    <row r="580" ht="15.75" customHeight="1" s="38"/>
    <row r="581" ht="15.75" customHeight="1" s="38"/>
    <row r="582" ht="15.75" customHeight="1" s="38"/>
    <row r="583" ht="15.75" customHeight="1" s="38"/>
    <row r="584" ht="15.75" customHeight="1" s="38"/>
    <row r="585" ht="15.75" customHeight="1" s="38"/>
    <row r="586" ht="15.75" customHeight="1" s="38"/>
    <row r="587" ht="15.75" customHeight="1" s="38"/>
    <row r="588" ht="15.75" customHeight="1" s="38"/>
    <row r="589" ht="15.75" customHeight="1" s="38"/>
    <row r="590" ht="15.75" customHeight="1" s="38"/>
    <row r="591" ht="15.75" customHeight="1" s="38"/>
    <row r="592" ht="15.75" customHeight="1" s="38"/>
    <row r="593" ht="15.75" customHeight="1" s="38"/>
    <row r="594" ht="15.75" customHeight="1" s="38"/>
    <row r="595" ht="15.75" customHeight="1" s="38"/>
    <row r="596" ht="15.75" customHeight="1" s="38"/>
    <row r="597" ht="15.75" customHeight="1" s="38"/>
    <row r="598" ht="15.75" customHeight="1" s="38"/>
    <row r="599" ht="15.75" customHeight="1" s="38"/>
    <row r="600" ht="15.75" customHeight="1" s="38"/>
    <row r="601" ht="15.75" customHeight="1" s="38"/>
    <row r="602" ht="15.75" customHeight="1" s="38"/>
    <row r="603" ht="15.75" customHeight="1" s="38"/>
    <row r="604" ht="15.75" customHeight="1" s="38"/>
    <row r="605" ht="15.75" customHeight="1" s="38"/>
    <row r="606" ht="15.75" customHeight="1" s="38"/>
    <row r="607" ht="15.75" customHeight="1" s="38"/>
    <row r="608" ht="15.75" customHeight="1" s="38"/>
    <row r="609" ht="15.75" customHeight="1" s="38"/>
    <row r="610" ht="15.75" customHeight="1" s="38"/>
    <row r="611" ht="15.75" customHeight="1" s="38"/>
    <row r="612" ht="15.75" customHeight="1" s="38"/>
    <row r="613" ht="15.75" customHeight="1" s="38"/>
    <row r="614" ht="15.75" customHeight="1" s="38"/>
    <row r="615" ht="15.75" customHeight="1" s="38"/>
    <row r="616" ht="15.75" customHeight="1" s="38"/>
    <row r="617" ht="15.75" customHeight="1" s="38"/>
    <row r="618" ht="15.75" customHeight="1" s="38"/>
    <row r="619" ht="15.75" customHeight="1" s="38"/>
    <row r="620" ht="15.75" customHeight="1" s="38"/>
    <row r="621" ht="15.75" customHeight="1" s="38"/>
    <row r="622" ht="15.75" customHeight="1" s="38"/>
    <row r="623" ht="15.75" customHeight="1" s="38"/>
    <row r="624" ht="15.75" customHeight="1" s="38"/>
    <row r="625" ht="15.75" customHeight="1" s="38"/>
    <row r="626" ht="15.75" customHeight="1" s="38"/>
    <row r="627" ht="15.75" customHeight="1" s="38"/>
    <row r="628" ht="15.75" customHeight="1" s="38"/>
    <row r="629" ht="15.75" customHeight="1" s="38"/>
    <row r="630" ht="15.75" customHeight="1" s="38"/>
    <row r="631" ht="15.75" customHeight="1" s="38"/>
    <row r="632" ht="15.75" customHeight="1" s="38"/>
    <row r="633" ht="15.75" customHeight="1" s="38"/>
    <row r="634" ht="15.75" customHeight="1" s="38"/>
    <row r="635" ht="15.75" customHeight="1" s="38"/>
    <row r="636" ht="15.75" customHeight="1" s="38"/>
    <row r="637" ht="15.75" customHeight="1" s="38"/>
    <row r="638" ht="15.75" customHeight="1" s="38"/>
    <row r="639" ht="15.75" customHeight="1" s="38"/>
    <row r="640" ht="15.75" customHeight="1" s="38"/>
    <row r="641" ht="15.75" customHeight="1" s="38"/>
    <row r="642" ht="15.75" customHeight="1" s="38"/>
    <row r="643" ht="15.75" customHeight="1" s="38"/>
    <row r="644" ht="15.75" customHeight="1" s="38"/>
    <row r="645" ht="15.75" customHeight="1" s="38"/>
    <row r="646" ht="15.75" customHeight="1" s="38"/>
    <row r="647" ht="15.75" customHeight="1" s="38"/>
    <row r="648" ht="15.75" customHeight="1" s="38"/>
    <row r="649" ht="15.75" customHeight="1" s="38"/>
    <row r="650" ht="15.75" customHeight="1" s="38"/>
    <row r="651" ht="15.75" customHeight="1" s="38"/>
    <row r="652" ht="15.75" customHeight="1" s="38"/>
    <row r="653" ht="15.75" customHeight="1" s="38"/>
    <row r="654" ht="15.75" customHeight="1" s="38"/>
    <row r="655" ht="15.75" customHeight="1" s="38"/>
    <row r="656" ht="15.75" customHeight="1" s="38"/>
    <row r="657" ht="15.75" customHeight="1" s="38"/>
    <row r="658" ht="15.75" customHeight="1" s="38"/>
    <row r="659" ht="15.75" customHeight="1" s="38"/>
    <row r="660" ht="15.75" customHeight="1" s="38"/>
    <row r="661" ht="15.75" customHeight="1" s="38"/>
    <row r="662" ht="15.75" customHeight="1" s="38"/>
    <row r="663" ht="15.75" customHeight="1" s="38"/>
    <row r="664" ht="15.75" customHeight="1" s="38"/>
    <row r="665" ht="15.75" customHeight="1" s="38"/>
    <row r="666" ht="15.75" customHeight="1" s="38"/>
    <row r="667" ht="15.75" customHeight="1" s="38"/>
    <row r="668" ht="15.75" customHeight="1" s="38"/>
    <row r="669" ht="15.75" customHeight="1" s="38"/>
    <row r="670" ht="15.75" customHeight="1" s="38"/>
    <row r="671" ht="15.75" customHeight="1" s="38"/>
    <row r="672" ht="15.75" customHeight="1" s="38"/>
    <row r="673" ht="15.75" customHeight="1" s="38"/>
    <row r="674" ht="15.75" customHeight="1" s="38"/>
    <row r="675" ht="15.75" customHeight="1" s="38"/>
    <row r="676" ht="15.75" customHeight="1" s="38"/>
    <row r="677" ht="15.75" customHeight="1" s="38"/>
    <row r="678" ht="15.75" customHeight="1" s="38"/>
    <row r="679" ht="15.75" customHeight="1" s="38"/>
    <row r="680" ht="15.75" customHeight="1" s="38"/>
    <row r="681" ht="15.75" customHeight="1" s="38"/>
    <row r="682" ht="15.75" customHeight="1" s="38"/>
    <row r="683" ht="15.75" customHeight="1" s="38"/>
    <row r="684" ht="15.75" customHeight="1" s="38"/>
    <row r="685" ht="15.75" customHeight="1" s="38"/>
    <row r="686" ht="15.75" customHeight="1" s="38"/>
    <row r="687" ht="15.75" customHeight="1" s="38"/>
    <row r="688" ht="15.75" customHeight="1" s="38"/>
    <row r="689" ht="15.75" customHeight="1" s="38"/>
    <row r="690" ht="15.75" customHeight="1" s="38"/>
    <row r="691" ht="15.75" customHeight="1" s="38"/>
    <row r="692" ht="15.75" customHeight="1" s="38"/>
    <row r="693" ht="15.75" customHeight="1" s="38"/>
    <row r="694" ht="15.75" customHeight="1" s="38"/>
    <row r="695" ht="15.75" customHeight="1" s="38"/>
    <row r="696" ht="15.75" customHeight="1" s="38"/>
    <row r="697" ht="15.75" customHeight="1" s="38"/>
    <row r="698" ht="15.75" customHeight="1" s="38"/>
    <row r="699" ht="15.75" customHeight="1" s="38"/>
    <row r="700" ht="15.75" customHeight="1" s="38"/>
    <row r="701" ht="15.75" customHeight="1" s="38"/>
    <row r="702" ht="15.75" customHeight="1" s="38"/>
    <row r="703" ht="15.75" customHeight="1" s="38"/>
    <row r="704" ht="15.75" customHeight="1" s="38"/>
    <row r="705" ht="15.75" customHeight="1" s="38"/>
    <row r="706" ht="15.75" customHeight="1" s="38"/>
    <row r="707" ht="15.75" customHeight="1" s="38"/>
    <row r="708" ht="15.75" customHeight="1" s="38"/>
    <row r="709" ht="15.75" customHeight="1" s="38"/>
    <row r="710" ht="15.75" customHeight="1" s="38"/>
    <row r="711" ht="15.75" customHeight="1" s="38"/>
    <row r="712" ht="15.75" customHeight="1" s="38"/>
    <row r="713" ht="15.75" customHeight="1" s="38"/>
    <row r="714" ht="15.75" customHeight="1" s="38"/>
    <row r="715" ht="15.75" customHeight="1" s="38"/>
    <row r="716" ht="15.75" customHeight="1" s="38"/>
    <row r="717" ht="15.75" customHeight="1" s="38"/>
    <row r="718" ht="15.75" customHeight="1" s="38"/>
    <row r="719" ht="15.75" customHeight="1" s="38"/>
    <row r="720" ht="15.75" customHeight="1" s="38"/>
    <row r="721" ht="15.75" customHeight="1" s="38"/>
    <row r="722" ht="15.75" customHeight="1" s="38"/>
    <row r="723" ht="15.75" customHeight="1" s="38"/>
    <row r="724" ht="15.75" customHeight="1" s="38"/>
    <row r="725" ht="15.75" customHeight="1" s="38"/>
    <row r="726" ht="15.75" customHeight="1" s="38"/>
    <row r="727" ht="15.75" customHeight="1" s="38"/>
    <row r="728" ht="15.75" customHeight="1" s="38"/>
    <row r="729" ht="15.75" customHeight="1" s="38"/>
    <row r="730" ht="15.75" customHeight="1" s="38"/>
    <row r="731" ht="15.75" customHeight="1" s="38"/>
    <row r="732" ht="15.75" customHeight="1" s="38"/>
    <row r="733" ht="15.75" customHeight="1" s="38"/>
    <row r="734" ht="15.75" customHeight="1" s="38"/>
    <row r="735" ht="15.75" customHeight="1" s="38"/>
    <row r="736" ht="15.75" customHeight="1" s="38"/>
    <row r="737" ht="15.75" customHeight="1" s="38"/>
    <row r="738" ht="15.75" customHeight="1" s="38"/>
    <row r="739" ht="15.75" customHeight="1" s="38"/>
    <row r="740" ht="15.75" customHeight="1" s="38"/>
    <row r="741" ht="15.75" customHeight="1" s="38"/>
    <row r="742" ht="15.75" customHeight="1" s="38"/>
    <row r="743" ht="15.75" customHeight="1" s="38"/>
    <row r="744" ht="15.75" customHeight="1" s="38"/>
    <row r="745" ht="15.75" customHeight="1" s="38"/>
    <row r="746" ht="15.75" customHeight="1" s="38"/>
    <row r="747" ht="15.75" customHeight="1" s="38"/>
    <row r="748" ht="15.75" customHeight="1" s="38"/>
    <row r="749" ht="15.75" customHeight="1" s="38"/>
    <row r="750" ht="15.75" customHeight="1" s="38"/>
    <row r="751" ht="15.75" customHeight="1" s="38"/>
    <row r="752" ht="15.75" customHeight="1" s="38"/>
    <row r="753" ht="15.75" customHeight="1" s="38"/>
    <row r="754" ht="15.75" customHeight="1" s="38"/>
    <row r="755" ht="15.75" customHeight="1" s="38"/>
    <row r="756" ht="15.75" customHeight="1" s="38"/>
    <row r="757" ht="15.75" customHeight="1" s="38"/>
    <row r="758" ht="15.75" customHeight="1" s="38"/>
    <row r="759" ht="15.75" customHeight="1" s="38"/>
    <row r="760" ht="15.75" customHeight="1" s="38"/>
    <row r="761" ht="15.75" customHeight="1" s="38"/>
    <row r="762" ht="15.75" customHeight="1" s="38"/>
    <row r="763" ht="15.75" customHeight="1" s="38"/>
    <row r="764" ht="15.75" customHeight="1" s="38"/>
    <row r="765" ht="15.75" customHeight="1" s="38"/>
    <row r="766" ht="15.75" customHeight="1" s="38"/>
    <row r="767" ht="15.75" customHeight="1" s="38"/>
    <row r="768" ht="15.75" customHeight="1" s="38"/>
    <row r="769" ht="15.75" customHeight="1" s="38"/>
    <row r="770" ht="15.75" customHeight="1" s="38"/>
    <row r="771" ht="15.75" customHeight="1" s="38"/>
    <row r="772" ht="15.75" customHeight="1" s="38"/>
    <row r="773" ht="15.75" customHeight="1" s="38"/>
    <row r="774" ht="15.75" customHeight="1" s="38"/>
    <row r="775" ht="15.75" customHeight="1" s="38"/>
    <row r="776" ht="15.75" customHeight="1" s="38"/>
    <row r="777" ht="15.75" customHeight="1" s="38"/>
    <row r="778" ht="15.75" customHeight="1" s="38"/>
    <row r="779" ht="15.75" customHeight="1" s="38"/>
    <row r="780" ht="15.75" customHeight="1" s="38"/>
    <row r="781" ht="15.75" customHeight="1" s="38"/>
    <row r="782" ht="15.75" customHeight="1" s="38"/>
    <row r="783" ht="15.75" customHeight="1" s="38"/>
    <row r="784" ht="15.75" customHeight="1" s="38"/>
    <row r="785" ht="15.75" customHeight="1" s="38"/>
    <row r="786" ht="15.75" customHeight="1" s="38"/>
    <row r="787" ht="15.75" customHeight="1" s="38"/>
    <row r="788" ht="15.75" customHeight="1" s="38"/>
    <row r="789" ht="15.75" customHeight="1" s="38"/>
    <row r="790" ht="15.75" customHeight="1" s="38"/>
    <row r="791" ht="15.75" customHeight="1" s="38"/>
    <row r="792" ht="15.75" customHeight="1" s="38"/>
    <row r="793" ht="15.75" customHeight="1" s="38"/>
    <row r="794" ht="15.75" customHeight="1" s="38"/>
    <row r="795" ht="15.75" customHeight="1" s="38"/>
    <row r="796" ht="15.75" customHeight="1" s="38"/>
    <row r="797" ht="15.75" customHeight="1" s="38"/>
    <row r="798" ht="15.75" customHeight="1" s="38"/>
    <row r="799" ht="15.75" customHeight="1" s="38"/>
    <row r="800" ht="15.75" customHeight="1" s="38"/>
    <row r="801" ht="15.75" customHeight="1" s="38"/>
    <row r="802" ht="15.75" customHeight="1" s="38"/>
    <row r="803" ht="15.75" customHeight="1" s="38"/>
    <row r="804" ht="15.75" customHeight="1" s="38"/>
    <row r="805" ht="15.75" customHeight="1" s="38"/>
    <row r="806" ht="15.75" customHeight="1" s="38"/>
    <row r="807" ht="15.75" customHeight="1" s="38"/>
    <row r="808" ht="15.75" customHeight="1" s="38"/>
    <row r="809" ht="15.75" customHeight="1" s="38"/>
    <row r="810" ht="15.75" customHeight="1" s="38"/>
    <row r="811" ht="15.75" customHeight="1" s="38"/>
    <row r="812" ht="15.75" customHeight="1" s="38"/>
    <row r="813" ht="15.75" customHeight="1" s="38"/>
    <row r="814" ht="15.75" customHeight="1" s="38"/>
    <row r="815" ht="15.75" customHeight="1" s="38"/>
    <row r="816" ht="15.75" customHeight="1" s="38"/>
    <row r="817" ht="15.75" customHeight="1" s="38"/>
    <row r="818" ht="15.75" customHeight="1" s="38"/>
    <row r="819" ht="15.75" customHeight="1" s="38"/>
    <row r="820" ht="15.75" customHeight="1" s="38"/>
    <row r="821" ht="15.75" customHeight="1" s="38"/>
    <row r="822" ht="15.75" customHeight="1" s="38"/>
    <row r="823" ht="15.75" customHeight="1" s="38"/>
    <row r="824" ht="15.75" customHeight="1" s="38"/>
    <row r="825" ht="15.75" customHeight="1" s="38"/>
    <row r="826" ht="15.75" customHeight="1" s="38"/>
    <row r="827" ht="15.75" customHeight="1" s="38"/>
    <row r="828" ht="15.75" customHeight="1" s="38"/>
    <row r="829" ht="15.75" customHeight="1" s="38"/>
    <row r="830" ht="15.75" customHeight="1" s="38"/>
    <row r="831" ht="15.75" customHeight="1" s="38"/>
    <row r="832" ht="15.75" customHeight="1" s="38"/>
    <row r="833" ht="15.75" customHeight="1" s="38"/>
    <row r="834" ht="15.75" customHeight="1" s="38"/>
    <row r="835" ht="15.75" customHeight="1" s="38"/>
    <row r="836" ht="15.75" customHeight="1" s="38"/>
    <row r="837" ht="15.75" customHeight="1" s="38"/>
    <row r="838" ht="15.75" customHeight="1" s="38"/>
    <row r="839" ht="15.75" customHeight="1" s="38"/>
    <row r="840" ht="15.75" customHeight="1" s="38"/>
    <row r="841" ht="15.75" customHeight="1" s="38"/>
    <row r="842" ht="15.75" customHeight="1" s="38"/>
    <row r="843" ht="15.75" customHeight="1" s="38"/>
    <row r="844" ht="15.75" customHeight="1" s="38"/>
    <row r="845" ht="15.75" customHeight="1" s="38"/>
    <row r="846" ht="15.75" customHeight="1" s="38"/>
    <row r="847" ht="15.75" customHeight="1" s="38"/>
    <row r="848" ht="15.75" customHeight="1" s="38"/>
    <row r="849" ht="15.75" customHeight="1" s="38"/>
    <row r="850" ht="15.75" customHeight="1" s="38"/>
    <row r="851" ht="15.75" customHeight="1" s="38"/>
    <row r="852" ht="15.75" customHeight="1" s="38"/>
    <row r="853" ht="15.75" customHeight="1" s="38"/>
    <row r="854" ht="15.75" customHeight="1" s="38"/>
    <row r="855" ht="15.75" customHeight="1" s="38"/>
    <row r="856" ht="15.75" customHeight="1" s="38"/>
    <row r="857" ht="15.75" customHeight="1" s="38"/>
    <row r="858" ht="15.75" customHeight="1" s="38"/>
    <row r="859" ht="15.75" customHeight="1" s="38"/>
    <row r="860" ht="15.75" customHeight="1" s="38"/>
    <row r="861" ht="15.75" customHeight="1" s="38"/>
    <row r="862" ht="15.75" customHeight="1" s="38"/>
    <row r="863" ht="15.75" customHeight="1" s="38"/>
    <row r="864" ht="15.75" customHeight="1" s="38"/>
    <row r="865" ht="15.75" customHeight="1" s="38"/>
    <row r="866" ht="15.75" customHeight="1" s="38"/>
    <row r="867" ht="15.75" customHeight="1" s="38"/>
    <row r="868" ht="15.75" customHeight="1" s="38"/>
    <row r="869" ht="15.75" customHeight="1" s="38"/>
    <row r="870" ht="15.75" customHeight="1" s="38"/>
    <row r="871" ht="15.75" customHeight="1" s="38"/>
    <row r="872" ht="15.75" customHeight="1" s="38"/>
    <row r="873" ht="15.75" customHeight="1" s="38"/>
    <row r="874" ht="15.75" customHeight="1" s="38"/>
    <row r="875" ht="15.75" customHeight="1" s="38"/>
    <row r="876" ht="15.75" customHeight="1" s="38"/>
    <row r="877" ht="15.75" customHeight="1" s="38"/>
    <row r="878" ht="15.75" customHeight="1" s="38"/>
    <row r="879" ht="15.75" customHeight="1" s="38"/>
    <row r="880" ht="15.75" customHeight="1" s="38"/>
    <row r="881" ht="15.75" customHeight="1" s="38"/>
    <row r="882" ht="15.75" customHeight="1" s="38"/>
    <row r="883" ht="15.75" customHeight="1" s="38"/>
    <row r="884" ht="15.75" customHeight="1" s="38"/>
    <row r="885" ht="15.75" customHeight="1" s="38"/>
    <row r="886" ht="15.75" customHeight="1" s="38"/>
    <row r="887" ht="15.75" customHeight="1" s="38"/>
    <row r="888" ht="15.75" customHeight="1" s="38"/>
    <row r="889" ht="15.75" customHeight="1" s="38"/>
    <row r="890" ht="15.75" customHeight="1" s="38"/>
    <row r="891" ht="15.75" customHeight="1" s="38"/>
    <row r="892" ht="15.75" customHeight="1" s="38"/>
    <row r="893" ht="15.75" customHeight="1" s="38"/>
    <row r="894" ht="15.75" customHeight="1" s="38"/>
    <row r="895" ht="15.75" customHeight="1" s="38"/>
    <row r="896" ht="15.75" customHeight="1" s="38"/>
    <row r="897" ht="15.75" customHeight="1" s="38"/>
    <row r="898" ht="15.75" customHeight="1" s="38"/>
    <row r="899" ht="15.75" customHeight="1" s="38"/>
    <row r="900" ht="15.75" customHeight="1" s="38"/>
    <row r="901" ht="15.75" customHeight="1" s="38"/>
    <row r="902" ht="15.75" customHeight="1" s="38"/>
    <row r="903" ht="15.75" customHeight="1" s="38"/>
    <row r="904" ht="15.75" customHeight="1" s="38"/>
    <row r="905" ht="15.75" customHeight="1" s="38"/>
    <row r="906" ht="15.75" customHeight="1" s="38"/>
    <row r="907" ht="15.75" customHeight="1" s="38"/>
    <row r="908" ht="15.75" customHeight="1" s="38"/>
    <row r="909" ht="15.75" customHeight="1" s="38"/>
    <row r="910" ht="15.75" customHeight="1" s="38"/>
    <row r="911" ht="15.75" customHeight="1" s="38"/>
    <row r="912" ht="15.75" customHeight="1" s="38"/>
    <row r="913" ht="15.75" customHeight="1" s="38"/>
    <row r="914" ht="15.75" customHeight="1" s="38"/>
    <row r="915" ht="15.75" customHeight="1" s="38"/>
    <row r="916" ht="15.75" customHeight="1" s="38"/>
    <row r="917" ht="15.75" customHeight="1" s="38"/>
    <row r="918" ht="15.75" customHeight="1" s="38"/>
    <row r="919" ht="15.75" customHeight="1" s="38"/>
    <row r="920" ht="15.75" customHeight="1" s="38"/>
    <row r="921" ht="15.75" customHeight="1" s="38"/>
    <row r="922" ht="15.75" customHeight="1" s="38"/>
    <row r="923" ht="15.75" customHeight="1" s="38"/>
    <row r="924" ht="15.75" customHeight="1" s="38"/>
    <row r="925" ht="15.75" customHeight="1" s="38"/>
    <row r="926" ht="15.75" customHeight="1" s="38"/>
    <row r="927" ht="15.75" customHeight="1" s="38"/>
    <row r="928" ht="15.75" customHeight="1" s="38"/>
    <row r="929" ht="15.75" customHeight="1" s="38"/>
    <row r="930" ht="15.75" customHeight="1" s="38"/>
    <row r="931" ht="15.75" customHeight="1" s="38"/>
    <row r="932" ht="15.75" customHeight="1" s="38"/>
    <row r="933" ht="15.75" customHeight="1" s="38"/>
    <row r="934" ht="15.75" customHeight="1" s="38"/>
    <row r="935" ht="15.75" customHeight="1" s="38"/>
    <row r="936" ht="15.75" customHeight="1" s="38"/>
    <row r="937" ht="15.75" customHeight="1" s="38"/>
    <row r="938" ht="15.75" customHeight="1" s="38"/>
    <row r="939" ht="15.75" customHeight="1" s="38"/>
    <row r="940" ht="15.75" customHeight="1" s="38"/>
    <row r="941" ht="15.75" customHeight="1" s="38"/>
    <row r="942" ht="15.75" customHeight="1" s="38"/>
    <row r="943" ht="15.75" customHeight="1" s="38"/>
    <row r="944" ht="15.75" customHeight="1" s="38"/>
    <row r="945" ht="15.75" customHeight="1" s="38"/>
    <row r="946" ht="15.75" customHeight="1" s="38"/>
    <row r="947" ht="15.75" customHeight="1" s="38"/>
    <row r="948" ht="15.75" customHeight="1" s="38"/>
    <row r="949" ht="15.75" customHeight="1" s="38"/>
    <row r="950" ht="15.75" customHeight="1" s="38"/>
    <row r="951" ht="15.75" customHeight="1" s="38"/>
    <row r="952" ht="15.75" customHeight="1" s="38"/>
    <row r="953" ht="15.75" customHeight="1" s="38"/>
    <row r="954" ht="15.75" customHeight="1" s="38"/>
    <row r="955" ht="15.75" customHeight="1" s="38"/>
    <row r="956" ht="15.75" customHeight="1" s="38"/>
    <row r="957" ht="15.75" customHeight="1" s="38"/>
    <row r="958" ht="15.75" customHeight="1" s="38"/>
    <row r="959" ht="15.75" customHeight="1" s="38"/>
    <row r="960" ht="15.75" customHeight="1" s="38"/>
    <row r="961" ht="15.75" customHeight="1" s="38"/>
    <row r="962" ht="15.75" customHeight="1" s="38"/>
    <row r="963" ht="15.75" customHeight="1" s="38"/>
    <row r="964" ht="15.75" customHeight="1" s="38"/>
    <row r="965" ht="15.75" customHeight="1" s="38"/>
    <row r="966" ht="15.75" customHeight="1" s="38"/>
    <row r="967" ht="15.75" customHeight="1" s="38"/>
    <row r="968" ht="15.75" customHeight="1" s="38"/>
    <row r="969" ht="15.75" customHeight="1" s="38"/>
    <row r="970" ht="15.75" customHeight="1" s="38"/>
    <row r="971" ht="15.75" customHeight="1" s="38"/>
    <row r="972" ht="15.75" customHeight="1" s="38"/>
    <row r="973" ht="15.75" customHeight="1" s="38"/>
    <row r="974" ht="15.75" customHeight="1" s="38"/>
    <row r="975" ht="15.75" customHeight="1" s="38"/>
    <row r="976" ht="15.75" customHeight="1" s="38"/>
    <row r="977" ht="15.75" customHeight="1" s="38"/>
    <row r="978" ht="15.75" customHeight="1" s="38"/>
    <row r="979" ht="15.75" customHeight="1" s="38"/>
    <row r="980" ht="15.75" customHeight="1" s="38"/>
    <row r="981" ht="15.75" customHeight="1" s="38"/>
    <row r="982" ht="15.75" customHeight="1" s="38"/>
    <row r="983" ht="15.75" customHeight="1" s="38"/>
    <row r="984" ht="15.75" customHeight="1" s="38"/>
    <row r="985" ht="15.75" customHeight="1" s="38"/>
    <row r="986" ht="15.75" customHeight="1" s="38"/>
    <row r="987" ht="15.75" customHeight="1" s="38"/>
    <row r="988" ht="15.75" customHeight="1" s="38"/>
    <row r="989" ht="15.75" customHeight="1" s="38"/>
    <row r="990" ht="15.75" customHeight="1" s="38"/>
    <row r="991" ht="15.75" customHeight="1" s="38"/>
    <row r="992" ht="15.75" customHeight="1" s="38"/>
    <row r="993" ht="15.75" customHeight="1" s="38"/>
    <row r="994" ht="15.75" customHeight="1" s="38"/>
    <row r="995" ht="15.75" customHeight="1" s="38"/>
    <row r="996" ht="15.75" customHeight="1" s="38"/>
    <row r="997" ht="15.75" customHeight="1" s="38"/>
    <row r="998" ht="15.75" customHeight="1" s="38"/>
    <row r="999" ht="15.75" customHeight="1" s="38"/>
    <row r="1000" ht="15.75" customHeight="1" s="38"/>
  </sheetData>
  <mergeCells count="1">
    <mergeCell ref="B2:F2"/>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drawing xmlns:r="http://schemas.openxmlformats.org/officeDocument/2006/relationships" r:id="rId1"/>
</worksheet>
</file>

<file path=xl/worksheets/sheet2.xml><?xml version="1.0" encoding="utf-8"?>
<worksheet xmlns="http://schemas.openxmlformats.org/spreadsheetml/2006/main">
  <sheetPr filterMode="0">
    <outlinePr summaryBelow="1" summaryRight="1"/>
    <pageSetUpPr fitToPage="0"/>
  </sheetPr>
  <dimension ref="A1:V100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customHeight="1" zeroHeight="0" outlineLevelRow="0"/>
  <cols>
    <col width="34.14" customWidth="1" style="37" min="1" max="1"/>
    <col width="50" customWidth="1" style="37" min="2" max="2"/>
    <col width="14" customWidth="1" style="37" min="3" max="3"/>
    <col width="41.86" customWidth="1" style="37" min="4" max="4"/>
    <col width="30.43" customWidth="1" style="37" min="5" max="5"/>
    <col width="50" customWidth="1" style="37" min="6" max="7"/>
    <col width="22" customWidth="1" style="37" min="8" max="8"/>
    <col width="35.85" customWidth="1" style="37" min="9" max="9"/>
    <col width="32.71" customWidth="1" style="37" min="10" max="10"/>
    <col width="13.86" customWidth="1" style="37" min="11" max="11"/>
    <col width="17.57" customWidth="1" style="37" min="12" max="12"/>
    <col width="20" customWidth="1" style="37" min="13" max="13"/>
    <col width="25" customWidth="1" style="37" min="14" max="14"/>
    <col width="15" customWidth="1" style="37" min="15" max="15"/>
    <col width="21.71" customWidth="1" style="37" min="16" max="16"/>
    <col width="20" customWidth="1" style="37" min="17" max="17"/>
    <col width="14" customWidth="1" style="37" min="18" max="19"/>
    <col width="15.14" customWidth="1" style="37" min="20" max="20"/>
    <col width="20.43" customWidth="1" style="37" min="21" max="21"/>
  </cols>
  <sheetData>
    <row r="1" ht="15" customHeight="1" s="38">
      <c r="A1" s="58" t="inlineStr">
        <is>
          <t>Empresa</t>
        </is>
      </c>
      <c r="B1" s="58" t="inlineStr">
        <is>
          <t>Rubro</t>
        </is>
      </c>
      <c r="C1" s="58" t="inlineStr">
        <is>
          <t>Ciudad</t>
        </is>
      </c>
      <c r="D1" s="58" t="inlineStr">
        <is>
          <t>Proyecto / Oportunidad Detectada</t>
        </is>
      </c>
      <c r="E1" s="58" t="inlineStr">
        <is>
          <t>Fuente de Información</t>
        </is>
      </c>
      <c r="F1" s="58" t="inlineStr">
        <is>
          <t>Enlace a la Fuente</t>
        </is>
      </c>
      <c r="G1" s="58" t="inlineStr">
        <is>
          <t>Contacto Sniper</t>
        </is>
      </c>
      <c r="H1" s="58" t="inlineStr">
        <is>
          <t>Email de Contacto</t>
        </is>
      </c>
      <c r="I1" s="58" t="inlineStr">
        <is>
          <t>LinkedIn</t>
        </is>
      </c>
      <c r="J1" s="58" t="inlineStr">
        <is>
          <t>LinkedIn Empresa</t>
        </is>
      </c>
      <c r="K1" s="58" t="inlineStr">
        <is>
          <t>Sitio Web</t>
        </is>
      </c>
      <c r="L1" s="58" t="inlineStr">
        <is>
          <t>Contexto Empresa</t>
        </is>
      </c>
      <c r="M1" s="58" t="inlineStr">
        <is>
          <t>Estado Contacto</t>
        </is>
      </c>
      <c r="N1" s="58" t="inlineStr">
        <is>
          <t>Sub-Estado</t>
        </is>
      </c>
      <c r="O1" s="58" t="inlineStr">
        <is>
          <t>Fecha Contacto</t>
        </is>
      </c>
      <c r="P1" s="58" t="inlineStr">
        <is>
          <t>Notas CRM</t>
        </is>
      </c>
      <c r="Q1" s="58" t="inlineStr">
        <is>
          <t>Medio de Contacto</t>
        </is>
      </c>
      <c r="R1" s="58" t="inlineStr">
        <is>
          <t>Próximo Seguimiento</t>
        </is>
      </c>
      <c r="S1" s="58" t="inlineStr">
        <is>
          <t>Prioridad</t>
        </is>
      </c>
      <c r="T1" s="58" t="inlineStr">
        <is>
          <t>RUT</t>
        </is>
      </c>
      <c r="U1" s="58" t="inlineStr">
        <is>
          <t>Teléfono</t>
        </is>
      </c>
      <c r="V1" s="37" t="inlineStr">
        <is>
          <t>Fecha_Email_Enviado</t>
        </is>
      </c>
    </row>
    <row r="2" ht="15" customHeight="1" s="38">
      <c r="A2" s="59" t="inlineStr">
        <is>
          <t>A. Hartrodt Chile S.A.</t>
        </is>
      </c>
      <c r="B2" s="59" t="inlineStr">
        <is>
          <t>Transporte Aéreo, Transporte Marítimo, Transporte Terrestre</t>
        </is>
      </c>
      <c r="C2" s="59" t="inlineStr">
        <is>
          <t>Santiago</t>
        </is>
      </c>
      <c r="D2" s="59" t="inlineStr">
        <is>
          <t>Investigación en Proceso</t>
        </is>
      </c>
      <c r="E2" s="59" t="n"/>
      <c r="F2" s="59" t="n"/>
      <c r="G2" s="59" t="inlineStr">
        <is>
          <t>Hector Calderon (Jefe Informática)</t>
        </is>
      </c>
      <c r="H2" s="59" t="inlineStr">
        <is>
          <t>hcalderon@hartrodt.cl</t>
        </is>
      </c>
      <c r="I2" s="60" t="inlineStr">
        <is>
          <t>https://cl.linkedin.com/in/hector-calderon-gonzalez-3439a358</t>
        </is>
      </c>
      <c r="J2" s="60" t="inlineStr">
        <is>
          <t>https://cl.linkedin.com/company/a-hartrodt-chile</t>
        </is>
      </c>
      <c r="K2" s="59" t="n"/>
      <c r="L2" s="59" t="inlineStr">
        <is>
          <t>Ventas: GRANDE 3 (600.000 - 1.000.000 UF) | Empleados: 34</t>
        </is>
      </c>
      <c r="M2" s="61" t="inlineStr">
        <is>
          <t>Contactada</t>
        </is>
      </c>
      <c r="N2" s="61" t="n"/>
      <c r="O2" s="61" t="n"/>
      <c r="P2" s="61" t="n"/>
      <c r="Q2" s="61" t="inlineStr">
        <is>
          <t>LinkedIn</t>
        </is>
      </c>
      <c r="R2" s="62" t="n"/>
      <c r="S2" s="61" t="n"/>
      <c r="T2" s="59" t="inlineStr">
        <is>
          <t>84.007.300-9</t>
        </is>
      </c>
      <c r="U2" s="59" t="inlineStr">
        <is>
          <t>(56) 2 2483 7000</t>
        </is>
      </c>
    </row>
    <row r="3" ht="15" customHeight="1" s="38">
      <c r="A3" s="59" t="inlineStr">
        <is>
          <t>A.J. Broom y Cía. S.A.C.</t>
        </is>
      </c>
      <c r="B3" s="59" t="inlineStr">
        <is>
          <t>Agencias Marítimas</t>
        </is>
      </c>
      <c r="C3" s="59" t="inlineStr">
        <is>
          <t>Santiago</t>
        </is>
      </c>
      <c r="D3" s="59" t="inlineStr">
        <is>
          <t>Plataforma Tracking Marítimo Real-Time</t>
        </is>
      </c>
      <c r="E3" s="59" t="n"/>
      <c r="F3" s="59" t="inlineStr">
        <is>
          <t>https://www.ajbroom.cl/</t>
        </is>
      </c>
      <c r="G3" s="59" t="inlineStr">
        <is>
          <t>Ricardo Lira (Gerente Operaciones)</t>
        </is>
      </c>
      <c r="H3" s="59" t="n"/>
      <c r="I3" s="63" t="n"/>
      <c r="J3" s="60" t="inlineStr">
        <is>
          <t>https://cl.linkedin.com/company/broom-group</t>
        </is>
      </c>
      <c r="K3" s="59" t="n"/>
      <c r="L3" s="59" t="inlineStr">
        <is>
          <t>Ventas: GRANDE 2 (200.000 - 600.000 UF) | Empleados: 33</t>
        </is>
      </c>
      <c r="M3" s="61" t="inlineStr">
        <is>
          <t>Contactada</t>
        </is>
      </c>
      <c r="N3" s="61" t="n"/>
      <c r="O3" s="61" t="n"/>
      <c r="P3" s="61" t="n"/>
      <c r="Q3" s="61" t="inlineStr">
        <is>
          <t>LinkedIn</t>
        </is>
      </c>
      <c r="R3" s="62" t="n"/>
      <c r="S3" s="61" t="n"/>
      <c r="T3" s="59" t="inlineStr">
        <is>
          <t>91.256.000-7</t>
        </is>
      </c>
      <c r="U3" s="59" t="inlineStr">
        <is>
          <t>(56) 2 2549 8400</t>
        </is>
      </c>
    </row>
    <row r="4" ht="15" customHeight="1" s="38">
      <c r="A4" s="59" t="inlineStr">
        <is>
          <t>AB Arriendos S.A.</t>
        </is>
      </c>
      <c r="B4" s="59" t="inlineStr">
        <is>
          <t>Arriendo de Equipos para Soldar, Compresores</t>
        </is>
      </c>
      <c r="C4" s="59" t="inlineStr">
        <is>
          <t>Santiago</t>
        </is>
      </c>
      <c r="D4" s="59" t="inlineStr">
        <is>
          <t>Expansión Arriendo Maquinaria Norte</t>
        </is>
      </c>
      <c r="E4" s="59" t="n"/>
      <c r="F4" s="59" t="inlineStr">
        <is>
          <t>https://www.abarriendos.cl/</t>
        </is>
      </c>
      <c r="G4" s="59" t="inlineStr">
        <is>
          <t>Roberto Carlos Bailac (Exec. Director)</t>
        </is>
      </c>
      <c r="H4" s="59" t="n"/>
      <c r="I4" s="63" t="n"/>
      <c r="J4" s="60" t="inlineStr">
        <is>
          <t>https://cl.linkedin.com/company/abarriendos</t>
        </is>
      </c>
      <c r="K4" s="59" t="n"/>
      <c r="L4" s="59" t="inlineStr">
        <is>
          <t>Ventas: GRANDE 2 (200.000 - 600.000 UF) | Empleados: 107</t>
        </is>
      </c>
      <c r="M4" s="61" t="inlineStr">
        <is>
          <t>Contactada</t>
        </is>
      </c>
      <c r="N4" s="61" t="n"/>
      <c r="O4" s="61" t="n"/>
      <c r="P4" s="61" t="n"/>
      <c r="Q4" s="61" t="inlineStr">
        <is>
          <t>LinkedIn</t>
        </is>
      </c>
      <c r="R4" s="62" t="n"/>
      <c r="S4" s="61" t="n"/>
      <c r="T4" s="59" t="inlineStr">
        <is>
          <t>96.872.010-4</t>
        </is>
      </c>
      <c r="U4" s="59" t="inlineStr">
        <is>
          <t>(56) 2 2351 5400</t>
        </is>
      </c>
    </row>
    <row r="5" ht="15" customHeight="1" s="38">
      <c r="A5" s="59" t="inlineStr">
        <is>
          <t>Aceros Chilca</t>
        </is>
      </c>
      <c r="B5" s="59" t="inlineStr">
        <is>
          <t>Bolas de Acero Forjado para Molienda, Bolas para molienda, Revestimientos para Molinos</t>
        </is>
      </c>
      <c r="C5" s="59" t="inlineStr">
        <is>
          <t>Santiago</t>
        </is>
      </c>
      <c r="D5" s="59" t="inlineStr">
        <is>
          <t>Modernización Fundición Piezas Mineras</t>
        </is>
      </c>
      <c r="E5" s="59" t="n"/>
      <c r="F5" s="59" t="inlineStr">
        <is>
          <t>https://www.aceroschilca.com/</t>
        </is>
      </c>
      <c r="G5" s="59" t="inlineStr">
        <is>
          <t>Eduardo Garcia (Country Manager)</t>
        </is>
      </c>
      <c r="H5" s="59" t="n"/>
      <c r="I5" s="63" t="n"/>
      <c r="J5" s="60" t="inlineStr">
        <is>
          <t>https://cl.linkedin.com/company/aceros-chilca-mepsa</t>
        </is>
      </c>
      <c r="K5" s="59" t="n"/>
      <c r="L5" s="59" t="inlineStr">
        <is>
          <t>Ventas: GRANDE 2 (200.000 - 600.000 UF) | Empleados: 4</t>
        </is>
      </c>
      <c r="M5" s="61" t="inlineStr">
        <is>
          <t>No Contactada</t>
        </is>
      </c>
      <c r="N5" s="61" t="n"/>
      <c r="O5" s="61" t="n"/>
      <c r="P5" s="61" t="n"/>
      <c r="Q5" s="61" t="n"/>
      <c r="R5" s="62" t="n"/>
      <c r="S5" s="61" t="n"/>
      <c r="T5" s="59" t="inlineStr">
        <is>
          <t>96.871.960-2</t>
        </is>
      </c>
      <c r="U5" s="59" t="inlineStr">
        <is>
          <t>(56) 2 2929 5486</t>
        </is>
      </c>
    </row>
    <row r="6" ht="15" customHeight="1" s="38">
      <c r="A6" s="59" t="inlineStr">
        <is>
          <t>Acetogen Gas Chile S.A.</t>
        </is>
      </c>
      <c r="B6" s="59" t="inlineStr">
        <is>
          <t>Artículos para Seguridad</t>
        </is>
      </c>
      <c r="C6" s="59" t="inlineStr">
        <is>
          <t>Santiago</t>
        </is>
      </c>
      <c r="D6" s="59" t="inlineStr">
        <is>
          <t>Investigación en Proceso</t>
        </is>
      </c>
      <c r="E6" s="59" t="n"/>
      <c r="F6" s="59" t="n"/>
      <c r="G6" s="59" t="inlineStr">
        <is>
          <t>Hugo Inzulza Daneri (Gerente General)</t>
        </is>
      </c>
      <c r="H6" s="59" t="inlineStr">
        <is>
          <t>hinzulza@acetogen.cl</t>
        </is>
      </c>
      <c r="I6" s="63" t="n"/>
      <c r="J6" s="60" t="inlineStr">
        <is>
          <t>https://cl.linkedin.com/company/acetogen</t>
        </is>
      </c>
      <c r="K6" s="59" t="n"/>
      <c r="L6" s="59" t="inlineStr">
        <is>
          <t>Ventas: GRANDE 3 (600.000 - 1.000.000 UF) | Empleados: 57</t>
        </is>
      </c>
      <c r="M6" s="61" t="inlineStr">
        <is>
          <t>Contactada</t>
        </is>
      </c>
      <c r="N6" s="61" t="n"/>
      <c r="O6" s="61" t="n"/>
      <c r="P6" s="61" t="n"/>
      <c r="Q6" s="61" t="inlineStr">
        <is>
          <t>LinkedIn</t>
        </is>
      </c>
      <c r="R6" s="62" t="n"/>
      <c r="S6" s="61" t="n"/>
      <c r="T6" s="59" t="inlineStr">
        <is>
          <t>93.333.000-1</t>
        </is>
      </c>
      <c r="U6" s="59" t="inlineStr">
        <is>
          <t>(56) 2 2583 2780</t>
        </is>
      </c>
    </row>
    <row r="7" ht="15" customHeight="1" s="38">
      <c r="A7" s="59" t="inlineStr">
        <is>
          <t>Adler Steel Chile</t>
        </is>
      </c>
      <c r="B7" s="59" t="inlineStr">
        <is>
          <t>Aceros Antiabrasivos, Barras de Aceros Especiales</t>
        </is>
      </c>
      <c r="C7" s="59" t="inlineStr">
        <is>
          <t>Santiago</t>
        </is>
      </c>
      <c r="D7" s="59" t="inlineStr">
        <is>
          <t>Aceros Especiales Minería (Procesos Críticos)</t>
        </is>
      </c>
      <c r="E7" s="59" t="inlineStr">
        <is>
          <t>Portal Minero / Licitaciones</t>
        </is>
      </c>
      <c r="F7" s="59" t="inlineStr">
        <is>
          <t>https://adler.cl/wp-content/uploads/2023/06/CatalogoAdlerJunio23.pdf</t>
        </is>
      </c>
      <c r="G7" s="59" t="inlineStr">
        <is>
          <t>Sabin Capetillo (Jefe Informática)</t>
        </is>
      </c>
      <c r="H7" s="59" t="inlineStr">
        <is>
          <t>scapetillo@adlersteel.cl</t>
        </is>
      </c>
      <c r="I7" s="60" t="inlineStr">
        <is>
          <t>https://cl.linkedin.com/in/sabin-capetillo-83376711a</t>
        </is>
      </c>
      <c r="J7" s="60" t="inlineStr">
        <is>
          <t>https://cl.linkedin.com/company/adler-steel-chile</t>
        </is>
      </c>
      <c r="K7" s="59" t="n"/>
      <c r="L7" s="59" t="inlineStr">
        <is>
          <t>Ventas: GRANDE 3 (600.000 - 1.000.000 UF) | Empleados: 17</t>
        </is>
      </c>
      <c r="M7" s="61" t="inlineStr">
        <is>
          <t>Contactada</t>
        </is>
      </c>
      <c r="N7" s="61" t="n"/>
      <c r="O7" s="61" t="n"/>
      <c r="P7" s="61" t="n"/>
      <c r="Q7" s="61" t="inlineStr">
        <is>
          <t>LinkedIn</t>
        </is>
      </c>
      <c r="R7" s="62" t="n"/>
      <c r="S7" s="61" t="n"/>
      <c r="T7" s="59" t="inlineStr">
        <is>
          <t>92.844.000-1</t>
        </is>
      </c>
      <c r="U7" s="59" t="inlineStr">
        <is>
          <t>(56) 2 2420 5555</t>
        </is>
      </c>
    </row>
    <row r="8" ht="15" customHeight="1" s="38">
      <c r="A8" s="59" t="inlineStr">
        <is>
          <t>AeroRescate Ambulancias Aéreas</t>
        </is>
      </c>
      <c r="B8" s="59" t="inlineStr">
        <is>
          <t>Transporte Aéreo, Transporte Aéreo en Helicóptero</t>
        </is>
      </c>
      <c r="C8" s="59" t="inlineStr">
        <is>
          <t>Santiago</t>
        </is>
      </c>
      <c r="D8" s="59" t="inlineStr">
        <is>
          <t>Investigación en Proceso</t>
        </is>
      </c>
      <c r="E8" s="59" t="n"/>
      <c r="F8" s="59" t="n"/>
      <c r="G8" s="59" t="inlineStr">
        <is>
          <t>David Acevedo Olguín (Director Corporativo)</t>
        </is>
      </c>
      <c r="H8" s="59" t="inlineStr">
        <is>
          <t>dacevedo@dap.cl</t>
        </is>
      </c>
      <c r="I8" s="60" t="inlineStr">
        <is>
          <t>https://cl.linkedin.com/in/david-acevedo-olgu%C3%ADn-01586b56</t>
        </is>
      </c>
      <c r="J8" s="60" t="inlineStr">
        <is>
          <t>https://cl.linkedin.com/company/grupo-dap</t>
        </is>
      </c>
      <c r="K8" s="59" t="n"/>
      <c r="L8" s="59" t="inlineStr">
        <is>
          <t>Ventas: GRANDE 4 (Mas de 1.000.000 UF) | Empleados: 35</t>
        </is>
      </c>
      <c r="M8" s="61" t="inlineStr">
        <is>
          <t>Contactada</t>
        </is>
      </c>
      <c r="N8" s="61" t="n"/>
      <c r="O8" s="61" t="n"/>
      <c r="P8" s="61" t="n"/>
      <c r="Q8" s="61" t="inlineStr">
        <is>
          <t>LinkedIn</t>
        </is>
      </c>
      <c r="R8" s="62" t="n"/>
      <c r="S8" s="61" t="n"/>
      <c r="T8" s="59" t="inlineStr">
        <is>
          <t>99.543.620-5</t>
        </is>
      </c>
      <c r="U8" s="59" t="inlineStr">
        <is>
          <t>(56) 2 3202 6890</t>
        </is>
      </c>
    </row>
    <row r="9" ht="15" customHeight="1" s="38">
      <c r="A9" s="59" t="inlineStr">
        <is>
          <t>Aerocardal Ltda.</t>
        </is>
      </c>
      <c r="B9" s="59" t="inlineStr">
        <is>
          <t>Transporte Aéreo en Helicóptero, Vuelos Ambulancia</t>
        </is>
      </c>
      <c r="C9" s="59" t="inlineStr">
        <is>
          <t>Santiago</t>
        </is>
      </c>
      <c r="D9" s="59" t="inlineStr">
        <is>
          <t>Mantenimiento Digital Embraer (Servicio Autorizado)</t>
        </is>
      </c>
      <c r="E9" s="59" t="inlineStr">
        <is>
          <t>Comunicado Embraer / Newsletter</t>
        </is>
      </c>
      <c r="F9" s="59" t="inlineStr">
        <is>
          <t>https://tallyho.cl/embraer-suma-a-aerocardal-a-su-red-de-servicios-autorizados-en-chile/</t>
        </is>
      </c>
      <c r="G9" s="59" t="inlineStr">
        <is>
          <t>Javier Arellano (Jefe IT)</t>
        </is>
      </c>
      <c r="H9" s="59" t="inlineStr">
        <is>
          <t>jarellano@aerocardal.com</t>
        </is>
      </c>
      <c r="I9" s="60" t="inlineStr">
        <is>
          <t>https://cl.linkedin.com/in/javier-arellano-28087313</t>
        </is>
      </c>
      <c r="J9" s="60" t="inlineStr">
        <is>
          <t>https://cl.linkedin.com/company/aerocardal</t>
        </is>
      </c>
      <c r="K9" s="59" t="n"/>
      <c r="L9" s="59" t="inlineStr">
        <is>
          <t>Ventas: GRANDE 3 (600.000 - 1.000.000 UF) | Empleados: 98</t>
        </is>
      </c>
      <c r="M9" s="61" t="inlineStr">
        <is>
          <t>Contactada</t>
        </is>
      </c>
      <c r="N9" s="61" t="n"/>
      <c r="O9" s="61" t="n"/>
      <c r="P9" s="61" t="n"/>
      <c r="Q9" s="61" t="inlineStr">
        <is>
          <t>LinkedIn</t>
        </is>
      </c>
      <c r="R9" s="62" t="n"/>
      <c r="S9" s="61" t="n"/>
      <c r="T9" s="59" t="inlineStr">
        <is>
          <t>78.035.640-5</t>
        </is>
      </c>
      <c r="U9" s="59" t="inlineStr">
        <is>
          <t>(56) 2 2377 7400</t>
        </is>
      </c>
    </row>
    <row r="10" ht="15" customHeight="1" s="38">
      <c r="A10" s="59" t="inlineStr">
        <is>
          <t>Aguasin SpA</t>
        </is>
      </c>
      <c r="B10" s="59" t="inlineStr">
        <is>
          <t>Sistemas para Purificación de Agua, Tratamiento de Aguas</t>
        </is>
      </c>
      <c r="C10" s="59" t="inlineStr">
        <is>
          <t>Santiago</t>
        </is>
      </c>
      <c r="D10" s="59" t="inlineStr">
        <is>
          <t>Mantención Telemetría Plantas PW</t>
        </is>
      </c>
      <c r="E10" s="59" t="inlineStr">
        <is>
          <t>Mercado Público (ID 4076-121-LE25)</t>
        </is>
      </c>
      <c r="F10" s="59" t="inlineStr">
        <is>
          <t>https://www.portalminero.com/noticias/aguasin-y-xylem-presentan-soluciones-digitales-para-el-tratamiento-de-aguas/</t>
        </is>
      </c>
      <c r="G10" s="59" t="inlineStr">
        <is>
          <t>Richard Correa (Gerente Admin (IT Resp))</t>
        </is>
      </c>
      <c r="H10" s="59" t="inlineStr">
        <is>
          <t>rcorrea@aguasin.com</t>
        </is>
      </c>
      <c r="I10" s="64" t="inlineStr">
        <is>
          <t>https://cl.linkedin.com/in/richard-correa-escudero-6820b484</t>
        </is>
      </c>
      <c r="J10" s="60" t="inlineStr">
        <is>
          <t>Aguasin | LinkedIn</t>
        </is>
      </c>
      <c r="K10" s="59" t="n"/>
      <c r="L10" s="59" t="inlineStr">
        <is>
          <t>Ventas: GRANDE 4 (Mas de 1.000.000 UF) | Empleados: 174</t>
        </is>
      </c>
      <c r="M10" s="61" t="inlineStr">
        <is>
          <t>Contactada</t>
        </is>
      </c>
      <c r="N10" s="61" t="n"/>
      <c r="O10" s="61" t="n"/>
      <c r="P10" s="61" t="n"/>
      <c r="Q10" s="61" t="inlineStr">
        <is>
          <t>LinkedIn</t>
        </is>
      </c>
      <c r="R10" s="62" t="n"/>
      <c r="S10" s="61" t="n"/>
      <c r="T10" s="59" t="inlineStr">
        <is>
          <t>76.377.649-2</t>
        </is>
      </c>
      <c r="U10" s="59" t="inlineStr">
        <is>
          <t>(56) 2 2270 9500</t>
        </is>
      </c>
    </row>
    <row r="11" ht="15" customHeight="1" s="38">
      <c r="A11" s="59" t="inlineStr">
        <is>
          <t>Agunsa, Agencias Universales S.A.</t>
        </is>
      </c>
      <c r="B11" s="59" t="inlineStr">
        <is>
          <t>Agencias de Carga, Almacenamiento de Carga, Transporte de Minerales</t>
        </is>
      </c>
      <c r="C11" s="59" t="inlineStr">
        <is>
          <t>Santiago</t>
        </is>
      </c>
      <c r="D11" s="59" t="inlineStr">
        <is>
          <t>Estrategia Global Innovación Digital</t>
        </is>
      </c>
      <c r="E11" s="59" t="inlineStr">
        <is>
          <t>LinkedIn</t>
        </is>
      </c>
      <c r="F11" s="59" t="inlineStr">
        <is>
          <t>https://cl.linkedin.com/in/carlos-ram%C3%ADrez-c%C3%A1rdenas-8b9b2b2a</t>
        </is>
      </c>
      <c r="G11" s="59" t="inlineStr">
        <is>
          <t>Carlos Ramírez (CTO Corporativo)</t>
        </is>
      </c>
      <c r="H11" s="59" t="n"/>
      <c r="I11" s="60" t="inlineStr">
        <is>
          <t>https://cl.linkedin.com/in/carlos-ram%C3%ADrez-c%C3%A1rdenas-tecnolog%C3%ADa</t>
        </is>
      </c>
      <c r="J11" s="60" t="inlineStr">
        <is>
          <t>https://cl.linkedin.com/company/agunsa</t>
        </is>
      </c>
      <c r="K11" s="59" t="n"/>
      <c r="L11" s="59" t="inlineStr">
        <is>
          <t>Ventas: GRANDE (Estimado por Empleados) | Empleados: 796</t>
        </is>
      </c>
      <c r="M11" s="61" t="inlineStr">
        <is>
          <t>Contactada</t>
        </is>
      </c>
      <c r="N11" s="61" t="n"/>
      <c r="O11" s="61" t="n"/>
      <c r="P11" s="61" t="n"/>
      <c r="Q11" s="61" t="inlineStr">
        <is>
          <t>LinkedIn</t>
        </is>
      </c>
      <c r="R11" s="62" t="n"/>
      <c r="S11" s="61" t="n"/>
      <c r="T11" s="59" t="inlineStr">
        <is>
          <t>96.566.940-K</t>
        </is>
      </c>
      <c r="U11" s="59" t="inlineStr">
        <is>
          <t>(56) 2 2460 2700</t>
        </is>
      </c>
    </row>
    <row r="12" ht="15" customHeight="1" s="38">
      <c r="A12" s="59" t="inlineStr">
        <is>
          <t>Alessandri &amp; Cía. Ltda.</t>
        </is>
      </c>
      <c r="B12" s="59" t="inlineStr">
        <is>
          <t>Asesorías Jurídicas en Minería, Servicios Legales</t>
        </is>
      </c>
      <c r="C12" s="59" t="inlineStr">
        <is>
          <t>Santiago</t>
        </is>
      </c>
      <c r="D12" s="59" t="inlineStr">
        <is>
          <t>Implementación LegalTech &amp; Ciberseguridad</t>
        </is>
      </c>
      <c r="E12" s="59" t="n"/>
      <c r="F12" s="59" t="inlineStr">
        <is>
          <t>https://cl.linkedin.com/in/francisco-fern%C3%A1ndez-mancilla</t>
        </is>
      </c>
      <c r="G12" s="59" t="inlineStr">
        <is>
          <t>Francisco Javier Fernández M. (Subgerente Ops)</t>
        </is>
      </c>
      <c r="H12" s="59" t="n"/>
      <c r="I12" s="60" t="inlineStr">
        <is>
          <t>https://cl.linkedin.com/in/francisco-fern%C3%A1ndez-mancilla</t>
        </is>
      </c>
      <c r="J12" s="60" t="inlineStr">
        <is>
          <t>https://cl.linkedin.com/company/alessandri</t>
        </is>
      </c>
      <c r="K12" s="59" t="n"/>
      <c r="L12" s="59" t="inlineStr">
        <is>
          <t>Ventas: GRANDE 3 (600.000 - 1.000.000 UF) | Empleados: 101</t>
        </is>
      </c>
      <c r="M12" s="61" t="inlineStr">
        <is>
          <t>Contactada</t>
        </is>
      </c>
      <c r="N12" s="61" t="n"/>
      <c r="O12" s="61" t="n"/>
      <c r="P12" s="61" t="n"/>
      <c r="Q12" s="61" t="inlineStr">
        <is>
          <t>LinkedIn</t>
        </is>
      </c>
      <c r="R12" s="62" t="n"/>
      <c r="S12" s="61" t="n"/>
      <c r="T12" s="59" t="inlineStr">
        <is>
          <t>79.784.430-6</t>
        </is>
      </c>
      <c r="U12" s="59" t="inlineStr">
        <is>
          <t>(56) 2 2787 6000</t>
        </is>
      </c>
    </row>
    <row r="13" ht="15" customHeight="1" s="38">
      <c r="A13" s="59" t="inlineStr">
        <is>
          <t>Alfa People Chile SpA</t>
        </is>
      </c>
      <c r="B13" s="59" t="inlineStr">
        <is>
          <t>Diseño de Sistemas ERP</t>
        </is>
      </c>
      <c r="C13" s="59" t="inlineStr">
        <is>
          <t>Santiago</t>
        </is>
      </c>
      <c r="D13" s="59" t="inlineStr">
        <is>
          <t>Proyectos Microsoft Dynamics 365 Cloud</t>
        </is>
      </c>
      <c r="E13" s="59" t="n"/>
      <c r="F13" s="59" t="inlineStr">
        <is>
          <t>https://alfapeople.com/cl/</t>
        </is>
      </c>
      <c r="G13" s="59" t="inlineStr">
        <is>
          <t>Carlos Amaro (CEO)</t>
        </is>
      </c>
      <c r="H13" s="59" t="n"/>
      <c r="I13" s="63" t="n"/>
      <c r="J13" s="60" t="inlineStr">
        <is>
          <t>https://www.linkedin.com/company/alfapeople</t>
        </is>
      </c>
      <c r="K13" s="59" t="n"/>
      <c r="L13" s="59" t="inlineStr">
        <is>
          <t>Ventas: GRANDE 3 (600.000 - 1.000.000 UF) | Empleados: 121</t>
        </is>
      </c>
      <c r="M13" s="61" t="inlineStr">
        <is>
          <t>Contactada</t>
        </is>
      </c>
      <c r="N13" s="61" t="n"/>
      <c r="O13" s="61" t="n"/>
      <c r="P13" s="61" t="n"/>
      <c r="Q13" s="61" t="inlineStr">
        <is>
          <t>LinkedIn</t>
        </is>
      </c>
      <c r="R13" s="62" t="n"/>
      <c r="S13" s="61" t="n"/>
      <c r="T13" s="59" t="inlineStr">
        <is>
          <t>76.360.577-9</t>
        </is>
      </c>
      <c r="U13" s="59" t="inlineStr">
        <is>
          <t>(56) 2 2751 9000</t>
        </is>
      </c>
    </row>
    <row r="14" ht="15" customHeight="1" s="38">
      <c r="A14" s="59" t="inlineStr">
        <is>
          <t>Aliservice</t>
        </is>
      </c>
      <c r="B14" s="59" t="inlineStr">
        <is>
          <t>Alimentación Industrial</t>
        </is>
      </c>
      <c r="C14" s="59" t="inlineStr">
        <is>
          <t>Santiago</t>
        </is>
      </c>
      <c r="D14" s="65" t="inlineStr">
        <is>
          <t>Digitalización Cadena Suministro Alimentación</t>
        </is>
      </c>
      <c r="E14" s="59" t="n"/>
      <c r="F14" s="59" t="inlineStr">
        <is>
          <t>https://www.aliservice.cl/</t>
        </is>
      </c>
      <c r="G14" s="59" t="inlineStr">
        <is>
          <t>Luis Alberto Santana (Gerente Adm y Finanzas)</t>
        </is>
      </c>
      <c r="H14" s="59" t="n"/>
      <c r="I14" s="63" t="n"/>
      <c r="J14" s="60" t="inlineStr">
        <is>
          <t>https://www.linkedin.com/company/aliservice-s-a</t>
        </is>
      </c>
      <c r="K14" s="59" t="n"/>
      <c r="L14" s="59" t="inlineStr">
        <is>
          <t>Ventas: GRANDE 3 (600.000 - 1.000.000 UF) | Empleados: 1372</t>
        </is>
      </c>
      <c r="M14" s="61" t="inlineStr">
        <is>
          <t>Contactada</t>
        </is>
      </c>
      <c r="N14" s="61" t="n"/>
      <c r="O14" s="61" t="n"/>
      <c r="P14" s="61" t="n"/>
      <c r="Q14" s="61" t="inlineStr">
        <is>
          <t>LinkedIn</t>
        </is>
      </c>
      <c r="R14" s="62" t="n"/>
      <c r="S14" s="61" t="n"/>
      <c r="T14" s="59" t="inlineStr">
        <is>
          <t>76437608-0</t>
        </is>
      </c>
      <c r="U14" s="59" t="inlineStr">
        <is>
          <t>(56) 2 2913 5500</t>
        </is>
      </c>
    </row>
    <row r="15" ht="15" customHeight="1" s="38">
      <c r="A15" s="59" t="inlineStr">
        <is>
          <t>American Parts</t>
        </is>
      </c>
      <c r="B15" s="59" t="inlineStr">
        <is>
          <t>Actividades de Apoyo para la Explotación de Minas y Canteras, Venta de Partes, Piezas y Accesorios para Vehículos Automotores</t>
        </is>
      </c>
      <c r="C15" s="59" t="inlineStr">
        <is>
          <t>Antofagasta</t>
        </is>
      </c>
      <c r="D15" s="59" t="inlineStr">
        <is>
          <t>Canal E-commerce B2B (Expansión Digital)</t>
        </is>
      </c>
      <c r="E15" s="59" t="inlineStr">
        <is>
          <t>Americanparts.cl / LinkedIn</t>
        </is>
      </c>
      <c r="F15" s="59" t="inlineStr">
        <is>
          <t>https://americanparts.cl/shop/</t>
        </is>
      </c>
      <c r="G15" s="59" t="inlineStr">
        <is>
          <t>Patricio Herrera (Jefe de Sistemas)</t>
        </is>
      </c>
      <c r="H15" s="59" t="inlineStr">
        <is>
          <t>p.herrera@americanparts.cl</t>
        </is>
      </c>
      <c r="I15" s="63" t="n"/>
      <c r="J15" s="60" t="inlineStr">
        <is>
          <t>https://cl.linkedin.com/company/american-parts-spa</t>
        </is>
      </c>
      <c r="K15" s="59" t="inlineStr">
        <is>
          <t>http://www.americanparts.cl</t>
        </is>
      </c>
      <c r="L15" s="59" t="inlineStr">
        <is>
          <t>Ventas: GRANDE 3 (600.000 - 1.000.000 UF) | Empleados: 38</t>
        </is>
      </c>
      <c r="M15" s="61" t="n"/>
      <c r="N15" s="61" t="n"/>
      <c r="O15" s="61" t="n"/>
      <c r="P15" s="61" t="n"/>
      <c r="Q15" s="61" t="n"/>
      <c r="R15" s="62" t="n"/>
      <c r="S15" s="61" t="n"/>
      <c r="T15" s="59" t="inlineStr">
        <is>
          <t>76.790.684-6</t>
        </is>
      </c>
      <c r="U15" s="59" t="inlineStr">
        <is>
          <t>(56) 9 4220 1935</t>
        </is>
      </c>
    </row>
    <row r="16" ht="15" customHeight="1" s="38">
      <c r="A16" s="59" t="inlineStr">
        <is>
          <t>Anakena Group</t>
        </is>
      </c>
      <c r="B16" s="59" t="inlineStr">
        <is>
          <t>Construcciones Modulares, Servicios Hoteleros</t>
        </is>
      </c>
      <c r="C16" s="59" t="inlineStr">
        <is>
          <t>Santiago</t>
        </is>
      </c>
      <c r="D16" s="59" t="inlineStr">
        <is>
          <t>Hotelería Modular Minería (Sistemas Gestión)</t>
        </is>
      </c>
      <c r="E16" s="59" t="inlineStr">
        <is>
          <t>Exponor 2024 / BCN</t>
        </is>
      </c>
      <c r="F16" s="59" t="inlineStr">
        <is>
          <t>https://www.anakenagroup.cl/2024/06/10/anakena-noticias/</t>
        </is>
      </c>
      <c r="G16" s="59" t="inlineStr">
        <is>
          <t>Michael Salameh (Jefe de Sistemas Producción)</t>
        </is>
      </c>
      <c r="H16" s="59" t="inlineStr">
        <is>
          <t>m.salameh@anakena.cl</t>
        </is>
      </c>
      <c r="I16" s="60" t="inlineStr">
        <is>
          <t>https://cl.linkedin.com/in/michael-salameh-148509ab</t>
        </is>
      </c>
      <c r="J16" s="60" t="inlineStr">
        <is>
          <t>https://www.linkedin.com/company/anakena-chile</t>
        </is>
      </c>
      <c r="K16" s="59" t="n"/>
      <c r="L16" s="59" t="inlineStr">
        <is>
          <t>Ventas: GRANDE 3 (600.000 - 1.000.000 UF) | Empleados: 476</t>
        </is>
      </c>
      <c r="M16" s="61" t="n"/>
      <c r="N16" s="61" t="n"/>
      <c r="O16" s="61" t="n"/>
      <c r="P16" s="61" t="n"/>
      <c r="Q16" s="61" t="n"/>
      <c r="R16" s="62" t="n"/>
      <c r="S16" s="61" t="n"/>
      <c r="T16" s="59" t="inlineStr">
        <is>
          <t>52.003.237-1</t>
        </is>
      </c>
      <c r="U16" s="59" t="inlineStr">
        <is>
          <t>(56) 2 2951 5328</t>
        </is>
      </c>
    </row>
    <row r="17" ht="15" customHeight="1" s="38">
      <c r="A17" s="59" t="inlineStr">
        <is>
          <t>Ancor Tecmin</t>
        </is>
      </c>
      <c r="B17" s="59" t="inlineStr">
        <is>
          <t>Aisladores para Anodos y Cátodos, Celdas Electrolíticas</t>
        </is>
      </c>
      <c r="C17" s="59" t="inlineStr">
        <is>
          <t>Santiago</t>
        </is>
      </c>
      <c r="D17" s="59" t="inlineStr">
        <is>
          <t>Investigación en Proceso</t>
        </is>
      </c>
      <c r="E17" s="59" t="n"/>
      <c r="F17" s="59" t="n"/>
      <c r="G17" s="59" t="inlineStr">
        <is>
          <t>Franco Yáñez (Jefe Automatización e Informática)</t>
        </is>
      </c>
      <c r="H17" s="59" t="inlineStr">
        <is>
          <t>f.yanez@ancortecmin.cl</t>
        </is>
      </c>
      <c r="I17" s="60" t="inlineStr">
        <is>
          <t>https://cl.linkedin.com/in/francoyanez</t>
        </is>
      </c>
      <c r="J17" s="60" t="inlineStr">
        <is>
          <t>https://cl.linkedin.com/company/ancor-tecmin</t>
        </is>
      </c>
      <c r="K17" s="59" t="n"/>
      <c r="L17" s="59" t="inlineStr">
        <is>
          <t>Ventas: GRANDE 3 (600.000 - 1.000.000 UF) | Empleados: 191</t>
        </is>
      </c>
      <c r="M17" s="61" t="n"/>
      <c r="N17" s="61" t="n"/>
      <c r="O17" s="61" t="n"/>
      <c r="P17" s="61" t="n"/>
      <c r="Q17" s="61" t="n"/>
      <c r="R17" s="62" t="n"/>
      <c r="S17" s="61" t="n"/>
      <c r="T17" s="59" t="inlineStr">
        <is>
          <t>76.411.929-0</t>
        </is>
      </c>
      <c r="U17" s="59" t="inlineStr">
        <is>
          <t>(56) 2 2510 6000</t>
        </is>
      </c>
    </row>
    <row r="18" ht="15" customHeight="1" s="38">
      <c r="A18" s="59" t="inlineStr">
        <is>
          <t>Andes Solar</t>
        </is>
      </c>
      <c r="B18" s="59" t="inlineStr">
        <is>
          <t>Desarrollo, Construcción y Operación de Proyectos de Energía Renovable</t>
        </is>
      </c>
      <c r="C18" s="59" t="inlineStr">
        <is>
          <t>Santiago</t>
        </is>
      </c>
      <c r="D18" s="59" t="inlineStr">
        <is>
          <t>Investigación en Proceso</t>
        </is>
      </c>
      <c r="E18" s="59" t="n"/>
      <c r="F18" s="59" t="n"/>
      <c r="G18" s="59" t="inlineStr">
        <is>
          <t>Felipe Aguilera Moore (Jefe de Ingeniería)</t>
        </is>
      </c>
      <c r="H18" s="59" t="inlineStr">
        <is>
          <t>f.aguilera@andessolar.cl</t>
        </is>
      </c>
      <c r="I18" s="63" t="inlineStr">
        <is>
          <t>https://cl.linkedin.com/in/felipe-aguilera-moore</t>
        </is>
      </c>
      <c r="J18" s="60" t="inlineStr">
        <is>
          <t>https://www.linkedin.com/company/andessolar</t>
        </is>
      </c>
      <c r="K18" s="59" t="n"/>
      <c r="L18" s="59" t="inlineStr">
        <is>
          <t>Ventas: GRANDE 3 (600.000 - 1.000.000 UF) | Empleados: 95</t>
        </is>
      </c>
      <c r="M18" s="61" t="n"/>
      <c r="N18" s="61" t="n"/>
      <c r="O18" s="61" t="n"/>
      <c r="P18" s="61" t="n"/>
      <c r="Q18" s="61" t="n"/>
      <c r="R18" s="62" t="n"/>
      <c r="S18" s="61" t="n"/>
      <c r="T18" s="59" t="inlineStr">
        <is>
          <t>76.271.321-7</t>
        </is>
      </c>
      <c r="U18" s="59" t="inlineStr">
        <is>
          <t>(56) 2 2956 6230</t>
        </is>
      </c>
    </row>
    <row r="19" ht="15" customHeight="1" s="38">
      <c r="A19" s="59" t="inlineStr">
        <is>
          <t>Anglo American Chile</t>
        </is>
      </c>
      <c r="B19" s="59" t="inlineStr">
        <is>
          <t>Anodos de Cobre, Cátodos de Cobre, Concentrado de Molibdeno, Sulfato de Cobre</t>
        </is>
      </c>
      <c r="C19" s="59" t="inlineStr">
        <is>
          <t>Santiago</t>
        </is>
      </c>
      <c r="D19" s="59" t="inlineStr">
        <is>
          <t>Centro Remoto IROC</t>
        </is>
      </c>
      <c r="E19" s="59" t="inlineStr">
        <is>
          <t>LinkedIn</t>
        </is>
      </c>
      <c r="F19" s="59" t="inlineStr">
        <is>
          <t>https://cl.linkedin.com/in/rodrigosubiabre</t>
        </is>
      </c>
      <c r="G19" s="59" t="inlineStr">
        <is>
          <t>Rodrigo Subiabre (VP Tech &amp; Innov)</t>
        </is>
      </c>
      <c r="H19" s="59" t="n"/>
      <c r="I19" s="60" t="inlineStr">
        <is>
          <t>https://cl.linkedin.com/in/rodrigo-subiabre-84130844</t>
        </is>
      </c>
      <c r="J19" s="60" t="inlineStr">
        <is>
          <t>https://www.linkedin.com/company/anglo-american</t>
        </is>
      </c>
      <c r="K19" s="59" t="n"/>
      <c r="L19" s="59" t="inlineStr">
        <is>
          <t>Ventas: GRANDE (Estimado por Empleados) | Empleados: 837</t>
        </is>
      </c>
      <c r="M19" s="61" t="n"/>
      <c r="N19" s="61" t="n"/>
      <c r="O19" s="61" t="n"/>
      <c r="P19" s="61" t="n"/>
      <c r="Q19" s="61" t="n"/>
      <c r="R19" s="62" t="n"/>
      <c r="S19" s="61" t="n"/>
      <c r="T19" s="59" t="inlineStr">
        <is>
          <t>77.905.330-K</t>
        </is>
      </c>
      <c r="U19" s="59" t="inlineStr">
        <is>
          <t>(56) 2 2230 6000</t>
        </is>
      </c>
    </row>
    <row r="20" ht="15" customHeight="1" s="38">
      <c r="A20" s="59" t="inlineStr">
        <is>
          <t>Artilec Ltda.</t>
        </is>
      </c>
      <c r="B20" s="59" t="inlineStr">
        <is>
          <t>Cámaras IP para Vigilancia, Seguridad Industrial y Minera</t>
        </is>
      </c>
      <c r="C20" s="59" t="inlineStr">
        <is>
          <t>Santiago</t>
        </is>
      </c>
      <c r="D20" s="59" t="inlineStr">
        <is>
          <t>Investigación en Proceso</t>
        </is>
      </c>
      <c r="E20" s="59" t="n"/>
      <c r="F20" s="59" t="n"/>
      <c r="G20" s="59" t="inlineStr">
        <is>
          <t>Mayron Araya (Soporte Informática)</t>
        </is>
      </c>
      <c r="H20" s="59" t="inlineStr">
        <is>
          <t>maraya@artilec.cl</t>
        </is>
      </c>
      <c r="I20" s="60" t="inlineStr">
        <is>
          <t>https://cl.linkedin.com/in/mayron-araya-30a828b1</t>
        </is>
      </c>
      <c r="J20" s="60" t="inlineStr">
        <is>
          <t>https://www.linkedin.com/company/artilec-ltda</t>
        </is>
      </c>
      <c r="K20" s="59" t="n"/>
      <c r="L20" s="59" t="inlineStr">
        <is>
          <t>Ventas: GRANDE 3 (600.000 - 1.000.000 UF) | Empleados: 67</t>
        </is>
      </c>
      <c r="M20" s="61" t="n"/>
      <c r="N20" s="61" t="n"/>
      <c r="O20" s="61" t="n"/>
      <c r="P20" s="61" t="n"/>
      <c r="Q20" s="61" t="n"/>
      <c r="R20" s="62" t="n"/>
      <c r="S20" s="61" t="n"/>
      <c r="T20" s="59" t="inlineStr">
        <is>
          <t>79.796.310-0</t>
        </is>
      </c>
      <c r="U20" s="59" t="inlineStr">
        <is>
          <t>(56) 2 2240 7500</t>
        </is>
      </c>
    </row>
    <row r="21" ht="15.75" customHeight="1" s="38">
      <c r="A21" s="59" t="inlineStr">
        <is>
          <t>AtPac Doka</t>
        </is>
      </c>
      <c r="B21" s="59" t="inlineStr">
        <is>
          <t>Andamios</t>
        </is>
      </c>
      <c r="C21" s="59" t="inlineStr">
        <is>
          <t>Santiago</t>
        </is>
      </c>
      <c r="D21" s="59" t="inlineStr">
        <is>
          <t>Encofrados &amp; Seguridad Construcción</t>
        </is>
      </c>
      <c r="E21" s="59" t="n"/>
      <c r="F21" s="59" t="inlineStr">
        <is>
          <t>https://www.google.com/search?q=AtPac+Doka+Chile+LinkedIn</t>
        </is>
      </c>
      <c r="G21" s="59" t="inlineStr">
        <is>
          <t>Aldo Veas (Technical Manager LATAM)</t>
        </is>
      </c>
      <c r="H21" s="59" t="n"/>
      <c r="I21" s="60" t="inlineStr">
        <is>
          <t>https://cl.linkedin.com/in/aldo-veas-2850534</t>
        </is>
      </c>
      <c r="J21" s="60" t="inlineStr">
        <is>
          <t>https://www.linkedin.com/company/at-pac</t>
        </is>
      </c>
      <c r="K21" s="59" t="n"/>
      <c r="L21" s="59" t="inlineStr">
        <is>
          <t>Ventas: GRANDE 2 (200.000 - 600.000 UF) | Empleados: 43</t>
        </is>
      </c>
      <c r="M21" s="61" t="n"/>
      <c r="N21" s="61" t="n"/>
      <c r="O21" s="61" t="n"/>
      <c r="P21" s="61" t="n"/>
      <c r="Q21" s="61" t="n"/>
      <c r="R21" s="62" t="n"/>
      <c r="S21" s="61" t="n"/>
      <c r="T21" s="59" t="inlineStr">
        <is>
          <t>77.383.881-K</t>
        </is>
      </c>
      <c r="U21" s="59" t="inlineStr">
        <is>
          <t>(56) 9 3394 1026</t>
        </is>
      </c>
    </row>
    <row r="22" ht="15.75" customHeight="1" s="38">
      <c r="A22" s="59" t="inlineStr">
        <is>
          <t>Atlas Renewable Energy</t>
        </is>
      </c>
      <c r="B22" s="59" t="inlineStr">
        <is>
          <t>Plantas de Energía Solar</t>
        </is>
      </c>
      <c r="C22" s="59" t="inlineStr">
        <is>
          <t>Santiago</t>
        </is>
      </c>
      <c r="D22" s="59" t="inlineStr">
        <is>
          <t>Investigación en Proceso</t>
        </is>
      </c>
      <c r="E22" s="59" t="n"/>
      <c r="F22" s="59" t="n"/>
      <c r="G22" s="59" t="inlineStr">
        <is>
          <t>Francisca Latorre H. (Corporate IT Manager)</t>
        </is>
      </c>
      <c r="H22" s="59" t="inlineStr">
        <is>
          <t>flatorre@atlasrenewableenergy.com</t>
        </is>
      </c>
      <c r="I22" s="63" t="inlineStr">
        <is>
          <t>https://cl.linkedin.com/in/franciscalatorrel</t>
        </is>
      </c>
      <c r="J22" s="63" t="inlineStr">
        <is>
          <t>https://www.linkedin.com/company/atlasrenewableenergy</t>
        </is>
      </c>
      <c r="K22" s="59" t="n"/>
      <c r="L22" s="59" t="inlineStr">
        <is>
          <t>Ventas: GRANDE 3 (600.000 - 1.000.000 UF) | Empleados: 0</t>
        </is>
      </c>
      <c r="M22" s="61" t="n"/>
      <c r="N22" s="61" t="n"/>
      <c r="O22" s="61" t="n"/>
      <c r="P22" s="61" t="n"/>
      <c r="Q22" s="61" t="n"/>
      <c r="R22" s="62" t="n"/>
      <c r="S22" s="61" t="n"/>
      <c r="T22" s="59" t="inlineStr">
        <is>
          <t>76376627-6</t>
        </is>
      </c>
      <c r="U22" s="59" t="inlineStr">
        <is>
          <t>(56) 2 2611 8300</t>
        </is>
      </c>
    </row>
    <row r="23" ht="15.75" customHeight="1" s="38">
      <c r="A23" s="59" t="inlineStr">
        <is>
          <t>BASF Chile S.A.</t>
        </is>
      </c>
      <c r="B23" s="59" t="inlineStr">
        <is>
          <t>Productos Químicos para la Minería</t>
        </is>
      </c>
      <c r="C23" s="59" t="inlineStr">
        <is>
          <t>Santiago</t>
        </is>
      </c>
      <c r="D23" s="59" t="inlineStr">
        <is>
          <t>Transformación Digital Clusters Región Andes</t>
        </is>
      </c>
      <c r="E23" s="59" t="n"/>
      <c r="F23" s="59" t="inlineStr">
        <is>
          <t>https://cl.linkedin.com/in/jonathan-rojas-diaz</t>
        </is>
      </c>
      <c r="G23" s="59" t="inlineStr">
        <is>
          <t>Jonathan Rojas (Gerente Digitalización)</t>
        </is>
      </c>
      <c r="H23" s="59" t="n"/>
      <c r="I23" s="63" t="inlineStr">
        <is>
          <t>https://cr.linkedin.com/in/jonathan-rojas-diaz</t>
        </is>
      </c>
      <c r="J23" s="63" t="inlineStr">
        <is>
          <t>https://www.linkedin.com/company/basf</t>
        </is>
      </c>
      <c r="K23" s="59" t="n"/>
      <c r="L23" s="59" t="inlineStr">
        <is>
          <t>Ventas: GRANDE (Estimado por Empleados) | Empleados: 256</t>
        </is>
      </c>
      <c r="M23" s="61" t="n"/>
      <c r="N23" s="61" t="n"/>
      <c r="O23" s="61" t="n"/>
      <c r="P23" s="61" t="n"/>
      <c r="Q23" s="61" t="n"/>
      <c r="R23" s="62" t="n"/>
      <c r="S23" s="61" t="n"/>
      <c r="T23" s="59" t="inlineStr">
        <is>
          <t>80.043.600-1</t>
        </is>
      </c>
      <c r="U23" s="59" t="inlineStr">
        <is>
          <t>(56) 2 2640 7000</t>
        </is>
      </c>
    </row>
    <row r="24" ht="15.75" customHeight="1" s="38">
      <c r="A24" s="59" t="inlineStr">
        <is>
          <t>Bailac</t>
        </is>
      </c>
      <c r="B24" s="59" t="inlineStr">
        <is>
          <t>Aros y Llantas para Camiones, Reciclaje de Neumáticos OTR</t>
        </is>
      </c>
      <c r="C24" s="59" t="inlineStr">
        <is>
          <t>Santiago</t>
        </is>
      </c>
      <c r="D24" s="59" t="inlineStr">
        <is>
          <t>Tecnología Gestión Neumáticos &amp; Economía Circular</t>
        </is>
      </c>
      <c r="E24" s="59" t="n"/>
      <c r="F24" s="59" t="inlineStr">
        <is>
          <t>https://cl.linkedin.com/in/raimundo-bailac-pereira-b53269104</t>
        </is>
      </c>
      <c r="G24" s="59" t="inlineStr">
        <is>
          <t>Raimundo Bailac (GG)</t>
        </is>
      </c>
      <c r="H24" s="59" t="n"/>
      <c r="I24" s="63" t="inlineStr">
        <is>
          <t>https://cl.linkedin.com/in/raimundo-bailac-pereira-b53269104</t>
        </is>
      </c>
      <c r="J24" s="63" t="inlineStr">
        <is>
          <t>https://cl.linkedin.com/company/bailac-thor</t>
        </is>
      </c>
      <c r="K24" s="59" t="n"/>
      <c r="L24" s="59" t="inlineStr">
        <is>
          <t>Ventas: GRANDE 2 (200.000 - 600.000 UF) | Empleados: 95</t>
        </is>
      </c>
      <c r="M24" s="61" t="n"/>
      <c r="N24" s="61" t="n"/>
      <c r="O24" s="61" t="n"/>
      <c r="P24" s="61" t="n"/>
      <c r="Q24" s="61" t="n"/>
      <c r="R24" s="62" t="n"/>
      <c r="S24" s="61" t="n"/>
      <c r="T24" s="59" t="inlineStr">
        <is>
          <t>79.722.740-4</t>
        </is>
      </c>
      <c r="U24" s="59" t="inlineStr">
        <is>
          <t>(56) 2 2915 9130</t>
        </is>
      </c>
    </row>
    <row r="25" ht="15.75" customHeight="1" s="38">
      <c r="A25" s="66" t="inlineStr">
        <is>
          <t>Bailac Capacita</t>
        </is>
      </c>
      <c r="B25" s="66" t="inlineStr">
        <is>
          <t>Capacitación en Mantenimiento de Equipos Móviles, Capacitación en Seguridad Operacional, Capacitación en Soldadura (Reparación de Equipos y END)</t>
        </is>
      </c>
      <c r="C25" s="66" t="inlineStr">
        <is>
          <t>Santiago</t>
        </is>
      </c>
      <c r="D25" s="66" t="inlineStr">
        <is>
          <t>Tecnología Gestión Neumáticos &amp; Economía Circular</t>
        </is>
      </c>
      <c r="E25" s="66" t="n"/>
      <c r="F25" s="66" t="inlineStr">
        <is>
          <t>https://cl.linkedin.com/in/raimundo-bailac-pereira-b53269104</t>
        </is>
      </c>
      <c r="G25" s="66" t="inlineStr">
        <is>
          <t>Raimundo Bailac (GG)</t>
        </is>
      </c>
      <c r="H25" s="66" t="n"/>
      <c r="I25" s="63" t="inlineStr">
        <is>
          <t>https://cl.linkedin.com/in/raimundo-bailac-pereira-b53269104</t>
        </is>
      </c>
      <c r="J25" s="63" t="inlineStr">
        <is>
          <t>https://cl.linkedin.com/in/bailac-capacita-26a872180</t>
        </is>
      </c>
      <c r="K25" s="66" t="n"/>
      <c r="L25" s="66" t="inlineStr">
        <is>
          <t>Ventas: PEQUEÑA 3 (10.000 - 25.000 UF) | Empleados: 5</t>
        </is>
      </c>
      <c r="M25" s="61" t="n"/>
      <c r="N25" s="61" t="n"/>
      <c r="O25" s="61" t="n"/>
      <c r="P25" s="61" t="n"/>
      <c r="Q25" s="61" t="n"/>
      <c r="R25" s="62" t="n"/>
      <c r="S25" s="61" t="n"/>
      <c r="T25" s="66" t="inlineStr">
        <is>
          <t>76.217.882-6</t>
        </is>
      </c>
      <c r="U25" s="66" t="inlineStr">
        <is>
          <t>(56) 9 4284 6607</t>
        </is>
      </c>
    </row>
    <row r="26" ht="15.75" customHeight="1" s="38">
      <c r="A26" s="59" t="inlineStr">
        <is>
          <t>Bailac Thor Saan Ltda.</t>
        </is>
      </c>
      <c r="B26" s="59" t="inlineStr">
        <is>
          <t>Recauchaje de Neumáticos, Servicios de Reparación de Neumáticos Gigantes a la Minería</t>
        </is>
      </c>
      <c r="C26" s="59" t="inlineStr">
        <is>
          <t>Iquique</t>
        </is>
      </c>
      <c r="D26" s="59" t="inlineStr">
        <is>
          <t>Tecnología Gestión Neumáticos &amp; Economía Circular</t>
        </is>
      </c>
      <c r="E26" s="59" t="n"/>
      <c r="F26" s="59" t="inlineStr">
        <is>
          <t>https://cl.linkedin.com/in/raimundo-bailac-pereira-b53269104</t>
        </is>
      </c>
      <c r="G26" s="59" t="inlineStr">
        <is>
          <t>Raimundo Bailac (GG)</t>
        </is>
      </c>
      <c r="H26" s="59" t="n"/>
      <c r="I26" s="63" t="inlineStr">
        <is>
          <t>https://cl.linkedin.com/in/raimundo-bailac-pereira-b53269104</t>
        </is>
      </c>
      <c r="J26" s="63" t="inlineStr">
        <is>
          <t>https://cl.linkedin.com/company/bailacsanltda</t>
        </is>
      </c>
      <c r="K26" s="59" t="n"/>
      <c r="L26" s="59" t="inlineStr">
        <is>
          <t>Ventas: GRANDE 3 (600.000 - 1.000.000 UF) | Empleados: 156</t>
        </is>
      </c>
      <c r="M26" s="61" t="n"/>
      <c r="N26" s="61" t="n"/>
      <c r="O26" s="61" t="n"/>
      <c r="P26" s="61" t="n"/>
      <c r="Q26" s="61" t="n"/>
      <c r="R26" s="62" t="n"/>
      <c r="S26" s="61" t="n"/>
      <c r="T26" s="59" t="inlineStr">
        <is>
          <t>78.080.330-4</t>
        </is>
      </c>
      <c r="U26" s="59" t="inlineStr">
        <is>
          <t>(56) 57 251 8300</t>
        </is>
      </c>
    </row>
    <row r="27" ht="15.75" customHeight="1" s="38">
      <c r="A27" s="59" t="inlineStr">
        <is>
          <t>Barraca de Fierro San Joaquín SpA</t>
        </is>
      </c>
      <c r="B27" s="59" t="inlineStr">
        <is>
          <t>Barracas de Acero, Barracas de Fierros</t>
        </is>
      </c>
      <c r="C27" s="59" t="inlineStr">
        <is>
          <t>Santiago</t>
        </is>
      </c>
      <c r="D27" s="59" t="inlineStr">
        <is>
          <t>Transformación Digital Ventas &amp; Inventario</t>
        </is>
      </c>
      <c r="E27" s="59" t="n"/>
      <c r="F27" s="59" t="inlineStr">
        <is>
          <t>https://cl.linkedin.com/in/martin-vera-0b1a1b1b</t>
        </is>
      </c>
      <c r="G27" s="59" t="inlineStr">
        <is>
          <t>Martín Vera (CIO/CTO)</t>
        </is>
      </c>
      <c r="H27" s="59" t="n"/>
      <c r="I27" s="63" t="inlineStr">
        <is>
          <t>https://cl.linkedin.com/in/martin-vera-poblete-1622582a4</t>
        </is>
      </c>
      <c r="J27" s="63" t="inlineStr">
        <is>
          <t>https://cl.linkedin.com/company/barraca-de-fierro-san-joaquin-s-a</t>
        </is>
      </c>
      <c r="K27" s="59" t="n"/>
      <c r="L27" s="59" t="inlineStr">
        <is>
          <t>Ventas: GRANDE 2 (200.000 - 600.000 UF) | Empleados: 21</t>
        </is>
      </c>
      <c r="M27" s="61" t="n"/>
      <c r="N27" s="61" t="n"/>
      <c r="O27" s="61" t="n"/>
      <c r="P27" s="61" t="n"/>
      <c r="Q27" s="61" t="n"/>
      <c r="R27" s="62" t="n"/>
      <c r="S27" s="61" t="n"/>
      <c r="T27" s="59" t="inlineStr">
        <is>
          <t>96.654.030-3</t>
        </is>
      </c>
      <c r="U27" s="59" t="inlineStr">
        <is>
          <t>(56) 2 2551 6867</t>
        </is>
      </c>
    </row>
    <row r="28" ht="15.75" customHeight="1" s="38">
      <c r="A28" s="59" t="inlineStr">
        <is>
          <t>Bartech</t>
        </is>
      </c>
      <c r="B28" s="59" t="inlineStr">
        <is>
          <t>Capturadores de Información, Control de Accesos</t>
        </is>
      </c>
      <c r="C28" s="59" t="inlineStr">
        <is>
          <t>Santiago</t>
        </is>
      </c>
      <c r="D28" s="59" t="inlineStr">
        <is>
          <t>Investigación en Proceso</t>
        </is>
      </c>
      <c r="E28" s="59" t="n"/>
      <c r="F28" s="59" t="n"/>
      <c r="G28" s="59" t="inlineStr">
        <is>
          <t>Raul Lara (Gerente Comercial y Desarrollo)</t>
        </is>
      </c>
      <c r="H28" s="59" t="inlineStr">
        <is>
          <t>raul.lara@bartech.cl</t>
        </is>
      </c>
      <c r="I28" s="63" t="inlineStr">
        <is>
          <t>https://cl.linkedin.com/in/raul-lara-c-4626264b</t>
        </is>
      </c>
      <c r="J28" s="63" t="inlineStr">
        <is>
          <t>https://cl.linkedin.com/company/bartech-chile</t>
        </is>
      </c>
      <c r="K28" s="59" t="n"/>
      <c r="L28" s="59" t="inlineStr">
        <is>
          <t>Ventas: GRANDE 3 (600.000 - 1.000.000 UF) | Empleados: 20</t>
        </is>
      </c>
      <c r="M28" s="61" t="n"/>
      <c r="N28" s="61" t="n"/>
      <c r="O28" s="61" t="n"/>
      <c r="P28" s="61" t="n"/>
      <c r="Q28" s="61" t="n"/>
      <c r="R28" s="62" t="n"/>
      <c r="S28" s="61" t="n"/>
      <c r="T28" s="59" t="inlineStr">
        <is>
          <t>99.539.070-1</t>
        </is>
      </c>
      <c r="U28" s="59" t="inlineStr">
        <is>
          <t>(56) 2 2923 8600</t>
        </is>
      </c>
    </row>
    <row r="29" ht="15.75" customHeight="1" s="38">
      <c r="A29" s="59" t="inlineStr">
        <is>
          <t>Bechtel Chile Ltda.</t>
        </is>
      </c>
      <c r="B29" s="59" t="inlineStr">
        <is>
          <t>Construcción de Plantas Mineras</t>
        </is>
      </c>
      <c r="C29" s="59" t="inlineStr">
        <is>
          <t>Santiago</t>
        </is>
      </c>
      <c r="D29" s="59" t="inlineStr">
        <is>
          <t>Sistemas IT Ingeniería Minería &amp; Infraestructura</t>
        </is>
      </c>
      <c r="E29" s="59" t="n"/>
      <c r="F29" s="59" t="inlineStr">
        <is>
          <t>https://cl.linkedin.com/in/felipe-espinoza-yentzen-377a3b67</t>
        </is>
      </c>
      <c r="G29" s="59" t="inlineStr">
        <is>
          <t>Felipe Espinoza (Infrastructure Lead)</t>
        </is>
      </c>
      <c r="H29" s="59" t="n"/>
      <c r="I29" s="63" t="inlineStr">
        <is>
          <t>https://cl.linkedin.com/in/felipe-espinoza-yentzen-377a3b67</t>
        </is>
      </c>
      <c r="J29" s="63" t="inlineStr">
        <is>
          <t>https://www.linkedin.com/company/bechtel-corporation</t>
        </is>
      </c>
      <c r="K29" s="59" t="n"/>
      <c r="L29" s="59" t="inlineStr">
        <is>
          <t>Ventas: GRANDE (Estimado por Empleados) | Empleados: 1820</t>
        </is>
      </c>
      <c r="M29" s="61" t="n"/>
      <c r="N29" s="61" t="n"/>
      <c r="O29" s="61" t="n"/>
      <c r="P29" s="61" t="n"/>
      <c r="Q29" s="61" t="n"/>
      <c r="R29" s="62" t="n"/>
      <c r="S29" s="61" t="n"/>
      <c r="T29" s="59" t="inlineStr">
        <is>
          <t>95.207.000-2</t>
        </is>
      </c>
      <c r="U29" s="59" t="inlineStr">
        <is>
          <t>(56) 2 2675 1000</t>
        </is>
      </c>
    </row>
    <row r="30" ht="15.75" customHeight="1" s="38">
      <c r="A30" s="59" t="inlineStr">
        <is>
          <t>Beiben Truck</t>
        </is>
      </c>
      <c r="B30" s="59" t="inlineStr">
        <is>
          <t>Bulldozers, Camiones Carreteros y Fuera de Carretera (OTR)</t>
        </is>
      </c>
      <c r="C30" s="59" t="inlineStr">
        <is>
          <t>Santiago</t>
        </is>
      </c>
      <c r="D30" s="59" t="inlineStr">
        <is>
          <t>Camiones Autónomos para Minería</t>
        </is>
      </c>
      <c r="E30" s="59" t="n"/>
      <c r="F30" s="59" t="inlineStr">
        <is>
          <t>https://cl.linkedin.com/in/philipp-kaufmann-beiben-truck-94828180</t>
        </is>
      </c>
      <c r="G30" s="59" t="inlineStr">
        <is>
          <t>Philipp Kaufmann (CEO)</t>
        </is>
      </c>
      <c r="H30" s="59" t="n"/>
      <c r="I30" s="63" t="inlineStr">
        <is>
          <t>https://cl.linkedin.com/in/philipp-kaufmann-beiben-truck-94828180</t>
        </is>
      </c>
      <c r="J30" s="63" t="inlineStr">
        <is>
          <t>https://www.linkedin.com/company/beiben</t>
        </is>
      </c>
      <c r="K30" s="59" t="n"/>
      <c r="L30" s="59" t="inlineStr">
        <is>
          <t>Ventas: GRANDE 2 (200.000 - 600.000 UF) | Empleados: 13</t>
        </is>
      </c>
      <c r="M30" s="61" t="n"/>
      <c r="N30" s="61" t="n"/>
      <c r="O30" s="61" t="n"/>
      <c r="P30" s="61" t="n"/>
      <c r="Q30" s="61" t="n"/>
      <c r="R30" s="62" t="n"/>
      <c r="S30" s="61" t="n"/>
      <c r="T30" s="59" t="inlineStr">
        <is>
          <t>76.077.627-0</t>
        </is>
      </c>
      <c r="U30" s="59" t="inlineStr">
        <is>
          <t>(56) 2 2797 6200</t>
        </is>
      </c>
    </row>
    <row r="31" ht="15.75" customHeight="1" s="38">
      <c r="A31" s="59" t="inlineStr">
        <is>
          <t>Bertech</t>
        </is>
      </c>
      <c r="B31" s="59" t="inlineStr">
        <is>
          <t>Productos Químicos para la Mantención de Equipos Mineros, Productos Químicos para la Minería, Revestimientos Industriales</t>
        </is>
      </c>
      <c r="C31" s="59" t="inlineStr">
        <is>
          <t>Santiago</t>
        </is>
      </c>
      <c r="D31" s="59" t="inlineStr">
        <is>
          <t>Transf. Digital Revestimientos Industriales</t>
        </is>
      </c>
      <c r="E31" s="59" t="n"/>
      <c r="F31" s="59" t="inlineStr">
        <is>
          <t>https://cl.linkedin.com/in/pedro-fernandez-parraguez</t>
        </is>
      </c>
      <c r="G31" s="59" t="inlineStr">
        <is>
          <t>Pedro Fernández Parraguez (IT Manager)</t>
        </is>
      </c>
      <c r="H31" s="59" t="n"/>
      <c r="I31" s="63" t="inlineStr">
        <is>
          <t>https://cl.linkedin.com/in/pedro-fernandez-parraguez</t>
        </is>
      </c>
      <c r="J31" s="63" t="inlineStr">
        <is>
          <t>https://cl.linkedin.com/company/bertechgroup</t>
        </is>
      </c>
      <c r="K31" s="59" t="n"/>
      <c r="L31" s="59" t="inlineStr">
        <is>
          <t>Ventas: GRANDE 2 (200.000 - 600.000 UF) | Empleados: 152</t>
        </is>
      </c>
      <c r="M31" s="61" t="n"/>
      <c r="N31" s="61" t="n"/>
      <c r="O31" s="61" t="n"/>
      <c r="P31" s="61" t="n"/>
      <c r="Q31" s="61" t="n"/>
      <c r="R31" s="62" t="n"/>
      <c r="S31" s="61" t="n"/>
      <c r="T31" s="59" t="inlineStr">
        <is>
          <t>76.054.686-0</t>
        </is>
      </c>
      <c r="U31" s="59" t="inlineStr">
        <is>
          <t>(56) 2 2246 3485</t>
        </is>
      </c>
    </row>
    <row r="32" ht="15.75" customHeight="1" s="38">
      <c r="A32" s="59" t="inlineStr">
        <is>
          <t>Biggi (Chile) S.A.</t>
        </is>
      </c>
      <c r="B32" s="59" t="inlineStr">
        <is>
          <t>Cocinas Industriales, Equipos para Preparar Alimentos</t>
        </is>
      </c>
      <c r="C32" s="59" t="inlineStr">
        <is>
          <t>Santiago</t>
        </is>
      </c>
      <c r="D32" s="59" t="inlineStr">
        <is>
          <t>IoT Equipamiento Cocinas Industriales</t>
        </is>
      </c>
      <c r="E32" s="59" t="n"/>
      <c r="F32" s="59" t="inlineStr">
        <is>
          <t>https://www.biggi.cl/</t>
        </is>
      </c>
      <c r="G32" s="59" t="inlineStr">
        <is>
          <t>Sergio Biggi (Gerente General)</t>
        </is>
      </c>
      <c r="H32" s="59" t="n"/>
      <c r="I32" s="63" t="n"/>
      <c r="J32" s="63" t="inlineStr">
        <is>
          <t>https://cl.linkedin.com/company/biggi</t>
        </is>
      </c>
      <c r="K32" s="59" t="n"/>
      <c r="L32" s="59" t="inlineStr">
        <is>
          <t>Ventas: GRANDE 2 (200.000 - 600.000 UF) | Empleados: 6</t>
        </is>
      </c>
      <c r="M32" s="61" t="n"/>
      <c r="N32" s="61" t="n"/>
      <c r="O32" s="61" t="n"/>
      <c r="P32" s="61" t="n"/>
      <c r="Q32" s="61" t="n"/>
      <c r="R32" s="62" t="n"/>
      <c r="S32" s="61" t="n"/>
      <c r="T32" s="59" t="inlineStr">
        <is>
          <t>91.462.001-5</t>
        </is>
      </c>
      <c r="U32" s="59" t="inlineStr">
        <is>
          <t>(56) 2 2412 6200</t>
        </is>
      </c>
    </row>
    <row r="33" ht="15.75" customHeight="1" s="38">
      <c r="A33" s="59" t="inlineStr">
        <is>
          <t>Bimex Ltda.</t>
        </is>
      </c>
      <c r="B33" s="59" t="inlineStr">
        <is>
          <t>Equipos Eléctricos</t>
        </is>
      </c>
      <c r="C33" s="59" t="inlineStr">
        <is>
          <t>Santiago</t>
        </is>
      </c>
      <c r="D33" s="59" t="inlineStr">
        <is>
          <t>Modernización Sistemas LIS Laboratorio</t>
        </is>
      </c>
      <c r="E33" s="59" t="n"/>
      <c r="F33" s="59" t="inlineStr">
        <is>
          <t>https://www.bimex.cl/</t>
        </is>
      </c>
      <c r="G33" s="59" t="inlineStr">
        <is>
          <t>Alberto Harrison (General Manager)</t>
        </is>
      </c>
      <c r="H33" s="59" t="n"/>
      <c r="I33" s="63" t="n"/>
      <c r="J33" s="63" t="inlineStr">
        <is>
          <t>https://www.linkedin.com/company/bimex-limitada</t>
        </is>
      </c>
      <c r="K33" s="59" t="n"/>
      <c r="L33" s="59" t="inlineStr">
        <is>
          <t>Ventas: GRANDE 2 (200.000 - 600.000 UF) | Empleados: 9</t>
        </is>
      </c>
      <c r="M33" s="61" t="n"/>
      <c r="N33" s="61" t="n"/>
      <c r="O33" s="61" t="n"/>
      <c r="P33" s="61" t="n"/>
      <c r="Q33" s="61" t="n"/>
      <c r="R33" s="62" t="n"/>
      <c r="S33" s="61" t="n"/>
      <c r="T33" s="59" t="inlineStr">
        <is>
          <t>78.836.730-9</t>
        </is>
      </c>
      <c r="U33" s="59" t="inlineStr">
        <is>
          <t>(56) 2 2306 2200</t>
        </is>
      </c>
    </row>
    <row r="34" ht="15.75" customHeight="1" s="38">
      <c r="A34" s="59" t="inlineStr">
        <is>
          <t>Biofiltro</t>
        </is>
      </c>
      <c r="B34" s="59" t="inlineStr">
        <is>
          <t>Plantas de Tratamiento de Aguas Servidas</t>
        </is>
      </c>
      <c r="C34" s="59" t="inlineStr">
        <is>
          <t>Santiago</t>
        </is>
      </c>
      <c r="D34" s="59" t="inlineStr">
        <is>
          <t>Automatización Tratamiento Riles (Sistema BIDA)</t>
        </is>
      </c>
      <c r="E34" s="59" t="n"/>
      <c r="F34" s="59" t="inlineStr">
        <is>
          <t>https://cl.linkedin.com/in/ignacio-andr%C3%A9s-jofr%C3%A9-valenzuela-69902289</t>
        </is>
      </c>
      <c r="G34" s="59" t="inlineStr">
        <is>
          <t>Ignacio Jofré Valenzuela (Subgerente Proyectos)</t>
        </is>
      </c>
      <c r="H34" s="59" t="n"/>
      <c r="I34" s="63" t="inlineStr">
        <is>
          <t>https://cl.linkedin.com/in/ignacio-andr%C3%A9s-jofr%C3%A9-valenzuela-69902289</t>
        </is>
      </c>
      <c r="J34" s="63" t="inlineStr">
        <is>
          <t>https://www.linkedin.com/company/biofiltro</t>
        </is>
      </c>
      <c r="K34" s="59" t="n"/>
      <c r="L34" s="59" t="inlineStr">
        <is>
          <t>Ventas: GRANDE 2 (200.000 - 600.000 UF) | Empleados: 86</t>
        </is>
      </c>
      <c r="M34" s="61" t="n"/>
      <c r="N34" s="61" t="n"/>
      <c r="O34" s="61" t="n"/>
      <c r="P34" s="61" t="n"/>
      <c r="Q34" s="61" t="n"/>
      <c r="R34" s="62" t="n"/>
      <c r="S34" s="61" t="n"/>
      <c r="T34" s="59" t="inlineStr">
        <is>
          <t>76.337.422-K</t>
        </is>
      </c>
      <c r="U34" s="59" t="inlineStr">
        <is>
          <t>(56) 2 3224 3648</t>
        </is>
      </c>
    </row>
    <row r="35" ht="15.75" customHeight="1" s="38">
      <c r="A35" s="59" t="inlineStr">
        <is>
          <t>Biotec Chile S.A.</t>
        </is>
      </c>
      <c r="B35" s="59" t="inlineStr">
        <is>
          <t>Detergentes</t>
        </is>
      </c>
      <c r="C35" s="59" t="inlineStr">
        <is>
          <t>Santiago</t>
        </is>
      </c>
      <c r="D35" s="59" t="inlineStr">
        <is>
          <t>Investigación en Proceso</t>
        </is>
      </c>
      <c r="E35" s="59" t="n"/>
      <c r="F35" s="59" t="n"/>
      <c r="G35" s="59" t="inlineStr">
        <is>
          <t>Fabián Deramond (Gerente TI y Transf. Digital)</t>
        </is>
      </c>
      <c r="H35" s="59" t="inlineStr">
        <is>
          <t>f.deramond@biotec.cl</t>
        </is>
      </c>
      <c r="I35" s="63" t="inlineStr">
        <is>
          <t>https://cl.linkedin.com/in/fabi%C3%A1n-deramond-44064918</t>
        </is>
      </c>
      <c r="J35" s="63" t="inlineStr">
        <is>
          <t>https://cl.linkedin.com/company/biotec-chile-s-a-</t>
        </is>
      </c>
      <c r="K35" s="59" t="n"/>
      <c r="L35" s="59" t="inlineStr">
        <is>
          <t>Ventas: GRANDE 3 (600.000 - 1.000.000 UF) | Empleados: 77</t>
        </is>
      </c>
      <c r="M35" s="61" t="n"/>
      <c r="N35" s="61" t="n"/>
      <c r="O35" s="61" t="n"/>
      <c r="P35" s="61" t="n"/>
      <c r="Q35" s="61" t="n"/>
      <c r="R35" s="62" t="n"/>
      <c r="S35" s="61" t="n"/>
      <c r="T35" s="59" t="inlineStr">
        <is>
          <t>96.025.000-1</t>
        </is>
      </c>
      <c r="U35" s="59" t="inlineStr">
        <is>
          <t>(56) 2 2963 4500</t>
        </is>
      </c>
    </row>
    <row r="36" ht="15.75" customHeight="1" s="38">
      <c r="A36" s="59" t="inlineStr">
        <is>
          <t>Bombas de Pozo Ltda.</t>
        </is>
      </c>
      <c r="B36" s="59" t="inlineStr">
        <is>
          <t>Proveedor Destacado, Accesorios para Perforación, Asesorías, Bombas para Pozos Profundos, Bombas Sumergibles, Bombas Sumergibles para Pozos Profundos, Cables Sumergibles, Cañerías con Hilo, Coplas y Abrazaderas, Reparación de Equipos Hidráulicos, Servicio Técnico, Tableros Eléctricos, Tuberías Flexibles para Pozos Profundos</t>
        </is>
      </c>
      <c r="C36" s="59" t="inlineStr">
        <is>
          <t>Santiago</t>
        </is>
      </c>
      <c r="D36" s="59" t="inlineStr">
        <is>
          <t>Investigación en Proceso</t>
        </is>
      </c>
      <c r="E36" s="59" t="n"/>
      <c r="F36" s="59" t="n"/>
      <c r="G36" s="59" t="inlineStr">
        <is>
          <t>Mauricio Illanes (Socio Técnico)</t>
        </is>
      </c>
      <c r="H36" s="59" t="inlineStr">
        <is>
          <t>m.illanes@bombasdepozo.cl</t>
        </is>
      </c>
      <c r="I36" s="63" t="n"/>
      <c r="J36" s="63" t="n"/>
      <c r="K36" s="59" t="inlineStr">
        <is>
          <t>http://www.bombasdepozo.cl</t>
        </is>
      </c>
      <c r="L36" s="59" t="inlineStr">
        <is>
          <t>Ventas: GRANDE 3 (600.000 - 1.000.000 UF) | Empleados: 36</t>
        </is>
      </c>
      <c r="M36" s="61" t="n"/>
      <c r="N36" s="61" t="n"/>
      <c r="O36" s="61" t="n"/>
      <c r="P36" s="61" t="n"/>
      <c r="Q36" s="61" t="n"/>
      <c r="R36" s="62" t="n"/>
      <c r="S36" s="61" t="n"/>
      <c r="T36" s="59" t="inlineStr">
        <is>
          <t>78.176.700-K</t>
        </is>
      </c>
      <c r="U36" s="59" t="inlineStr">
        <is>
          <t>(56) 2 2842 0700</t>
        </is>
      </c>
    </row>
    <row r="37" ht="15.75" customHeight="1" s="38">
      <c r="A37" s="59" t="inlineStr">
        <is>
          <t>Bosch Rexroth Chile</t>
        </is>
      </c>
      <c r="B37" s="59" t="inlineStr">
        <is>
          <t>Bulldozers, Cargadoras Retroexcavadoras</t>
        </is>
      </c>
      <c r="C37" s="59" t="inlineStr">
        <is>
          <t>Santiago</t>
        </is>
      </c>
      <c r="D37" s="59" t="inlineStr">
        <is>
          <t>Monitoreo Predictivo</t>
        </is>
      </c>
      <c r="E37" s="59" t="inlineStr">
        <is>
          <t>Catálogo Soluciones</t>
        </is>
      </c>
      <c r="F37" s="59" t="inlineStr">
        <is>
          <t>https://www.boschrexroth.com/es/cl/noticias-e-historias/mineria/soluciones-bosch-rexroth-para-mineria/</t>
        </is>
      </c>
      <c r="G37" s="59" t="inlineStr">
        <is>
          <t>Oscar Torres (Jefe Proyectos TI)</t>
        </is>
      </c>
      <c r="H37" s="59" t="inlineStr">
        <is>
          <t>oscar.torres@boschrexroth.cl</t>
        </is>
      </c>
      <c r="I37" s="63" t="n"/>
      <c r="J37" s="63" t="inlineStr">
        <is>
          <t>https://cl.linkedin.com/company/bosch-rexroth-chile-spa</t>
        </is>
      </c>
      <c r="K37" s="59" t="n"/>
      <c r="L37" s="59" t="inlineStr">
        <is>
          <t>Ventas: GRANDE 4 (Mas de 1.000.000 UF) | Empleados: 79</t>
        </is>
      </c>
      <c r="M37" s="61" t="n"/>
      <c r="N37" s="61" t="n"/>
      <c r="O37" s="61" t="n"/>
      <c r="P37" s="61" t="n"/>
      <c r="Q37" s="61" t="n"/>
      <c r="R37" s="62" t="n"/>
      <c r="S37" s="61" t="n"/>
      <c r="T37" s="59" t="inlineStr">
        <is>
          <t>76.365.959-3</t>
        </is>
      </c>
      <c r="U37" s="59" t="inlineStr">
        <is>
          <t>(56) 2 2487 3700</t>
        </is>
      </c>
    </row>
    <row r="38" ht="15.75" customHeight="1" s="38">
      <c r="A38" s="59" t="inlineStr">
        <is>
          <t>Bottai S.A.</t>
        </is>
      </c>
      <c r="B38" s="59" t="inlineStr">
        <is>
          <t>Prefabricados de Concreto y Hormigón, Tubos de Concreto y Hormigón</t>
        </is>
      </c>
      <c r="C38" s="59" t="inlineStr">
        <is>
          <t>Santiago</t>
        </is>
      </c>
      <c r="D38" s="59" t="inlineStr">
        <is>
          <t>Investigación en Proceso</t>
        </is>
      </c>
      <c r="E38" s="59" t="n"/>
      <c r="F38" s="59" t="n"/>
      <c r="G38" s="59" t="inlineStr">
        <is>
          <t>Rodrigo Gimenez Fernandez (Gerente Comercial)</t>
        </is>
      </c>
      <c r="H38" s="59" t="inlineStr">
        <is>
          <t>r.gimenez@bottai.cl</t>
        </is>
      </c>
      <c r="I38" s="63" t="inlineStr">
        <is>
          <t>https://cl.linkedin.com/in/rodrigogimenezfernandez</t>
        </is>
      </c>
      <c r="J38" s="63" t="inlineStr">
        <is>
          <t>https://cl.linkedin.com/company/bottai-s-a</t>
        </is>
      </c>
      <c r="K38" s="59" t="n"/>
      <c r="L38" s="59" t="inlineStr">
        <is>
          <t>Ventas: GRANDE 3 (600.000 - 1.000.000 UF) | Empleados: 384</t>
        </is>
      </c>
      <c r="M38" s="61" t="n"/>
      <c r="N38" s="61" t="n"/>
      <c r="O38" s="61" t="n"/>
      <c r="P38" s="61" t="n"/>
      <c r="Q38" s="61" t="n"/>
      <c r="R38" s="62" t="n"/>
      <c r="S38" s="61" t="n"/>
      <c r="T38" s="59" t="inlineStr">
        <is>
          <t>80.125.100-5</t>
        </is>
      </c>
      <c r="U38" s="59" t="inlineStr">
        <is>
          <t>(56) 2 2413 1200</t>
        </is>
      </c>
    </row>
    <row r="39" ht="15.75" customHeight="1" s="38">
      <c r="A39" s="59" t="inlineStr">
        <is>
          <t>Bradken Chile</t>
        </is>
      </c>
      <c r="B39" s="59" t="inlineStr">
        <is>
          <t>Revestimientos para Molinos</t>
        </is>
      </c>
      <c r="C39" s="59" t="inlineStr">
        <is>
          <t>Santiago</t>
        </is>
      </c>
      <c r="D39" s="59" t="inlineStr">
        <is>
          <t>Investigación en Proceso</t>
        </is>
      </c>
      <c r="E39" s="59" t="n"/>
      <c r="F39" s="59" t="n"/>
      <c r="G39" s="59" t="inlineStr">
        <is>
          <t>Juan Carlos Rojas (IT Manager)</t>
        </is>
      </c>
      <c r="H39" s="59" t="inlineStr">
        <is>
          <t>j.rojas@bradken.com</t>
        </is>
      </c>
      <c r="I39" s="63" t="n"/>
      <c r="J39" s="63" t="inlineStr">
        <is>
          <t>https://www.linkedin.com/company/bradkenofficial</t>
        </is>
      </c>
      <c r="K39" s="59" t="n"/>
      <c r="L39" s="59" t="inlineStr">
        <is>
          <t>Ventas: GRANDE 3 (600.000 - 1.000.000 UF) | Empleados: 28</t>
        </is>
      </c>
      <c r="M39" s="61" t="n"/>
      <c r="N39" s="61" t="n"/>
      <c r="O39" s="61" t="n"/>
      <c r="P39" s="61" t="n"/>
      <c r="Q39" s="61" t="n"/>
      <c r="R39" s="62" t="n"/>
      <c r="S39" s="61" t="n"/>
      <c r="T39" s="59" t="inlineStr">
        <is>
          <t>76980920-1</t>
        </is>
      </c>
      <c r="U39" s="59" t="n"/>
    </row>
    <row r="40" ht="15.75" customHeight="1" s="38">
      <c r="A40" s="59" t="inlineStr">
        <is>
          <t>Budge Chile SpA</t>
        </is>
      </c>
      <c r="B40" s="59" t="inlineStr">
        <is>
          <t>Transmisiones Mecánicas</t>
        </is>
      </c>
      <c r="C40" s="59" t="inlineStr">
        <is>
          <t>Iquique</t>
        </is>
      </c>
      <c r="D40" s="59" t="inlineStr">
        <is>
          <t>Modernización Grid &amp; Software Energía</t>
        </is>
      </c>
      <c r="E40" s="59" t="n"/>
      <c r="F40" s="59" t="inlineStr">
        <is>
          <t>https://www.ge.com/news/reports/ge-chile-100-years</t>
        </is>
      </c>
      <c r="G40" s="59" t="inlineStr">
        <is>
          <t>Rodrigo Elizondo (CEO Chile)</t>
        </is>
      </c>
      <c r="H40" s="59" t="n"/>
      <c r="I40" s="63" t="inlineStr">
        <is>
          <t>https://cl.linkedin.com/in/relizondoj</t>
        </is>
      </c>
      <c r="J40" s="63" t="n"/>
      <c r="K40" s="59" t="n"/>
      <c r="L40" s="59" t="inlineStr">
        <is>
          <t>Ventas: GRANDE 1 (100.000 - 200.000 UF) | Empleados: 3</t>
        </is>
      </c>
      <c r="M40" s="61" t="n"/>
      <c r="N40" s="61" t="n"/>
      <c r="O40" s="61" t="n"/>
      <c r="P40" s="61" t="n"/>
      <c r="Q40" s="61" t="n"/>
      <c r="R40" s="62" t="n"/>
      <c r="S40" s="61" t="n"/>
      <c r="T40" s="59" t="inlineStr">
        <is>
          <t>76.869.432-K</t>
        </is>
      </c>
      <c r="U40" s="59" t="inlineStr">
        <is>
          <t>(56) 2 2885 4224</t>
        </is>
      </c>
    </row>
    <row r="41" ht="15.75" customHeight="1" s="38">
      <c r="A41" s="59" t="inlineStr">
        <is>
          <t>CEIM - Centro de Entrenamiento Industrial y Minero</t>
        </is>
      </c>
      <c r="B41" s="59" t="inlineStr">
        <is>
          <t>Proveedor Destacado, Capacitación, Capacitación de Personal, Capacitación de Soldadores, Capacitación en Especialidades Mineras, Capacitación en Mantenimiento de Equipos Pesados, Capacitación en Operación de Equipos Mineros, Capacitación en Operación de Grúas, Capacitación en Operación de Plantas Mineras, Capacitación en Seguridad y Psicolaboral, Educación para la Minería</t>
        </is>
      </c>
      <c r="C41" s="59" t="inlineStr">
        <is>
          <t>Antofagasta</t>
        </is>
      </c>
      <c r="D41" s="59" t="inlineStr">
        <is>
          <t>Digitalización Capacitación Minera</t>
        </is>
      </c>
      <c r="E41" s="59" t="n"/>
      <c r="F41" s="59" t="inlineStr">
        <is>
          <t>https://www.ceim.cl/</t>
        </is>
      </c>
      <c r="G41" s="59" t="inlineStr">
        <is>
          <t>Milton Flores (Gerente Desarrollo Competencias)</t>
        </is>
      </c>
      <c r="H41" s="59" t="n"/>
      <c r="I41" s="63" t="inlineStr">
        <is>
          <t>https://cl.linkedin.com/in/milton-flores-pardo</t>
        </is>
      </c>
      <c r="J41" s="63" t="inlineStr">
        <is>
          <t>https://cl.linkedin.com/company/ceim</t>
        </is>
      </c>
      <c r="K41" s="59" t="inlineStr">
        <is>
          <t>http://www.ceim.cl</t>
        </is>
      </c>
      <c r="L41" s="59" t="inlineStr">
        <is>
          <t>Ventas: GRANDE 3 (600.000 - 1.000.000 UF) | Empleados: 184</t>
        </is>
      </c>
      <c r="M41" s="61" t="n"/>
      <c r="N41" s="61" t="n"/>
      <c r="O41" s="61" t="n"/>
      <c r="P41" s="61" t="n"/>
      <c r="Q41" s="61" t="n"/>
      <c r="R41" s="62" t="n"/>
      <c r="S41" s="61" t="n"/>
      <c r="T41" s="59" t="inlineStr">
        <is>
          <t>74.191.400-K</t>
        </is>
      </c>
      <c r="U41" s="59" t="inlineStr">
        <is>
          <t>(56) 55 245 6001</t>
        </is>
      </c>
    </row>
    <row r="42" ht="15.75" customHeight="1" s="38">
      <c r="A42" s="59" t="inlineStr">
        <is>
          <t>CEIM Ltda. - Certificaciones y Servicios</t>
        </is>
      </c>
      <c r="B42" s="59" t="inlineStr">
        <is>
          <t>Proveedor Destacado, Asesorías en Mecánica, Asesorías en Minería, Asesorías en Procesos Mineros, Asesorías en Proyectos Industriales, Asesorías en Seguridad, Certificación de Competencias Laborales, Certificación de Equipos Mineros, Certificación de Grúas, Certificación de Operadores de Maquinarias y Equipos</t>
        </is>
      </c>
      <c r="C42" s="59" t="inlineStr">
        <is>
          <t>Antofagasta</t>
        </is>
      </c>
      <c r="D42" s="59" t="inlineStr">
        <is>
          <t>Digitalización Capacitación Minera</t>
        </is>
      </c>
      <c r="E42" s="59" t="n"/>
      <c r="F42" s="59" t="inlineStr">
        <is>
          <t>https://www.ceim.cl/</t>
        </is>
      </c>
      <c r="G42" s="59" t="inlineStr">
        <is>
          <t>Milton Flores (Gerente Desarrollo Competencias)</t>
        </is>
      </c>
      <c r="H42" s="59" t="n"/>
      <c r="I42" s="63" t="inlineStr">
        <is>
          <t>https://cl.linkedin.com/in/milton-flores-pardo</t>
        </is>
      </c>
      <c r="J42" s="63" t="inlineStr">
        <is>
          <t>https://cl.linkedin.com/company/ceim</t>
        </is>
      </c>
      <c r="K42" s="59" t="inlineStr">
        <is>
          <t>http://www.ceim.cl</t>
        </is>
      </c>
      <c r="L42" s="59" t="inlineStr">
        <is>
          <t>Ventas: GRANDE 3 (600.000 - 1.000.000 UF) | Empleados: 102</t>
        </is>
      </c>
      <c r="M42" s="61" t="n"/>
      <c r="N42" s="61" t="n"/>
      <c r="O42" s="61" t="n"/>
      <c r="P42" s="61" t="n"/>
      <c r="Q42" s="61" t="n"/>
      <c r="R42" s="62" t="n"/>
      <c r="S42" s="61" t="n"/>
      <c r="T42" s="59" t="inlineStr">
        <is>
          <t>76.613.900-0</t>
        </is>
      </c>
      <c r="U42" s="59" t="inlineStr">
        <is>
          <t>(56) 55 245 6000</t>
        </is>
      </c>
    </row>
    <row r="43" ht="15.75" customHeight="1" s="38">
      <c r="A43" s="59" t="inlineStr">
        <is>
          <t>CGE C</t>
        </is>
      </c>
      <c r="B43" s="59" t="inlineStr">
        <is>
          <t>Alumbrado Público y Privado (aéreo y subterráneo), Corrientes Débiles, Empalmes, Redes Aéreas y Subterráneas, Sistemas para Aumento de Potencia, Venta, Arriendo e Instalación de Equipos Eléctricos</t>
        </is>
      </c>
      <c r="C43" s="59" t="inlineStr">
        <is>
          <t>Santiago</t>
        </is>
      </c>
      <c r="D43" s="59" t="inlineStr">
        <is>
          <t>Digitalización Redes</t>
        </is>
      </c>
      <c r="E43" s="59" t="inlineStr">
        <is>
          <t>LinkedIn CDO</t>
        </is>
      </c>
      <c r="F43" s="59" t="inlineStr">
        <is>
          <t>https://cl.linkedin.com/in/cristian-ormazabal</t>
        </is>
      </c>
      <c r="G43" s="59" t="inlineStr">
        <is>
          <t>Cristian Ormazábal (Chief Digital Officer (CDO))</t>
        </is>
      </c>
      <c r="H43" s="59" t="inlineStr">
        <is>
          <t>cormazabal@cge.cl</t>
        </is>
      </c>
      <c r="I43" s="63" t="inlineStr">
        <is>
          <t>https://cl.linkedin.com/in/cristian-ormaz%C3%A1bal</t>
        </is>
      </c>
      <c r="J43" s="63" t="inlineStr">
        <is>
          <t>https://www.linkedin.com/company/cge-chile</t>
        </is>
      </c>
      <c r="K43" s="59" t="n"/>
      <c r="L43" s="59" t="inlineStr">
        <is>
          <t>Ventas: GRANDE 4 (Mas de 1.000.000 UF) | Empleados: 52</t>
        </is>
      </c>
      <c r="M43" s="61" t="n"/>
      <c r="N43" s="61" t="n"/>
      <c r="O43" s="61" t="n"/>
      <c r="P43" s="61" t="n"/>
      <c r="Q43" s="61" t="n"/>
      <c r="R43" s="62" t="n"/>
      <c r="S43" s="61" t="n"/>
      <c r="T43" s="59" t="inlineStr">
        <is>
          <t>77.316.204-2</t>
        </is>
      </c>
      <c r="U43" s="59" t="inlineStr">
        <is>
          <t>(56) 2 2280 7400</t>
        </is>
      </c>
    </row>
    <row r="44" ht="15.75" customHeight="1" s="38">
      <c r="A44" s="59" t="inlineStr">
        <is>
          <t>Canon Chile S.A.</t>
        </is>
      </c>
      <c r="B44" s="59" t="inlineStr">
        <is>
          <t>Equipos para Oficina</t>
        </is>
      </c>
      <c r="C44" s="59" t="inlineStr">
        <is>
          <t>Santiago</t>
        </is>
      </c>
      <c r="D44" s="59" t="inlineStr">
        <is>
          <t>Gestión Documental Cloud</t>
        </is>
      </c>
      <c r="E44" s="59" t="inlineStr">
        <is>
          <t>Estrategia Regional 2025</t>
        </is>
      </c>
      <c r="F44" s="59" t="inlineStr">
        <is>
          <t>https://www.canon.cl/blog/fortaleciendo-alianzas-y-estrategias-de-negocios-canon-reunio-sus-canales-regionales-en-su</t>
        </is>
      </c>
      <c r="G44" s="59" t="inlineStr">
        <is>
          <t>Aaron Fuentes Calderón (Gerente de TI)</t>
        </is>
      </c>
      <c r="H44" s="59" t="inlineStr">
        <is>
          <t>afuentes@canon.cl</t>
        </is>
      </c>
      <c r="I44" s="63" t="inlineStr">
        <is>
          <t>https://cl.linkedin.com/in/aaron-fuentes-calder%C3%B3n-5a239a58</t>
        </is>
      </c>
      <c r="J44" s="63" t="inlineStr">
        <is>
          <t>https://www.linkedin.com/company/canon-chile-s-a-</t>
        </is>
      </c>
      <c r="K44" s="59" t="n"/>
      <c r="L44" s="59" t="inlineStr">
        <is>
          <t>Ventas: GRANDE 4 (Mas de 1.000.000 UF) | Empleados: 138</t>
        </is>
      </c>
      <c r="M44" s="61" t="n"/>
      <c r="N44" s="61" t="n"/>
      <c r="O44" s="61" t="n"/>
      <c r="P44" s="61" t="n"/>
      <c r="Q44" s="61" t="n"/>
      <c r="R44" s="62" t="n"/>
      <c r="S44" s="61" t="n"/>
      <c r="T44" s="59" t="inlineStr">
        <is>
          <t>96.716.060-1</t>
        </is>
      </c>
      <c r="U44" s="59" t="inlineStr">
        <is>
          <t>(56) 2 2477 6200</t>
        </is>
      </c>
    </row>
    <row r="45" ht="15.75" customHeight="1" s="38">
      <c r="A45" s="59" t="inlineStr">
        <is>
          <t>Caxtor</t>
        </is>
      </c>
      <c r="B45" s="59" t="inlineStr">
        <is>
          <t>Energía Solar</t>
        </is>
      </c>
      <c r="C45" s="59" t="inlineStr">
        <is>
          <t>Santiago</t>
        </is>
      </c>
      <c r="D45" s="59" t="inlineStr">
        <is>
          <t>Modernización Infraestructura Telecom &amp; Marítima</t>
        </is>
      </c>
      <c r="E45" s="59" t="n"/>
      <c r="F45" s="59" t="inlineStr">
        <is>
          <t>https://cl.linkedin.com/company/grupo-caxtor</t>
        </is>
      </c>
      <c r="G45" s="59" t="inlineStr">
        <is>
          <t>Brian Smith Hanne (Gte Comercial)</t>
        </is>
      </c>
      <c r="H45" s="59" t="n"/>
      <c r="I45" s="63" t="inlineStr">
        <is>
          <t>https://cl.linkedin.com/in/brian-smith-hanne-901a5a3b</t>
        </is>
      </c>
      <c r="J45" s="63" t="inlineStr">
        <is>
          <t>https://www.linkedin.com/company/caxtor</t>
        </is>
      </c>
      <c r="K45" s="59" t="n"/>
      <c r="L45" s="59" t="inlineStr">
        <is>
          <t>Ventas: GRANDE 2 (200.000 - 600.000 UF) | Empleados: 36</t>
        </is>
      </c>
      <c r="M45" s="61" t="n"/>
      <c r="N45" s="61" t="n"/>
      <c r="O45" s="61" t="n"/>
      <c r="P45" s="61" t="n"/>
      <c r="Q45" s="61" t="n"/>
      <c r="R45" s="62" t="n"/>
      <c r="S45" s="61" t="n"/>
      <c r="T45" s="59" t="inlineStr">
        <is>
          <t>76.152.409-7</t>
        </is>
      </c>
      <c r="U45" s="59" t="inlineStr">
        <is>
          <t>(56) 2 2791 9662</t>
        </is>
      </c>
    </row>
    <row r="46" ht="15.75" customHeight="1" s="38">
      <c r="A46" s="59" t="inlineStr">
        <is>
          <t>Centro Médico del Trabajador (CMT)</t>
        </is>
      </c>
      <c r="B46" s="59" t="inlineStr">
        <is>
          <t>Proveedor Destacado, Centro Médico de Salud Ocupacional, Centros Médicos, Reclutamiento y Selección</t>
        </is>
      </c>
      <c r="C46" s="59" t="inlineStr">
        <is>
          <t>Santiago</t>
        </is>
      </c>
      <c r="D46" s="59" t="inlineStr">
        <is>
          <t>Transformación Digital Salud Ocupacional</t>
        </is>
      </c>
      <c r="E46" s="59" t="n"/>
      <c r="F46" s="59" t="inlineStr">
        <is>
          <t>https://cl.linkedin.com/in/ignacio-henderson-gonzalez-08108754</t>
        </is>
      </c>
      <c r="G46" s="59" t="inlineStr">
        <is>
          <t>Ignacio Henderson Gonzalez (Director Innovación)</t>
        </is>
      </c>
      <c r="H46" s="59" t="n"/>
      <c r="I46" s="63" t="inlineStr">
        <is>
          <t>https://cl.linkedin.com/in/ignacio-henderson-gonzalez-08108754</t>
        </is>
      </c>
      <c r="J46" s="63" t="inlineStr">
        <is>
          <t>https://cl.linkedin.com/company/centro-medico-del-trabajador-cmt-</t>
        </is>
      </c>
      <c r="K46" s="59" t="inlineStr">
        <is>
          <t>http://www.cmtsalud.cl</t>
        </is>
      </c>
      <c r="L46" s="59" t="inlineStr">
        <is>
          <t>Ventas: GRANDE 3 (600.000 - 1.000.000 UF) | Empleados: 388</t>
        </is>
      </c>
      <c r="M46" s="61" t="n"/>
      <c r="N46" s="61" t="n"/>
      <c r="O46" s="61" t="n"/>
      <c r="P46" s="61" t="n"/>
      <c r="Q46" s="61" t="n"/>
      <c r="R46" s="62" t="n"/>
      <c r="S46" s="61" t="n"/>
      <c r="T46" s="59" t="inlineStr">
        <is>
          <t>76.247.147-7</t>
        </is>
      </c>
      <c r="U46" s="59" t="inlineStr">
        <is>
          <t>(56) 2 2634 2492</t>
        </is>
      </c>
    </row>
    <row r="47" ht="15.75" customHeight="1" s="38">
      <c r="A47" s="66" t="inlineStr">
        <is>
          <t>Codelco Chile División Minera Gabriela Mistral</t>
        </is>
      </c>
      <c r="B47" s="66" t="inlineStr">
        <is>
          <t>Cobre</t>
        </is>
      </c>
      <c r="C47" s="66" t="inlineStr">
        <is>
          <t>Calama</t>
        </is>
      </c>
      <c r="D47" s="66" t="inlineStr">
        <is>
          <t>Digitalización Faenas</t>
        </is>
      </c>
      <c r="E47" s="66" t="inlineStr">
        <is>
          <t>Reporte Integrado 2024</t>
        </is>
      </c>
      <c r="F47" s="66" t="inlineStr">
        <is>
          <t>https://www.codelco.com/sustentabilidad/reporte-integrado</t>
        </is>
      </c>
      <c r="G47" s="66" t="inlineStr">
        <is>
          <t>José Ramón Abatte (Gerente Corp Tecnología)</t>
        </is>
      </c>
      <c r="H47" s="66" t="inlineStr">
        <is>
          <t>jabatte@codelco.cl</t>
        </is>
      </c>
      <c r="I47" s="63" t="inlineStr">
        <is>
          <t>https://cl.linkedin.com/in/jose-ramon-abatte-14853839</t>
        </is>
      </c>
      <c r="J47" s="63" t="inlineStr">
        <is>
          <t>https://www.linkedin.com/company/codelco</t>
        </is>
      </c>
      <c r="K47" s="66" t="n"/>
      <c r="L47" s="66" t="inlineStr">
        <is>
          <t>Ventas: No en base SII | Empleados: S/I</t>
        </is>
      </c>
      <c r="M47" s="61" t="n"/>
      <c r="N47" s="61" t="n"/>
      <c r="O47" s="61" t="n"/>
      <c r="P47" s="61" t="n"/>
      <c r="Q47" s="61" t="n"/>
      <c r="R47" s="62" t="n"/>
      <c r="S47" s="61" t="n"/>
      <c r="T47" s="66" t="inlineStr">
        <is>
          <t>76.685.790-6</t>
        </is>
      </c>
      <c r="U47" s="66" t="inlineStr">
        <is>
          <t>(56) 55 232 8277</t>
        </is>
      </c>
    </row>
    <row r="48" ht="15.75" customHeight="1" s="38">
      <c r="A48" s="59" t="inlineStr">
        <is>
          <t>Codelco Chile División Salvador</t>
        </is>
      </c>
      <c r="B48" s="59" t="inlineStr">
        <is>
          <t>Barro Anódico, Cátodos de Cobre, Cobre, Concentrado de Cobre, Plata</t>
        </is>
      </c>
      <c r="C48" s="59" t="inlineStr">
        <is>
          <t>El Salvador</t>
        </is>
      </c>
      <c r="D48" s="59" t="inlineStr">
        <is>
          <t>Digitalización Faenas</t>
        </is>
      </c>
      <c r="E48" s="59" t="inlineStr">
        <is>
          <t>Reporte Integrado 2024</t>
        </is>
      </c>
      <c r="F48" s="59" t="inlineStr">
        <is>
          <t>https://www.codelco.com/sustentabilidad/reporte-integrado</t>
        </is>
      </c>
      <c r="G48" s="59" t="inlineStr">
        <is>
          <t>José Ramón Abatte (Gerente Corp Tecnología)</t>
        </is>
      </c>
      <c r="H48" s="59" t="inlineStr">
        <is>
          <t>jabatte@codelco.cl</t>
        </is>
      </c>
      <c r="I48" s="63" t="inlineStr">
        <is>
          <t>https://cl.linkedin.com/in/jose-ramon-abatte-14853839</t>
        </is>
      </c>
      <c r="J48" s="63" t="inlineStr">
        <is>
          <t>https://www.linkedin.com/company/codelco</t>
        </is>
      </c>
      <c r="K48" s="59" t="n"/>
      <c r="L48" s="59" t="inlineStr">
        <is>
          <t>Ventas: GRANDE (Estimado por Empleados) | Empleados: 16946</t>
        </is>
      </c>
      <c r="M48" s="61" t="n"/>
      <c r="N48" s="61" t="n"/>
      <c r="O48" s="61" t="n"/>
      <c r="P48" s="61" t="n"/>
      <c r="Q48" s="61" t="n"/>
      <c r="R48" s="62" t="n"/>
      <c r="S48" s="61" t="n"/>
      <c r="T48" s="59" t="inlineStr">
        <is>
          <t>61.704.000-K</t>
        </is>
      </c>
      <c r="U48" s="59" t="inlineStr">
        <is>
          <t>(56) 52 247 2514</t>
        </is>
      </c>
    </row>
    <row r="49" ht="15.75" customHeight="1" s="38">
      <c r="A49" s="66" t="inlineStr">
        <is>
          <t>CodelcoTech</t>
        </is>
      </c>
      <c r="B49" s="66" t="inlineStr">
        <is>
          <t>Asesorías en Ingeniería, Asesorías en Procesos Mineros</t>
        </is>
      </c>
      <c r="C49" s="66" t="inlineStr">
        <is>
          <t>Santiago</t>
        </is>
      </c>
      <c r="D49" s="66" t="inlineStr">
        <is>
          <t>Digitalización Faenas</t>
        </is>
      </c>
      <c r="E49" s="66" t="inlineStr">
        <is>
          <t>Reporte Integrado 2024</t>
        </is>
      </c>
      <c r="F49" s="66" t="inlineStr">
        <is>
          <t>https://www.codelco.com/sustentabilidad/reporte-integrado</t>
        </is>
      </c>
      <c r="G49" s="66" t="inlineStr">
        <is>
          <t>José Ramón Abatte (Gerente Corp Tecnología)</t>
        </is>
      </c>
      <c r="H49" s="66" t="inlineStr">
        <is>
          <t>jabatte@codelco.cl</t>
        </is>
      </c>
      <c r="I49" s="63" t="inlineStr">
        <is>
          <t>https://cl.linkedin.com/in/jose-ramon-abatte-14853839</t>
        </is>
      </c>
      <c r="J49" s="63" t="inlineStr">
        <is>
          <t>https://www.linkedin.com/company/codelco</t>
        </is>
      </c>
      <c r="K49" s="66" t="n"/>
      <c r="L49" s="66" t="inlineStr">
        <is>
          <t>Ventas: MICRO 1 (0.01 - 200 UF) | Empleados: 0</t>
        </is>
      </c>
      <c r="M49" s="61" t="n"/>
      <c r="N49" s="61" t="n"/>
      <c r="O49" s="61" t="n"/>
      <c r="P49" s="61" t="n"/>
      <c r="Q49" s="61" t="n"/>
      <c r="R49" s="62" t="n"/>
      <c r="S49" s="61" t="n"/>
      <c r="T49" s="66" t="inlineStr">
        <is>
          <t>96.991.180-9</t>
        </is>
      </c>
      <c r="U49" s="66" t="inlineStr">
        <is>
          <t>(56) 2 2690 3888</t>
        </is>
      </c>
    </row>
    <row r="50" ht="15.75" customHeight="1" s="38">
      <c r="A50" s="59" t="inlineStr">
        <is>
          <t>Comaco Servicios Logísticos SpA</t>
        </is>
      </c>
      <c r="B50" s="59" t="inlineStr">
        <is>
          <t>Arriendo de Grúas, Arriendo de Grúas Horquilla</t>
        </is>
      </c>
      <c r="C50" s="59" t="inlineStr">
        <is>
          <t>Santiago</t>
        </is>
      </c>
      <c r="D50" s="59" t="inlineStr">
        <is>
          <t>Continuidad Operativa Plantas</t>
        </is>
      </c>
      <c r="E50" s="59" t="inlineStr">
        <is>
          <t>LinkedIn</t>
        </is>
      </c>
      <c r="F50" s="59" t="inlineStr">
        <is>
          <t>https://cl.linkedin.com/in/ariel-viveros-s%C3%A1ez-a2883650</t>
        </is>
      </c>
      <c r="G50" s="59" t="inlineStr">
        <is>
          <t>Ariel Viveros Sáez (Jefe Proyectos TI)</t>
        </is>
      </c>
      <c r="H50" s="59" t="n"/>
      <c r="I50" s="63" t="inlineStr">
        <is>
          <t>https://cl.linkedin.com/in/ariel-viveros-s%C3%A1ez-a2883650</t>
        </is>
      </c>
      <c r="J50" s="63" t="inlineStr">
        <is>
          <t>https://cl.linkedin.com/company/comaco-servicios-log-sticos</t>
        </is>
      </c>
      <c r="K50" s="59" t="n"/>
      <c r="L50" s="59" t="inlineStr">
        <is>
          <t>Ventas: GRANDE 2 (200.000 - 600.000 UF) | Empleados: 61</t>
        </is>
      </c>
      <c r="M50" s="61" t="n"/>
      <c r="N50" s="61" t="n"/>
      <c r="O50" s="61" t="n"/>
      <c r="P50" s="61" t="n"/>
      <c r="Q50" s="61" t="n"/>
      <c r="R50" s="62" t="n"/>
      <c r="S50" s="61" t="n"/>
      <c r="T50" s="59" t="inlineStr">
        <is>
          <t>99.587.850-K</t>
        </is>
      </c>
      <c r="U50" s="59" t="inlineStr">
        <is>
          <t>(56) 2 2222 3192</t>
        </is>
      </c>
    </row>
    <row r="51" ht="15.75" customHeight="1" s="38">
      <c r="A51" s="59" t="inlineStr">
        <is>
          <t>Comgrap Ltda. / 3D - BIM</t>
        </is>
      </c>
      <c r="B51" s="59" t="inlineStr">
        <is>
          <t>Software para Control de Proyectos, Software para la Minería, Software para Mantenimiento de Plantas Mineras</t>
        </is>
      </c>
      <c r="C51" s="59" t="inlineStr">
        <is>
          <t>Santiago</t>
        </is>
      </c>
      <c r="D51" s="59" t="inlineStr">
        <is>
          <t>DigitalHub LMS &amp; Estándares BIM ISO 19650</t>
        </is>
      </c>
      <c r="E51" s="59" t="inlineStr">
        <is>
          <t>Comgrap.cl</t>
        </is>
      </c>
      <c r="F51" s="59" t="n"/>
      <c r="G51" s="59" t="inlineStr">
        <is>
          <t>Ricardo Rizzi Limone (Gerente General)</t>
        </is>
      </c>
      <c r="H51" s="59" t="inlineStr">
        <is>
          <t>rrizzi@comgrap.cl</t>
        </is>
      </c>
      <c r="I51" s="63" t="inlineStr">
        <is>
          <t>https://cl.linkedin.com/in/ricardo-rizzi-limone-8b456b31</t>
        </is>
      </c>
      <c r="J51" s="63" t="inlineStr">
        <is>
          <t>https://www.linkedin.com/company/comgrap</t>
        </is>
      </c>
      <c r="K51" s="59" t="n"/>
      <c r="L51" s="59" t="inlineStr">
        <is>
          <t>Ventas: GRANDE 3 (600.000 - 1.000.000 UF) | Empleados: 37</t>
        </is>
      </c>
      <c r="M51" s="61" t="n"/>
      <c r="N51" s="61" t="n"/>
      <c r="O51" s="61" t="n"/>
      <c r="P51" s="61" t="n"/>
      <c r="Q51" s="61" t="n"/>
      <c r="R51" s="62" t="n"/>
      <c r="S51" s="61" t="n"/>
      <c r="T51" s="59" t="inlineStr">
        <is>
          <t>79.770.640-K</t>
        </is>
      </c>
      <c r="U51" s="59" t="inlineStr">
        <is>
          <t>(56) 2 2592 9000</t>
        </is>
      </c>
    </row>
    <row r="52" ht="15.75" customHeight="1" s="38">
      <c r="A52" s="59" t="inlineStr">
        <is>
          <t>Constructora Inarco S.A.</t>
        </is>
      </c>
      <c r="B52" s="59" t="inlineStr">
        <is>
          <t>Construcción de Obras Civiles, Construcción Industrial</t>
        </is>
      </c>
      <c r="C52" s="59" t="inlineStr">
        <is>
          <t>Santiago</t>
        </is>
      </c>
      <c r="D52" s="59" t="inlineStr">
        <is>
          <t>Digitalización BIM &amp; Workflows CMS</t>
        </is>
      </c>
      <c r="E52" s="59" t="n"/>
      <c r="F52" s="59" t="inlineStr">
        <is>
          <t>https://cl.linkedin.com/in/hugo-mu%C3%B1oz-b587061a</t>
        </is>
      </c>
      <c r="G52" s="59" t="inlineStr">
        <is>
          <t>Hugo Muñoz (SubGerente TI)</t>
        </is>
      </c>
      <c r="H52" s="59" t="n"/>
      <c r="I52" s="63" t="inlineStr">
        <is>
          <t>https://cl.linkedin.com/in/mu%C3%B1oz-hugo-02ab903b</t>
        </is>
      </c>
      <c r="J52" s="63" t="inlineStr">
        <is>
          <t>https://cl.linkedin.com/company/inarco-constructora</t>
        </is>
      </c>
      <c r="K52" s="59" t="n"/>
      <c r="L52" s="59" t="inlineStr">
        <is>
          <t>Ventas: GRANDE (Estimado por Empleados) | Empleados: 1654</t>
        </is>
      </c>
      <c r="M52" s="61" t="n"/>
      <c r="N52" s="61" t="n"/>
      <c r="O52" s="61" t="n"/>
      <c r="P52" s="61" t="n"/>
      <c r="Q52" s="61" t="n"/>
      <c r="R52" s="62" t="n"/>
      <c r="S52" s="61" t="n"/>
      <c r="T52" s="59" t="inlineStr">
        <is>
          <t>96.513.310-0</t>
        </is>
      </c>
      <c r="U52" s="59" t="inlineStr">
        <is>
          <t>(56) 2 2240 8400</t>
        </is>
      </c>
    </row>
    <row r="53" ht="15.75" customHeight="1" s="38">
      <c r="A53" s="59" t="inlineStr">
        <is>
          <t>Datamine</t>
        </is>
      </c>
      <c r="B53" s="59" t="inlineStr">
        <is>
          <t>Consultoría en Minería, Software</t>
        </is>
      </c>
      <c r="C53" s="59" t="inlineStr">
        <is>
          <t>Santiago</t>
        </is>
      </c>
      <c r="D53" s="59" t="inlineStr">
        <is>
          <t>Transf. Digital &amp; Software Eficiencia Minera</t>
        </is>
      </c>
      <c r="E53" s="59" t="n"/>
      <c r="F53" s="59" t="inlineStr">
        <is>
          <t>https://cl.linkedin.com/in/elio-cespedes-b-61763331</t>
        </is>
      </c>
      <c r="G53" s="59" t="inlineStr">
        <is>
          <t>Elio Cespedes B (Gerente General Hispanoamerica)</t>
        </is>
      </c>
      <c r="H53" s="59" t="n"/>
      <c r="I53" s="63" t="inlineStr">
        <is>
          <t>https://cl.linkedin.com/in/elio-cespedes-b-61763331</t>
        </is>
      </c>
      <c r="J53" s="63" t="inlineStr">
        <is>
          <t>https://cl.linkedin.com/company/datamine</t>
        </is>
      </c>
      <c r="K53" s="59" t="n"/>
      <c r="L53" s="59" t="inlineStr">
        <is>
          <t>Ventas: GRANDE 2 (200.000 - 600.000 UF) | Empleados: 72</t>
        </is>
      </c>
      <c r="M53" s="61" t="n"/>
      <c r="N53" s="61" t="n"/>
      <c r="O53" s="61" t="n"/>
      <c r="P53" s="61" t="n"/>
      <c r="Q53" s="61" t="n"/>
      <c r="R53" s="62" t="n"/>
      <c r="S53" s="61" t="n"/>
      <c r="T53" s="59" t="inlineStr">
        <is>
          <t>96.783.640-0</t>
        </is>
      </c>
      <c r="U53" s="59" t="inlineStr">
        <is>
          <t>(56) 2 2963 9920</t>
        </is>
      </c>
    </row>
    <row r="54" ht="15.75" customHeight="1" s="38">
      <c r="A54" s="59" t="inlineStr">
        <is>
          <t>Dyno Nobel Explosivos Chile</t>
        </is>
      </c>
      <c r="B54" s="59" t="inlineStr">
        <is>
          <t>Proveedor Destacado, Administración de Polvorines, Asistencia Técnica de Tronadura, Asistencia Técnica Geomecánica, Servicios de Tronadura</t>
        </is>
      </c>
      <c r="C54" s="59" t="inlineStr">
        <is>
          <t>Santiago</t>
        </is>
      </c>
      <c r="D54" s="59" t="inlineStr">
        <is>
          <t>Cibersegurida Industrial</t>
        </is>
      </c>
      <c r="E54" s="59" t="inlineStr">
        <is>
          <t>LinkedIn CIO</t>
        </is>
      </c>
      <c r="F54" s="59" t="n"/>
      <c r="G54" s="59" t="inlineStr">
        <is>
          <t>Julio Solari (CIO &amp; CISO)</t>
        </is>
      </c>
      <c r="H54" s="59" t="inlineStr">
        <is>
          <t>julio.solari@am.dynonobel.com</t>
        </is>
      </c>
      <c r="I54" s="63" t="inlineStr">
        <is>
          <t>https://cl.linkedin.com/in/julio-solari-40571b13</t>
        </is>
      </c>
      <c r="J54" s="63" t="inlineStr">
        <is>
          <t>https://cl.linkedin.com/company/dynonobel</t>
        </is>
      </c>
      <c r="K54" s="59" t="inlineStr">
        <is>
          <t>http://www.dynonobel.lat</t>
        </is>
      </c>
      <c r="L54" s="59" t="inlineStr">
        <is>
          <t>Ventas: GRANDE 4 (Mas de 1.000.000 UF) | Empleados: 158</t>
        </is>
      </c>
      <c r="M54" s="61" t="n"/>
      <c r="N54" s="61" t="n"/>
      <c r="O54" s="61" t="n"/>
      <c r="P54" s="61" t="n"/>
      <c r="Q54" s="61" t="n"/>
      <c r="R54" s="62" t="n"/>
      <c r="S54" s="61" t="n"/>
      <c r="T54" s="59" t="inlineStr">
        <is>
          <t>76.040.923-5</t>
        </is>
      </c>
      <c r="U54" s="59" t="inlineStr">
        <is>
          <t>(56) 9 3924 1455</t>
        </is>
      </c>
    </row>
    <row r="55" ht="15.75" customHeight="1" s="38">
      <c r="A55" s="59" t="inlineStr">
        <is>
          <t>ELB - Transportes Libertador</t>
        </is>
      </c>
      <c r="B55" s="59" t="inlineStr">
        <is>
          <t>Proveedor Destacado, Transporte de Carga por Carretera, Transporte de Carga Sobredimensionada, Transporte de Cargas Especiales, Transporte de Maquinaria, Transporte de NFU, Transporte en Faena (Home Delivery), Transporte para la Minería</t>
        </is>
      </c>
      <c r="C55" s="59" t="inlineStr">
        <is>
          <t>Santiago</t>
        </is>
      </c>
      <c r="D55" s="59" t="inlineStr">
        <is>
          <t>Investigación en Proceso</t>
        </is>
      </c>
      <c r="E55" s="59" t="n"/>
      <c r="F55" s="59" t="n"/>
      <c r="G55" s="59" t="inlineStr">
        <is>
          <t>Miguel Angel Vergara (Jefe de Sistemas)</t>
        </is>
      </c>
      <c r="H55" s="59" t="inlineStr">
        <is>
          <t>mvergara@elb.cl</t>
        </is>
      </c>
      <c r="I55" s="63" t="inlineStr">
        <is>
          <t>https://cl.linkedin.com/in/miguel-angel-alvarez-vergara-81b750b6</t>
        </is>
      </c>
      <c r="J55" s="63" t="inlineStr">
        <is>
          <t>https://cl.linkedin.com/company/transportes-nacionales-libertador-filial-sitrans-grupo-ultramar</t>
        </is>
      </c>
      <c r="K55" s="59" t="inlineStr">
        <is>
          <t>http://www.elb.cl</t>
        </is>
      </c>
      <c r="L55" s="59" t="inlineStr">
        <is>
          <t>Ventas: GRANDE 3 (600.000 - 1.000.000 UF) | Empleados: 212</t>
        </is>
      </c>
      <c r="M55" s="61" t="n"/>
      <c r="N55" s="61" t="n"/>
      <c r="O55" s="61" t="n"/>
      <c r="P55" s="61" t="n"/>
      <c r="Q55" s="61" t="n"/>
      <c r="R55" s="62" t="n"/>
      <c r="S55" s="61" t="n"/>
      <c r="T55" s="59" t="inlineStr">
        <is>
          <t>79.554.850-5</t>
        </is>
      </c>
      <c r="U55" s="59" t="inlineStr">
        <is>
          <t>(56) 9 9344 0371</t>
        </is>
      </c>
    </row>
    <row r="56" ht="15.75" customHeight="1" s="38">
      <c r="A56" s="59" t="inlineStr">
        <is>
          <t>EPM Chile S.A.</t>
        </is>
      </c>
      <c r="B56" s="59" t="inlineStr">
        <is>
          <t>Proyectos para Infraestructura</t>
        </is>
      </c>
      <c r="C56" s="59" t="inlineStr">
        <is>
          <t>Santiago</t>
        </is>
      </c>
      <c r="D56" s="59" t="inlineStr">
        <is>
          <t>Investigación en Proceso</t>
        </is>
      </c>
      <c r="E56" s="59" t="n"/>
      <c r="F56" s="59" t="n"/>
      <c r="G56" s="59" t="inlineStr">
        <is>
          <t>Fernando Meza (Gerente General (Tech Decision Maker))</t>
        </is>
      </c>
      <c r="H56" s="59" t="inlineStr">
        <is>
          <t>fmeza@epmchile.cl</t>
        </is>
      </c>
      <c r="I56" s="63" t="n"/>
      <c r="J56" s="63" t="inlineStr">
        <is>
          <t>https://cl.linkedin.com/company/epm-chile-s-a-</t>
        </is>
      </c>
      <c r="K56" s="59" t="n"/>
      <c r="L56" s="59" t="inlineStr">
        <is>
          <t>Ventas: GRANDE 3 (600.000 - 1.000.000 UF) | Empleados: 3</t>
        </is>
      </c>
      <c r="M56" s="61" t="n"/>
      <c r="N56" s="61" t="n"/>
      <c r="O56" s="61" t="n"/>
      <c r="P56" s="61" t="n"/>
      <c r="Q56" s="61" t="n"/>
      <c r="R56" s="62" t="n"/>
      <c r="S56" s="61" t="n"/>
      <c r="T56" s="59" t="inlineStr">
        <is>
          <t>76.266.933-1</t>
        </is>
      </c>
      <c r="U56" s="59" t="inlineStr">
        <is>
          <t>(56) 2 2953 6631</t>
        </is>
      </c>
    </row>
    <row r="57" ht="15.75" customHeight="1" s="38">
      <c r="A57" s="59" t="inlineStr">
        <is>
          <t>Eaton Chile</t>
        </is>
      </c>
      <c r="B57" s="59" t="inlineStr">
        <is>
          <t>Salas Eléctricas, Tableros Eléctricos</t>
        </is>
      </c>
      <c r="C57" s="59" t="inlineStr">
        <is>
          <t>Santiago</t>
        </is>
      </c>
      <c r="D57" s="59" t="inlineStr">
        <is>
          <t>Fabricación Electrónica para Proyectos EPC</t>
        </is>
      </c>
      <c r="E57" s="59" t="n"/>
      <c r="F57" s="59" t="inlineStr">
        <is>
          <t>https://cl.linkedin.com/in/miguel-gonzalez-moraga-b3a91962</t>
        </is>
      </c>
      <c r="G57" s="59" t="inlineStr">
        <is>
          <t>Miguel Gonzalez Moraga (Project Manager)</t>
        </is>
      </c>
      <c r="H57" s="59" t="n"/>
      <c r="I57" s="63" t="inlineStr">
        <is>
          <t>https://cl.linkedin.com/in/miguel-gonzalez-moraga-b3a91962</t>
        </is>
      </c>
      <c r="J57" s="63" t="inlineStr">
        <is>
          <t>https://www.linkedin.com/company/eaton</t>
        </is>
      </c>
      <c r="K57" s="59" t="n"/>
      <c r="L57" s="59" t="inlineStr">
        <is>
          <t>Ventas: GRANDE (Estimado por Empleados) | Empleados: 437</t>
        </is>
      </c>
      <c r="M57" s="61" t="n"/>
      <c r="N57" s="61" t="n"/>
      <c r="O57" s="61" t="n"/>
      <c r="P57" s="61" t="n"/>
      <c r="Q57" s="61" t="n"/>
      <c r="R57" s="62" t="n"/>
      <c r="S57" s="61" t="n"/>
      <c r="T57" s="59" t="inlineStr">
        <is>
          <t>76.103.571-1</t>
        </is>
      </c>
      <c r="U57" s="59" t="inlineStr">
        <is>
          <t>(56) 2 2640 8165</t>
        </is>
      </c>
    </row>
    <row r="58" ht="15.75" customHeight="1" s="38">
      <c r="A58" s="59" t="inlineStr">
        <is>
          <t>Ecopreneur Chile S.A.</t>
        </is>
      </c>
      <c r="B58" s="59" t="inlineStr">
        <is>
          <t>Contratos Llave en Mano</t>
        </is>
      </c>
      <c r="C58" s="59" t="inlineStr">
        <is>
          <t>Santiago</t>
        </is>
      </c>
      <c r="D58" s="59" t="inlineStr">
        <is>
          <t>Investigación en Proceso</t>
        </is>
      </c>
      <c r="E58" s="59" t="n"/>
      <c r="F58" s="59" t="n"/>
      <c r="G58" s="59" t="inlineStr">
        <is>
          <t>Claudio Fredes (Jefe de Tecnologías)</t>
        </is>
      </c>
      <c r="H58" s="59" t="inlineStr">
        <is>
          <t>cfredes@ecopreneur.cl</t>
        </is>
      </c>
      <c r="I58" s="63" t="inlineStr">
        <is>
          <t>https://cl.linkedin.com/in/claudiofredes/es</t>
        </is>
      </c>
      <c r="J58" s="63" t="inlineStr">
        <is>
          <t>https://es.linkedin.com/company/ecopreneur</t>
        </is>
      </c>
      <c r="K58" s="59" t="n"/>
      <c r="L58" s="59" t="inlineStr">
        <is>
          <t>Ventas: GRANDE 3 (600.000 - 1.000.000 UF) | Empleados: 44</t>
        </is>
      </c>
      <c r="M58" s="61" t="n"/>
      <c r="N58" s="61" t="n"/>
      <c r="O58" s="61" t="n"/>
      <c r="P58" s="61" t="n"/>
      <c r="Q58" s="61" t="n"/>
      <c r="R58" s="62" t="n"/>
      <c r="S58" s="61" t="n"/>
      <c r="T58" s="59" t="inlineStr">
        <is>
          <t>96.778.160-6</t>
        </is>
      </c>
      <c r="U58" s="59" t="inlineStr">
        <is>
          <t>(56) 2 2334 6422</t>
        </is>
      </c>
    </row>
    <row r="59" ht="15.75" customHeight="1" s="38">
      <c r="A59" s="59" t="inlineStr">
        <is>
          <t>Electroram Telecomunicaciones Ltda.</t>
        </is>
      </c>
      <c r="B59" s="59" t="inlineStr">
        <is>
          <t>Radiocomunicaciones, Telecomunicaciones</t>
        </is>
      </c>
      <c r="C59" s="59" t="inlineStr">
        <is>
          <t>Antofagasta</t>
        </is>
      </c>
      <c r="D59" s="59" t="inlineStr">
        <is>
          <t>Conectividad Satelital Fleet Space Minería</t>
        </is>
      </c>
      <c r="E59" s="59" t="n"/>
      <c r="F59" s="59" t="inlineStr">
        <is>
          <t>https://cl.linkedin.com/in/martha-aguilera-alderete-850117121</t>
        </is>
      </c>
      <c r="G59" s="59" t="inlineStr">
        <is>
          <t>Martha Aguilera (Gerente Innovación)</t>
        </is>
      </c>
      <c r="H59" s="59" t="n"/>
      <c r="I59" s="63" t="inlineStr">
        <is>
          <t>https://cl.linkedin.com/in/martha-aguilera-alderete-850117121</t>
        </is>
      </c>
      <c r="J59" s="63" t="inlineStr">
        <is>
          <t>https://cl.linkedin.com/company/electroram-telecomunicaciones</t>
        </is>
      </c>
      <c r="K59" s="59" t="n"/>
      <c r="L59" s="59" t="inlineStr">
        <is>
          <t>Ventas: GRANDE 2 (200.000 - 600.000 UF) | Empleados: 102</t>
        </is>
      </c>
      <c r="M59" s="61" t="n"/>
      <c r="N59" s="61" t="n"/>
      <c r="O59" s="61" t="n"/>
      <c r="P59" s="61" t="n"/>
      <c r="Q59" s="61" t="n"/>
      <c r="R59" s="62" t="n"/>
      <c r="S59" s="61" t="n"/>
      <c r="T59" s="59" t="inlineStr">
        <is>
          <t>76025110-0</t>
        </is>
      </c>
      <c r="U59" s="59" t="inlineStr">
        <is>
          <t>(56) 55 256 1670</t>
        </is>
      </c>
    </row>
    <row r="60" ht="15.75" customHeight="1" s="38">
      <c r="A60" s="59" t="inlineStr">
        <is>
          <t>Elfle Comercial Dos Ltda.</t>
        </is>
      </c>
      <c r="B60" s="59" t="inlineStr">
        <is>
          <t>Artículos Eléctricos, Suministros para Computación</t>
        </is>
      </c>
      <c r="C60" s="59" t="inlineStr">
        <is>
          <t>Santiago</t>
        </is>
      </c>
      <c r="D60" s="59" t="inlineStr">
        <is>
          <t>Investigación en Proceso</t>
        </is>
      </c>
      <c r="E60" s="59" t="n"/>
      <c r="F60" s="59" t="n"/>
      <c r="G60" s="59" t="inlineStr">
        <is>
          <t>Gabriel Andres Pérez Gonzalez (Encargado TI)</t>
        </is>
      </c>
      <c r="H60" s="59" t="inlineStr">
        <is>
          <t>gabriel.perez@elfle.cl</t>
        </is>
      </c>
      <c r="I60" s="63" t="inlineStr">
        <is>
          <t>https://cl.linkedin.com/in/gabriel-andres-perez-gonzalez-b72648129</t>
        </is>
      </c>
      <c r="J60" s="63" t="inlineStr">
        <is>
          <t>https://cl.linkedin.com/company/elfle-materiales-el%C3%A9ctricos</t>
        </is>
      </c>
      <c r="K60" s="59" t="n"/>
      <c r="L60" s="59" t="inlineStr">
        <is>
          <t>Ventas: GRANDE 3 (600.000 - 1.000.000 UF) | Empleados: 24</t>
        </is>
      </c>
      <c r="M60" s="61" t="n"/>
      <c r="N60" s="61" t="n"/>
      <c r="O60" s="61" t="n"/>
      <c r="P60" s="61" t="n"/>
      <c r="Q60" s="61" t="n"/>
      <c r="R60" s="62" t="n"/>
      <c r="S60" s="61" t="n"/>
      <c r="T60" s="59" t="inlineStr">
        <is>
          <t>76.085.400-K</t>
        </is>
      </c>
      <c r="U60" s="59" t="inlineStr">
        <is>
          <t>(56) 2 2733 3000</t>
        </is>
      </c>
    </row>
    <row r="61" ht="15.75" customHeight="1" s="38">
      <c r="A61" s="59" t="inlineStr">
        <is>
          <t>Empresas Perrot</t>
        </is>
      </c>
      <c r="B61" s="59" t="inlineStr">
        <is>
          <t>Transporte Terrestre</t>
        </is>
      </c>
      <c r="C61" s="59" t="inlineStr">
        <is>
          <t>Santiago</t>
        </is>
      </c>
      <c r="D61" s="59" t="inlineStr">
        <is>
          <t>Investigación en Proceso</t>
        </is>
      </c>
      <c r="E61" s="59" t="n"/>
      <c r="F61" s="59" t="n"/>
      <c r="G61" s="59" t="inlineStr">
        <is>
          <t>Mario Ceron (Gerente TI &amp; Digital)</t>
        </is>
      </c>
      <c r="H61" s="59" t="inlineStr">
        <is>
          <t>mario.ceron@perrot.cl</t>
        </is>
      </c>
      <c r="I61" s="63" t="inlineStr">
        <is>
          <t>https://cl.linkedin.com/in/marioceronmorales/es</t>
        </is>
      </c>
      <c r="J61" s="63" t="inlineStr">
        <is>
          <t>https://www.linkedin.com/company/empresas-perrot</t>
        </is>
      </c>
      <c r="K61" s="59" t="n"/>
      <c r="L61" s="59" t="inlineStr">
        <is>
          <t>Ventas: GRANDE 3 (600.000 - 1.000.000 UF) | Empleados: 146</t>
        </is>
      </c>
      <c r="M61" s="61" t="n"/>
      <c r="N61" s="61" t="n"/>
      <c r="O61" s="61" t="n"/>
      <c r="P61" s="61" t="n"/>
      <c r="Q61" s="61" t="n"/>
      <c r="R61" s="62" t="n"/>
      <c r="S61" s="61" t="n"/>
      <c r="T61" s="59" t="inlineStr">
        <is>
          <t>77.532.910-6</t>
        </is>
      </c>
      <c r="U61" s="59" t="inlineStr">
        <is>
          <t>(56) 2 2876 2700</t>
        </is>
      </c>
    </row>
    <row r="62" ht="15.75" customHeight="1" s="38">
      <c r="A62" s="59" t="inlineStr">
        <is>
          <t>Enaex Servicios</t>
        </is>
      </c>
      <c r="B62" s="59" t="inlineStr">
        <is>
          <t>Servicios para Tronaduras</t>
        </is>
      </c>
      <c r="C62" s="59" t="inlineStr">
        <is>
          <t>Santiago</t>
        </is>
      </c>
      <c r="D62" s="59" t="inlineStr">
        <is>
          <t>Transf. Digital OCC &amp; Soluciones IT/OT</t>
        </is>
      </c>
      <c r="E62" s="59" t="n"/>
      <c r="F62" s="59" t="inlineStr">
        <is>
          <t>https://cl.linkedin.com/in/jcastrogorostiza</t>
        </is>
      </c>
      <c r="G62" s="59" t="inlineStr">
        <is>
          <t>Jose Miguel Castro Gorostiza (Gerente Tecnologia)</t>
        </is>
      </c>
      <c r="H62" s="59" t="n"/>
      <c r="I62" s="63" t="inlineStr">
        <is>
          <t>https://cl.linkedin.com/in/jcastrogorostiza</t>
        </is>
      </c>
      <c r="J62" s="63" t="inlineStr">
        <is>
          <t>https://www.linkedin.com/company/enaex</t>
        </is>
      </c>
      <c r="K62" s="59" t="n"/>
      <c r="L62" s="59" t="inlineStr">
        <is>
          <t>Ventas: GRANDE (Estimado por Empleados) | Empleados: 2168</t>
        </is>
      </c>
      <c r="M62" s="61" t="n"/>
      <c r="N62" s="61" t="n"/>
      <c r="O62" s="61" t="n"/>
      <c r="P62" s="61" t="n"/>
      <c r="Q62" s="61" t="n"/>
      <c r="R62" s="62" t="n"/>
      <c r="S62" s="61" t="n"/>
      <c r="T62" s="59" t="inlineStr">
        <is>
          <t>76.041.871-4</t>
        </is>
      </c>
      <c r="U62" s="59" t="inlineStr">
        <is>
          <t>(56) 2 2837 7600</t>
        </is>
      </c>
    </row>
    <row r="63" ht="15.75" customHeight="1" s="38">
      <c r="A63" s="66" t="inlineStr">
        <is>
          <t>Enapac</t>
        </is>
      </c>
      <c r="B63" s="66" t="inlineStr">
        <is>
          <t>Proyecto Planta Desaladora</t>
        </is>
      </c>
      <c r="C63" s="66" t="inlineStr">
        <is>
          <t>Santiago</t>
        </is>
      </c>
      <c r="D63" s="66" t="inlineStr">
        <is>
          <t>Transformación Digital Energía</t>
        </is>
      </c>
      <c r="E63" s="66" t="inlineStr">
        <is>
          <t>LinkedIn</t>
        </is>
      </c>
      <c r="F63" s="66" t="inlineStr">
        <is>
          <t>https://cl.linkedin.com/in/jorgejaque</t>
        </is>
      </c>
      <c r="G63" s="66" t="inlineStr">
        <is>
          <t>Jorge Jaque (Gerente TI)</t>
        </is>
      </c>
      <c r="H63" s="66" t="n"/>
      <c r="I63" s="63" t="inlineStr">
        <is>
          <t>https://cl.linkedin.com/in/jorge-jaque-gerente-ti</t>
        </is>
      </c>
      <c r="J63" s="63" t="inlineStr">
        <is>
          <t>https://cl.linkedin.com/company/enapac</t>
        </is>
      </c>
      <c r="K63" s="66" t="n"/>
      <c r="L63" s="66" t="inlineStr">
        <is>
          <t>Ventas: No en base SII | Empleados: S/I</t>
        </is>
      </c>
      <c r="M63" s="61" t="n"/>
      <c r="N63" s="61" t="n"/>
      <c r="O63" s="61" t="n"/>
      <c r="P63" s="61" t="n"/>
      <c r="Q63" s="61" t="n"/>
      <c r="R63" s="62" t="n"/>
      <c r="S63" s="61" t="n"/>
      <c r="T63" s="66" t="n"/>
      <c r="U63" s="66" t="inlineStr">
        <is>
          <t>(56) 2 2206 4491</t>
        </is>
      </c>
    </row>
    <row r="64" ht="15.75" customHeight="1" s="38">
      <c r="A64" s="59" t="inlineStr">
        <is>
          <t>Energías Industriales S.A. (EISA)</t>
        </is>
      </c>
      <c r="B64" s="59" t="inlineStr">
        <is>
          <t>Arriendo de Calderas Generadoras a Vapor y Agua Caliente, Asesoría Eficiencia Calderas y Equipos Relacionados, Reparación de Calderas</t>
        </is>
      </c>
      <c r="C64" s="59" t="inlineStr">
        <is>
          <t>Santiago</t>
        </is>
      </c>
      <c r="D64" s="59" t="inlineStr">
        <is>
          <t>Investigación en Proceso</t>
        </is>
      </c>
      <c r="E64" s="59" t="n"/>
      <c r="F64" s="59" t="n"/>
      <c r="G64" s="59" t="inlineStr">
        <is>
          <t>Mario Tapia Sottorff (Gerente de Operaciones)</t>
        </is>
      </c>
      <c r="H64" s="59" t="inlineStr">
        <is>
          <t>mtapia@eisa.cl</t>
        </is>
      </c>
      <c r="I64" s="63" t="inlineStr">
        <is>
          <t>https://cl.linkedin.com/in/mario-tapia-sottorff</t>
        </is>
      </c>
      <c r="J64" s="63" t="inlineStr">
        <is>
          <t>https://cl.linkedin.com/company/eisa-energias-industriales-sa</t>
        </is>
      </c>
      <c r="K64" s="59" t="n"/>
      <c r="L64" s="59" t="inlineStr">
        <is>
          <t>Ventas: GRANDE 3 (600.000 - 1.000.000 UF) | Empleados: 198</t>
        </is>
      </c>
      <c r="M64" s="61" t="n"/>
      <c r="N64" s="61" t="n"/>
      <c r="O64" s="61" t="n"/>
      <c r="P64" s="61" t="n"/>
      <c r="Q64" s="61" t="n"/>
      <c r="R64" s="62" t="n"/>
      <c r="S64" s="61" t="n"/>
      <c r="T64" s="59" t="inlineStr">
        <is>
          <t>85.145.500-0</t>
        </is>
      </c>
      <c r="U64" s="59" t="inlineStr">
        <is>
          <t>(56) 2 2440 8300</t>
        </is>
      </c>
    </row>
    <row r="65" ht="15.75" customHeight="1" s="38">
      <c r="A65" s="59" t="inlineStr">
        <is>
          <t>Engineering Composites SpA</t>
        </is>
      </c>
      <c r="B65" s="59" t="inlineStr">
        <is>
          <t>Revestimientos de FRP</t>
        </is>
      </c>
      <c r="C65" s="59" t="inlineStr">
        <is>
          <t>Santiago</t>
        </is>
      </c>
      <c r="D65" s="59" t="inlineStr">
        <is>
          <t>Investigación en Proceso</t>
        </is>
      </c>
      <c r="E65" s="59" t="n"/>
      <c r="F65" s="59" t="n"/>
      <c r="G65" s="59" t="inlineStr">
        <is>
          <t>Alfredo Jose Gonzalez (Jefe de Operaciones TI)</t>
        </is>
      </c>
      <c r="H65" s="59" t="inlineStr">
        <is>
          <t>alfredo.gonzalez@engineering.cl</t>
        </is>
      </c>
      <c r="I65" s="63" t="inlineStr">
        <is>
          <t>https://cl.linkedin.com/in/alfredo-jose-gonzalez-gonzalez-5aa14235</t>
        </is>
      </c>
      <c r="J65" s="63" t="inlineStr">
        <is>
          <t>https://cl.linkedin.com/company/engineering-composites-spa</t>
        </is>
      </c>
      <c r="K65" s="59" t="n"/>
      <c r="L65" s="59" t="inlineStr">
        <is>
          <t>Ventas: GRANDE 3 (600.000 - 1.000.000 UF) | Empleados: 460</t>
        </is>
      </c>
      <c r="M65" s="61" t="n"/>
      <c r="N65" s="61" t="n"/>
      <c r="O65" s="61" t="n"/>
      <c r="P65" s="61" t="n"/>
      <c r="Q65" s="61" t="n"/>
      <c r="R65" s="62" t="n"/>
      <c r="S65" s="61" t="n"/>
      <c r="T65" s="59" t="inlineStr">
        <is>
          <t>76479832-5</t>
        </is>
      </c>
      <c r="U65" s="59" t="n"/>
    </row>
    <row r="66" ht="15.75" customHeight="1" s="38">
      <c r="A66" s="59" t="inlineStr">
        <is>
          <t>Esri Chile S.A.</t>
        </is>
      </c>
      <c r="B66" s="59" t="inlineStr">
        <is>
          <t>Productos Percepción Remota (RS), Sistemas de Información Geográfica (GIS), Sistemas GPS/GNSS Geodésicos y Cartográficos</t>
        </is>
      </c>
      <c r="C66" s="59" t="inlineStr">
        <is>
          <t>Santiago</t>
        </is>
      </c>
      <c r="D66" s="59" t="inlineStr">
        <is>
          <t>Investigación en Proceso</t>
        </is>
      </c>
      <c r="E66" s="59" t="n"/>
      <c r="F66" s="59" t="n"/>
      <c r="G66" s="59" t="inlineStr">
        <is>
          <t>Ignacio Vergara López (IT Leader)</t>
        </is>
      </c>
      <c r="H66" s="59" t="inlineStr">
        <is>
          <t>ivergara@esri.cl</t>
        </is>
      </c>
      <c r="I66" s="63" t="inlineStr">
        <is>
          <t>https://cl.linkedin.com/in/ignacio-vergara-lopez-50a109199</t>
        </is>
      </c>
      <c r="J66" s="63" t="inlineStr">
        <is>
          <t>https://cl.linkedin.com/company/esri-chile</t>
        </is>
      </c>
      <c r="K66" s="59" t="n"/>
      <c r="L66" s="59" t="inlineStr">
        <is>
          <t>Ventas: GRANDE 3 (600.000 - 1.000.000 UF) | Empleados: 106</t>
        </is>
      </c>
      <c r="M66" s="61" t="n"/>
      <c r="N66" s="61" t="n"/>
      <c r="O66" s="61" t="n"/>
      <c r="P66" s="61" t="n"/>
      <c r="Q66" s="61" t="n"/>
      <c r="R66" s="62" t="n"/>
      <c r="S66" s="61" t="n"/>
      <c r="T66" s="59" t="inlineStr">
        <is>
          <t>76.504.980-6</t>
        </is>
      </c>
      <c r="U66" s="59" t="inlineStr">
        <is>
          <t>(56) 2 2481 9000</t>
        </is>
      </c>
    </row>
    <row r="67" ht="15.75" customHeight="1" s="38">
      <c r="A67" s="59" t="inlineStr">
        <is>
          <t>Euro Rent a Car</t>
        </is>
      </c>
      <c r="B67" s="59" t="inlineStr">
        <is>
          <t>Arriendo de Camionetas</t>
        </is>
      </c>
      <c r="C67" s="59" t="inlineStr">
        <is>
          <t>Santiago</t>
        </is>
      </c>
      <c r="D67" s="59" t="inlineStr">
        <is>
          <t>Transf. Digital Gestión Flota</t>
        </is>
      </c>
      <c r="E67" s="59" t="n"/>
      <c r="F67" s="59" t="inlineStr">
        <is>
          <t>https://www.google.com/search?q=Euro+Rent+a+Car+Chile+Gerente+IT+LinkedIn</t>
        </is>
      </c>
      <c r="G67" s="59" t="inlineStr">
        <is>
          <t>Christian Meza (Sub-Gerente TI)</t>
        </is>
      </c>
      <c r="H67" s="59" t="n"/>
      <c r="I67" s="63" t="inlineStr">
        <is>
          <t>https://cl.linkedin.com/in/christian-meza-b7518292</t>
        </is>
      </c>
      <c r="J67" s="63" t="inlineStr">
        <is>
          <t>https://www.linkedin.com/company/euro-rent-a-car-chile</t>
        </is>
      </c>
      <c r="K67" s="59" t="n"/>
      <c r="L67" s="59" t="inlineStr">
        <is>
          <t>Ventas: GRANDE 2 (200.000 - 600.000 UF) | Empleados: 77</t>
        </is>
      </c>
      <c r="M67" s="61" t="n"/>
      <c r="N67" s="61" t="n"/>
      <c r="O67" s="61" t="n"/>
      <c r="P67" s="61" t="n"/>
      <c r="Q67" s="61" t="n"/>
      <c r="R67" s="62" t="n"/>
      <c r="S67" s="61" t="n"/>
      <c r="T67" s="59" t="inlineStr">
        <is>
          <t>99.501.690-7</t>
        </is>
      </c>
      <c r="U67" s="59" t="inlineStr">
        <is>
          <t>(56) 2 2478 9000</t>
        </is>
      </c>
    </row>
    <row r="68" ht="15.75" customHeight="1" s="38">
      <c r="A68" s="59" t="inlineStr">
        <is>
          <t>Faiveley Transport Chile (Wabtec Corporation)</t>
        </is>
      </c>
      <c r="B68" s="59" t="inlineStr">
        <is>
          <t>Componentes y Servicios para Trenes de Pasajeros, Soluciones Digitales Mercado Ferroviario</t>
        </is>
      </c>
      <c r="C68" s="59" t="inlineStr">
        <is>
          <t>Santiago</t>
        </is>
      </c>
      <c r="D68" s="59" t="inlineStr">
        <is>
          <t>Infraestructura Ferroviaria Metro &amp; EFE</t>
        </is>
      </c>
      <c r="E68" s="59" t="n"/>
      <c r="F68" s="59" t="inlineStr">
        <is>
          <t>https://cl.linkedin.com/in/sergio-brito-p</t>
        </is>
      </c>
      <c r="G68" s="59" t="inlineStr">
        <is>
          <t>Sergio Brito (Country Manager)</t>
        </is>
      </c>
      <c r="H68" s="59" t="n"/>
      <c r="I68" s="63" t="inlineStr">
        <is>
          <t>https://cl.linkedin.com/in/sergio-brito-p</t>
        </is>
      </c>
      <c r="J68" s="63" t="inlineStr">
        <is>
          <t>https://www.linkedin.com/company/faiveley-transport-chile</t>
        </is>
      </c>
      <c r="K68" s="59" t="n"/>
      <c r="L68" s="59" t="inlineStr">
        <is>
          <t>Ventas: GRANDE 2 (200.000 - 600.000 UF) | Empleados: 8</t>
        </is>
      </c>
      <c r="M68" s="61" t="n"/>
      <c r="N68" s="61" t="n"/>
      <c r="O68" s="61" t="n"/>
      <c r="P68" s="61" t="n"/>
      <c r="Q68" s="61" t="n"/>
      <c r="R68" s="62" t="n"/>
      <c r="S68" s="61" t="n"/>
      <c r="T68" s="59" t="inlineStr">
        <is>
          <t>76.153.216-2</t>
        </is>
      </c>
      <c r="U68" s="59" t="inlineStr">
        <is>
          <t>(56) 2 2426 8558</t>
        </is>
      </c>
    </row>
    <row r="69" ht="15.75" customHeight="1" s="38">
      <c r="A69" s="59" t="inlineStr">
        <is>
          <t>Fenner Dunlop Chile S.A.</t>
        </is>
      </c>
      <c r="B69" s="59" t="inlineStr">
        <is>
          <t>Proveedor Destacado, Correas Transportadoras de Tela y Cables de Acero, Equipos de Monitoreo, Raspadores para Correas Transportadoras, Rayos X y Scanners</t>
        </is>
      </c>
      <c r="C69" s="59" t="inlineStr">
        <is>
          <t>Antofagasta</t>
        </is>
      </c>
      <c r="D69" s="59" t="inlineStr">
        <is>
          <t>Investigación en Proceso</t>
        </is>
      </c>
      <c r="E69" s="59" t="n"/>
      <c r="F69" s="59" t="n"/>
      <c r="G69" s="59" t="inlineStr">
        <is>
          <t>Manuel García (IT Engineer)</t>
        </is>
      </c>
      <c r="H69" s="59" t="inlineStr">
        <is>
          <t>manuel.garcia@fennerdunlop.com</t>
        </is>
      </c>
      <c r="I69" s="63" t="inlineStr">
        <is>
          <t>https://cl.linkedin.com/in/miguel-garcia-63b554134</t>
        </is>
      </c>
      <c r="J69" s="63" t="inlineStr">
        <is>
          <t>https://www.linkedin.com/company/fenner-dunlop</t>
        </is>
      </c>
      <c r="K69" s="59" t="inlineStr">
        <is>
          <t>http://www.fennerdunlopamericas.com</t>
        </is>
      </c>
      <c r="L69" s="59" t="inlineStr">
        <is>
          <t>Ventas: GRANDE 3 (600.000 - 1.000.000 UF) | Empleados: 26</t>
        </is>
      </c>
      <c r="M69" s="61" t="n"/>
      <c r="N69" s="61" t="n"/>
      <c r="O69" s="61" t="n"/>
      <c r="P69" s="61" t="n"/>
      <c r="Q69" s="61" t="n"/>
      <c r="R69" s="62" t="n"/>
      <c r="S69" s="61" t="n"/>
      <c r="T69" s="59" t="inlineStr">
        <is>
          <t>76.450.610-3</t>
        </is>
      </c>
      <c r="U69" s="59" t="inlineStr">
        <is>
          <t>(56) 55 249 2314</t>
        </is>
      </c>
    </row>
    <row r="70" ht="15.75" customHeight="1" s="38">
      <c r="A70" s="59" t="inlineStr">
        <is>
          <t>Ferrocentro - Maestranza Maipú</t>
        </is>
      </c>
      <c r="B70" s="59" t="inlineStr">
        <is>
          <t>Servicios en Productos de Acero</t>
        </is>
      </c>
      <c r="C70" s="59" t="inlineStr">
        <is>
          <t>Santiago</t>
        </is>
      </c>
      <c r="D70" s="59" t="inlineStr">
        <is>
          <t>Investigación en Proceso</t>
        </is>
      </c>
      <c r="E70" s="59" t="n"/>
      <c r="F70" s="59" t="n"/>
      <c r="G70" s="59" t="inlineStr">
        <is>
          <t>Gerente General (Gerente General)</t>
        </is>
      </c>
      <c r="H70" s="59" t="inlineStr">
        <is>
          <t>sistemas@ferrocentro.cl</t>
        </is>
      </c>
      <c r="I70" s="63" t="inlineStr">
        <is>
          <t>https://cl.linkedin.com/in/luis-m%C3%A1rquez-026a1659</t>
        </is>
      </c>
      <c r="J70" s="63" t="inlineStr">
        <is>
          <t>https://www.linkedin.com/company/industrial-y-comercial-ferrocentro-ltda</t>
        </is>
      </c>
      <c r="K70" s="59" t="n"/>
      <c r="L70" s="59" t="inlineStr">
        <is>
          <t>Ventas: GRANDE 3 (600.000 - 1.000.000 UF) | Empleados: 161</t>
        </is>
      </c>
      <c r="M70" s="61" t="n"/>
      <c r="N70" s="61" t="n"/>
      <c r="O70" s="61" t="n"/>
      <c r="P70" s="61" t="n"/>
      <c r="Q70" s="61" t="n"/>
      <c r="R70" s="62" t="n"/>
      <c r="S70" s="61" t="n"/>
      <c r="T70" s="59" t="inlineStr">
        <is>
          <t>79.677.100-3</t>
        </is>
      </c>
      <c r="U70" s="59" t="inlineStr">
        <is>
          <t>(56) 2 2836 4900</t>
        </is>
      </c>
    </row>
    <row r="71" ht="15.75" customHeight="1" s="38">
      <c r="A71" s="59" t="inlineStr">
        <is>
          <t>Fertec</t>
        </is>
      </c>
      <c r="B71" s="59" t="inlineStr">
        <is>
          <t>Proveedor Destacado, Abrasivos, Corte y Mecanizado, Equipos de Levante, Equipos de Medición y Precisión, Equipos Hidráulicos</t>
        </is>
      </c>
      <c r="C71" s="59" t="inlineStr">
        <is>
          <t>Santiago</t>
        </is>
      </c>
      <c r="D71" s="59" t="inlineStr">
        <is>
          <t>Investigación en Proceso</t>
        </is>
      </c>
      <c r="E71" s="59" t="n"/>
      <c r="F71" s="59" t="n"/>
      <c r="G71" s="59" t="inlineStr">
        <is>
          <t>Camilo Román Celis (Soporte TI)</t>
        </is>
      </c>
      <c r="H71" s="59" t="inlineStr">
        <is>
          <t>c.roman@fertec.cl</t>
        </is>
      </c>
      <c r="I71" s="63" t="inlineStr">
        <is>
          <t>https://cl.linkedin.com/in/camilo-rom%C3%A1n-celis-955b2081</t>
        </is>
      </c>
      <c r="J71" s="63" t="inlineStr">
        <is>
          <t>https://cl.linkedin.com/company/fertec-s-a</t>
        </is>
      </c>
      <c r="K71" s="59" t="inlineStr">
        <is>
          <t>http://www.fertec.cl</t>
        </is>
      </c>
      <c r="L71" s="59" t="inlineStr">
        <is>
          <t>Ventas: GRANDE 3 (600.000 - 1.000.000 UF) | Empleados: 63</t>
        </is>
      </c>
      <c r="M71" s="61" t="n"/>
      <c r="N71" s="61" t="n"/>
      <c r="O71" s="61" t="n"/>
      <c r="P71" s="61" t="n"/>
      <c r="Q71" s="61" t="n"/>
      <c r="R71" s="62" t="n"/>
      <c r="S71" s="61" t="n"/>
      <c r="T71" s="59" t="inlineStr">
        <is>
          <t>99.552.660-3</t>
        </is>
      </c>
      <c r="U71" s="59" t="inlineStr">
        <is>
          <t>(56) 55 247 6985</t>
        </is>
      </c>
    </row>
    <row r="72" ht="15.75" customHeight="1" s="38">
      <c r="A72" s="59" t="inlineStr">
        <is>
          <t>Festo S.A.</t>
        </is>
      </c>
      <c r="B72" s="59" t="inlineStr">
        <is>
          <t>Automatización Industrial, Robots industriales</t>
        </is>
      </c>
      <c r="C72" s="59" t="inlineStr">
        <is>
          <t>Santiago</t>
        </is>
      </c>
      <c r="D72" s="59" t="inlineStr">
        <is>
          <t>Investigación en Proceso</t>
        </is>
      </c>
      <c r="E72" s="59" t="n"/>
      <c r="F72" s="59" t="n"/>
      <c r="G72" s="59" t="inlineStr">
        <is>
          <t>Mauricio Tapia (Regional Head of IT)</t>
        </is>
      </c>
      <c r="H72" s="59" t="inlineStr">
        <is>
          <t>m.tapia@festo.com</t>
        </is>
      </c>
      <c r="I72" s="63" t="n"/>
      <c r="J72" s="63" t="inlineStr">
        <is>
          <t>https://es.linkedin.com/company/festo-chile</t>
        </is>
      </c>
      <c r="K72" s="59" t="n"/>
      <c r="L72" s="59" t="inlineStr">
        <is>
          <t>Ventas: GRANDE 3 (600.000 - 1.000.000 UF) | Empleados: 42</t>
        </is>
      </c>
      <c r="M72" s="61" t="n"/>
      <c r="N72" s="61" t="n"/>
      <c r="O72" s="61" t="n"/>
      <c r="P72" s="61" t="n"/>
      <c r="Q72" s="61" t="n"/>
      <c r="R72" s="62" t="n"/>
      <c r="S72" s="61" t="n"/>
      <c r="T72" s="59" t="inlineStr">
        <is>
          <t>96.951.450-8</t>
        </is>
      </c>
      <c r="U72" s="59" t="inlineStr">
        <is>
          <t>(56) 2 2690 2800</t>
        </is>
      </c>
    </row>
    <row r="73" ht="15.75" customHeight="1" s="38">
      <c r="A73" s="59" t="inlineStr">
        <is>
          <t>FitFlow</t>
        </is>
      </c>
      <c r="B73" s="59" t="inlineStr">
        <is>
          <t>Equipos contra Incendios, Sistemas contra Incendios</t>
        </is>
      </c>
      <c r="C73" s="59" t="inlineStr">
        <is>
          <t>Santiago</t>
        </is>
      </c>
      <c r="D73" s="59" t="inlineStr">
        <is>
          <t>Investigación en Proceso</t>
        </is>
      </c>
      <c r="E73" s="59" t="n"/>
      <c r="F73" s="59" t="n"/>
      <c r="G73" s="59" t="inlineStr">
        <is>
          <t>Bruno Turrarol (Gerente de Operaciones (IT Resp))</t>
        </is>
      </c>
      <c r="H73" s="59" t="inlineStr">
        <is>
          <t>b.turrarol@fitflow.com</t>
        </is>
      </c>
      <c r="I73" s="63" t="inlineStr">
        <is>
          <t>https://pe.linkedin.com/in/brunoturrarol</t>
        </is>
      </c>
      <c r="J73" s="63" t="inlineStr">
        <is>
          <t>https://cl.linkedin.com/company/fitflow</t>
        </is>
      </c>
      <c r="K73" s="59" t="n"/>
      <c r="L73" s="59" t="inlineStr">
        <is>
          <t>Ventas: GRANDE 3 (600.000 - 1.000.000 UF) | Empleados: 158</t>
        </is>
      </c>
      <c r="M73" s="61" t="n"/>
      <c r="N73" s="61" t="n"/>
      <c r="O73" s="61" t="n"/>
      <c r="P73" s="61" t="n"/>
      <c r="Q73" s="61" t="n"/>
      <c r="R73" s="62" t="n"/>
      <c r="S73" s="61" t="n"/>
      <c r="T73" s="59" t="inlineStr">
        <is>
          <t>76.652.750-7</t>
        </is>
      </c>
      <c r="U73" s="59" t="inlineStr">
        <is>
          <t>(56) 2 2706 6920</t>
        </is>
      </c>
    </row>
    <row r="74" ht="15.75" customHeight="1" s="38">
      <c r="A74" s="59" t="inlineStr">
        <is>
          <t>Flender SpA</t>
        </is>
      </c>
      <c r="B74" s="59" t="inlineStr">
        <is>
          <t>Acoplamientos, Reductores</t>
        </is>
      </c>
      <c r="C74" s="59" t="inlineStr">
        <is>
          <t>Santiago</t>
        </is>
      </c>
      <c r="D74" s="59" t="inlineStr">
        <is>
          <t>Digitalización Accionamientos AI-IQ</t>
        </is>
      </c>
      <c r="E74" s="59" t="n"/>
      <c r="F74" s="59" t="inlineStr">
        <is>
          <t>https://www.flender.com/en/service/digital-services</t>
        </is>
      </c>
      <c r="G74" s="59" t="inlineStr">
        <is>
          <t>Javier Iglesias (Gerente Centro Servicios)</t>
        </is>
      </c>
      <c r="H74" s="59" t="n"/>
      <c r="I74" s="63" t="inlineStr">
        <is>
          <t>https://cl.linkedin.com/in/javier-iglesias-23599543</t>
        </is>
      </c>
      <c r="J74" s="63" t="inlineStr">
        <is>
          <t>https://www.linkedin.com/company/flender</t>
        </is>
      </c>
      <c r="K74" s="59" t="n"/>
      <c r="L74" s="59" t="inlineStr">
        <is>
          <t>Ventas: GRANDE 3 (600.000 - 1.000.000 UF) | Empleados: 25</t>
        </is>
      </c>
      <c r="M74" s="61" t="n"/>
      <c r="N74" s="61" t="n"/>
      <c r="O74" s="61" t="n"/>
      <c r="P74" s="61" t="n"/>
      <c r="Q74" s="61" t="n"/>
      <c r="R74" s="62" t="n"/>
      <c r="S74" s="61" t="n"/>
      <c r="T74" s="59" t="inlineStr">
        <is>
          <t>76879562-2</t>
        </is>
      </c>
      <c r="U74" s="59" t="inlineStr">
        <is>
          <t>(56) 9 8808 3824</t>
        </is>
      </c>
    </row>
    <row r="75" ht="15.75" customHeight="1" s="38">
      <c r="A75" s="59" t="inlineStr">
        <is>
          <t>Flexco de Chile SpA</t>
        </is>
      </c>
      <c r="B75" s="59" t="inlineStr">
        <is>
          <t>Alineadores para Correas Transportadoras</t>
        </is>
      </c>
      <c r="C75" s="59" t="inlineStr">
        <is>
          <t>Santiago</t>
        </is>
      </c>
      <c r="D75" s="59" t="inlineStr">
        <is>
          <t>IoT en Cintas Transportadoras Inteligentes</t>
        </is>
      </c>
      <c r="E75" s="59" t="n"/>
      <c r="F75" s="59" t="inlineStr">
        <is>
          <t>https://www.flexco.com/ES/ES/Flexco.htm</t>
        </is>
      </c>
      <c r="G75" s="59" t="inlineStr">
        <is>
          <t>Franklin Mendoza (Gerente Operaciones)</t>
        </is>
      </c>
      <c r="H75" s="59" t="n"/>
      <c r="I75" s="63" t="inlineStr">
        <is>
          <t>https://cl.linkedin.com/in/franklin-jos%C3%A9-mendoza-rosario-7b667575</t>
        </is>
      </c>
      <c r="J75" s="63" t="inlineStr">
        <is>
          <t>https://cl.linkedin.com/company/flexcolatinamerica</t>
        </is>
      </c>
      <c r="K75" s="59" t="n"/>
      <c r="L75" s="59" t="inlineStr">
        <is>
          <t>Ventas: GRANDE 3 (600.000 - 1.000.000 UF) | Empleados: 42</t>
        </is>
      </c>
      <c r="M75" s="61" t="n"/>
      <c r="N75" s="61" t="n"/>
      <c r="O75" s="61" t="n"/>
      <c r="P75" s="61" t="n"/>
      <c r="Q75" s="61" t="n"/>
      <c r="R75" s="62" t="n"/>
      <c r="S75" s="61" t="n"/>
      <c r="T75" s="59" t="inlineStr">
        <is>
          <t>76.126.089-8</t>
        </is>
      </c>
      <c r="U75" s="59" t="inlineStr">
        <is>
          <t>(56) 2 2896 7870</t>
        </is>
      </c>
    </row>
    <row r="76" ht="15.75" customHeight="1" s="38">
      <c r="A76" s="59" t="inlineStr">
        <is>
          <t>Fourthane</t>
        </is>
      </c>
      <c r="B76" s="59" t="inlineStr">
        <is>
          <t>Reparación de Correas Transportadoras</t>
        </is>
      </c>
      <c r="C76" s="59" t="inlineStr">
        <is>
          <t>Santiago</t>
        </is>
      </c>
      <c r="D76" s="59" t="inlineStr">
        <is>
          <t>Soluciones Tecnológicas Reparación Cintas</t>
        </is>
      </c>
      <c r="E76" s="59" t="n"/>
      <c r="F76" s="59" t="inlineStr">
        <is>
          <t>http://www.fourthane.com/</t>
        </is>
      </c>
      <c r="G76" s="59" t="inlineStr">
        <is>
          <t>Gerente de Innovación (Gerente Innovación)</t>
        </is>
      </c>
      <c r="H76" s="59" t="n"/>
      <c r="I76" s="63" t="inlineStr">
        <is>
          <t>https://cl.linkedin.com/in/maria-ignacia-fourt-pimentel</t>
        </is>
      </c>
      <c r="J76" s="63" t="inlineStr">
        <is>
          <t>https://cl.linkedin.com/company/fourthane</t>
        </is>
      </c>
      <c r="K76" s="59" t="n"/>
      <c r="L76" s="59" t="inlineStr">
        <is>
          <t>Ventas: GRANDE 3 (600.000 - 1.000.000 UF) | Empleados: 551</t>
        </is>
      </c>
      <c r="M76" s="61" t="n"/>
      <c r="N76" s="61" t="n"/>
      <c r="O76" s="61" t="n"/>
      <c r="P76" s="61" t="n"/>
      <c r="Q76" s="61" t="n"/>
      <c r="R76" s="62" t="n"/>
      <c r="S76" s="61" t="n"/>
      <c r="T76" s="59" t="inlineStr">
        <is>
          <t>76.526.130-9</t>
        </is>
      </c>
      <c r="U76" s="59" t="inlineStr">
        <is>
          <t>(56) 2 2443 6031</t>
        </is>
      </c>
    </row>
    <row r="77" ht="15.75" customHeight="1" s="38">
      <c r="A77" s="59" t="inlineStr">
        <is>
          <t>Freeport-Mcmoran South America</t>
        </is>
      </c>
      <c r="B77" s="59" t="inlineStr">
        <is>
          <t>Concentrados de Cobre</t>
        </is>
      </c>
      <c r="C77" s="59" t="inlineStr">
        <is>
          <t>Santiago</t>
        </is>
      </c>
      <c r="D77" s="59" t="inlineStr">
        <is>
          <t>Inversión Continuidad El Abra</t>
        </is>
      </c>
      <c r="E77" s="59" t="inlineStr">
        <is>
          <t>LinkedIn</t>
        </is>
      </c>
      <c r="F77" s="59" t="inlineStr">
        <is>
          <t>https://cl.linkedin.com/in/mariolarenas</t>
        </is>
      </c>
      <c r="G77" s="59" t="inlineStr">
        <is>
          <t>Mario Larenas (Country Manager)</t>
        </is>
      </c>
      <c r="H77" s="59" t="n"/>
      <c r="I77" s="63" t="inlineStr">
        <is>
          <t>https://cl.linkedin.com/in/mariolarenasgonzalez</t>
        </is>
      </c>
      <c r="J77" s="63" t="inlineStr">
        <is>
          <t>https://www.linkedin.com/company/freeport-mcmoran</t>
        </is>
      </c>
      <c r="K77" s="59" t="n"/>
      <c r="L77" s="59" t="inlineStr">
        <is>
          <t>Ventas: GRANDE 4 (Mas de 1.000.000 UF) | Empleados: 72</t>
        </is>
      </c>
      <c r="M77" s="61" t="n"/>
      <c r="N77" s="61" t="n"/>
      <c r="O77" s="61" t="n"/>
      <c r="P77" s="61" t="n"/>
      <c r="Q77" s="61" t="n"/>
      <c r="R77" s="62" t="n"/>
      <c r="S77" s="61" t="n"/>
      <c r="T77" s="59" t="inlineStr">
        <is>
          <t>78.273.180-7</t>
        </is>
      </c>
      <c r="U77" s="59" t="inlineStr">
        <is>
          <t>(56) 2 2873 1200</t>
        </is>
      </c>
    </row>
    <row r="78" ht="15.75" customHeight="1" s="38">
      <c r="A78" s="59" t="inlineStr">
        <is>
          <t>Fundación Ceduc - UCN (Centro de Educación y Capacitación de la U. Católica del Norte)</t>
        </is>
      </c>
      <c r="B78" s="59" t="inlineStr">
        <is>
          <t>Capacitación en Especialidades Mineras, Certificación de Operadores de Maquinarias y Equipos</t>
        </is>
      </c>
      <c r="C78" s="59" t="inlineStr">
        <is>
          <t>Coquimbo</t>
        </is>
      </c>
      <c r="D78" s="59" t="inlineStr">
        <is>
          <t>Investigación en Proceso</t>
        </is>
      </c>
      <c r="E78" s="59" t="n"/>
      <c r="F78" s="59" t="n"/>
      <c r="G78" s="59" t="inlineStr">
        <is>
          <t>Claudio Fredes F. (Jefe TI)</t>
        </is>
      </c>
      <c r="H78" s="59" t="inlineStr">
        <is>
          <t>cfredes@ceduc.cl</t>
        </is>
      </c>
      <c r="I78" s="63" t="inlineStr">
        <is>
          <t>https://cl.linkedin.com/in/claudio-fredes-f-7492456a</t>
        </is>
      </c>
      <c r="J78" s="63" t="inlineStr">
        <is>
          <t>https://www.linkedin.com/company/ceduc-ucn</t>
        </is>
      </c>
      <c r="K78" s="59" t="n"/>
      <c r="L78" s="59" t="inlineStr">
        <is>
          <t>Ventas: GRANDE 3 (600.000 - 1.000.000 UF) | Empleados: 603</t>
        </is>
      </c>
      <c r="M78" s="61" t="n"/>
      <c r="N78" s="61" t="n"/>
      <c r="O78" s="61" t="n"/>
      <c r="P78" s="61" t="n"/>
      <c r="Q78" s="61" t="n"/>
      <c r="R78" s="62" t="n"/>
      <c r="S78" s="61" t="n"/>
      <c r="T78" s="59" t="inlineStr">
        <is>
          <t>74.822.900-0</t>
        </is>
      </c>
      <c r="U78" s="59" t="inlineStr">
        <is>
          <t>(56) 51 254 7000</t>
        </is>
      </c>
    </row>
    <row r="79" ht="15.75" customHeight="1" s="38">
      <c r="A79" s="59" t="inlineStr">
        <is>
          <t>Fundación Chile</t>
        </is>
      </c>
      <c r="B79" s="59" t="inlineStr">
        <is>
          <t>Asesorías en Medioambiente, Capacitación de Personal</t>
        </is>
      </c>
      <c r="C79" s="59" t="inlineStr">
        <is>
          <t>Santiago</t>
        </is>
      </c>
      <c r="D79" s="59" t="inlineStr">
        <is>
          <t>Hub Metropolitano &amp; Escalado Startups Científico-Tecnológicas</t>
        </is>
      </c>
      <c r="E79" s="59" t="inlineStr">
        <is>
          <t>Fch.cl / Talento Digital</t>
        </is>
      </c>
      <c r="F79" s="59" t="n"/>
      <c r="G79" s="59" t="inlineStr">
        <is>
          <t>Iván Córdova Concha (Subgerente Tecnología)</t>
        </is>
      </c>
      <c r="H79" s="59" t="inlineStr">
        <is>
          <t>ivan.cordova@fch.cl</t>
        </is>
      </c>
      <c r="I79" s="63" t="inlineStr">
        <is>
          <t>https://cl.linkedin.com/in/ivancordova76</t>
        </is>
      </c>
      <c r="J79" s="63" t="inlineStr">
        <is>
          <t>https://cl.linkedin.com/company/fundaci-n-chile</t>
        </is>
      </c>
      <c r="K79" s="59" t="n"/>
      <c r="L79" s="59" t="inlineStr">
        <is>
          <t>Ventas: GRANDE 3 (600.000 - 1.000.000 UF) | Empleados: 203</t>
        </is>
      </c>
      <c r="M79" s="61" t="n"/>
      <c r="N79" s="61" t="n"/>
      <c r="O79" s="61" t="n"/>
      <c r="P79" s="61" t="n"/>
      <c r="Q79" s="61" t="n"/>
      <c r="R79" s="62" t="n"/>
      <c r="S79" s="61" t="n"/>
      <c r="T79" s="59" t="inlineStr">
        <is>
          <t>70.300.000-2</t>
        </is>
      </c>
      <c r="U79" s="59" t="inlineStr">
        <is>
          <t>(56) 2 2240 0300</t>
        </is>
      </c>
    </row>
    <row r="80" ht="15.75" customHeight="1" s="38">
      <c r="A80" s="59" t="inlineStr">
        <is>
          <t>Fundición Chagres - Anglo American Sur</t>
        </is>
      </c>
      <c r="B80" s="59" t="inlineStr">
        <is>
          <t>Anodos de Cobre, Concentrado de Cobre</t>
        </is>
      </c>
      <c r="C80" s="59" t="inlineStr">
        <is>
          <t>Valparaíso</t>
        </is>
      </c>
      <c r="D80" s="59" t="inlineStr">
        <is>
          <t>Centro Remoto IROC</t>
        </is>
      </c>
      <c r="E80" s="59" t="inlineStr">
        <is>
          <t>LinkedIn</t>
        </is>
      </c>
      <c r="F80" s="59" t="inlineStr">
        <is>
          <t>https://cl.linkedin.com/in/rodrigosubiabre</t>
        </is>
      </c>
      <c r="G80" s="59" t="inlineStr">
        <is>
          <t>Rodrigo Subiabre (VP Tech &amp; Innov)</t>
        </is>
      </c>
      <c r="H80" s="59" t="n"/>
      <c r="I80" s="63" t="inlineStr">
        <is>
          <t>https://cl.linkedin.com/in/rodrigo-subiabre-84130844</t>
        </is>
      </c>
      <c r="J80" s="63" t="inlineStr">
        <is>
          <t>https://cl.linkedin.com/company/anglo-american</t>
        </is>
      </c>
      <c r="K80" s="59" t="n"/>
      <c r="L80" s="59" t="inlineStr">
        <is>
          <t>Ventas: GRANDE (Estimado por Empleados) | Empleados: 2517</t>
        </is>
      </c>
      <c r="M80" s="61" t="n"/>
      <c r="N80" s="61" t="n"/>
      <c r="O80" s="61" t="n"/>
      <c r="P80" s="61" t="n"/>
      <c r="Q80" s="61" t="n"/>
      <c r="R80" s="62" t="n"/>
      <c r="S80" s="61" t="n"/>
      <c r="T80" s="59" t="inlineStr">
        <is>
          <t>77.762.940-9</t>
        </is>
      </c>
      <c r="U80" s="59" t="inlineStr">
        <is>
          <t>(56) 2 2230 8600</t>
        </is>
      </c>
    </row>
    <row r="81" ht="15.75" customHeight="1" s="38">
      <c r="A81" s="59" t="inlineStr">
        <is>
          <t>GE Mining</t>
        </is>
      </c>
      <c r="B81" s="59" t="inlineStr">
        <is>
          <t>Equipos para Minería de Superficie, Equipos para Minería Subterránea</t>
        </is>
      </c>
      <c r="C81" s="59" t="inlineStr">
        <is>
          <t>Santiago</t>
        </is>
      </c>
      <c r="D81" s="59" t="inlineStr">
        <is>
          <t>Investigación en Proceso</t>
        </is>
      </c>
      <c r="E81" s="59" t="n"/>
      <c r="F81" s="59" t="n"/>
      <c r="G81" s="59" t="inlineStr">
        <is>
          <t>Franco Francino (Digital Mining)</t>
        </is>
      </c>
      <c r="H81" s="59" t="inlineStr">
        <is>
          <t>franco.francino@ge.com</t>
        </is>
      </c>
      <c r="I81" s="63" t="inlineStr">
        <is>
          <t>https://cl.linkedin.com/in/franco-francino-65b32810</t>
        </is>
      </c>
      <c r="J81" s="63" t="inlineStr">
        <is>
          <t>https://www.linkedin.com/company/ge</t>
        </is>
      </c>
      <c r="K81" s="59" t="n"/>
      <c r="L81" s="59" t="inlineStr">
        <is>
          <t>Ventas: GRANDE 3 (600.000 - 1.000.000 UF) | Empleados: 18</t>
        </is>
      </c>
      <c r="M81" s="61" t="n"/>
      <c r="N81" s="61" t="n"/>
      <c r="O81" s="61" t="n"/>
      <c r="P81" s="61" t="n"/>
      <c r="Q81" s="61" t="n"/>
      <c r="R81" s="62" t="n"/>
      <c r="S81" s="61" t="n"/>
      <c r="T81" s="59" t="inlineStr">
        <is>
          <t>59.010.820-0</t>
        </is>
      </c>
      <c r="U81" s="59" t="inlineStr">
        <is>
          <t>(56) 2 2652 6500</t>
        </is>
      </c>
    </row>
    <row r="82" ht="15.75" customHeight="1" s="38">
      <c r="A82" s="59" t="inlineStr">
        <is>
          <t>GEA Chile</t>
        </is>
      </c>
      <c r="B82" s="59" t="inlineStr">
        <is>
          <t>Tratamiento de Efluentes</t>
        </is>
      </c>
      <c r="C82" s="59" t="inlineStr">
        <is>
          <t>Santiago</t>
        </is>
      </c>
      <c r="D82" s="59" t="inlineStr">
        <is>
          <t>Investigación en Proceso</t>
        </is>
      </c>
      <c r="E82" s="59" t="n"/>
      <c r="F82" s="59" t="n"/>
      <c r="G82" s="59" t="inlineStr">
        <is>
          <t>Francisco Miño Kraus (Soluciones Digitales)</t>
        </is>
      </c>
      <c r="H82" s="59" t="inlineStr">
        <is>
          <t>francisco.mino@gea.com</t>
        </is>
      </c>
      <c r="I82" s="63" t="inlineStr">
        <is>
          <t>https://cl.linkedin.com/in/francisco-mi%C3%B1o-kraus-21782715</t>
        </is>
      </c>
      <c r="J82" s="63" t="inlineStr">
        <is>
          <t>https://cl.linkedin.com/company/geachile</t>
        </is>
      </c>
      <c r="K82" s="59" t="n"/>
      <c r="L82" s="59" t="inlineStr">
        <is>
          <t>Ventas: GRANDE 3 (600.000 - 1.000.000 UF) | Empleados: 27</t>
        </is>
      </c>
      <c r="M82" s="61" t="n"/>
      <c r="N82" s="61" t="n"/>
      <c r="O82" s="61" t="n"/>
      <c r="P82" s="61" t="n"/>
      <c r="Q82" s="61" t="n"/>
      <c r="R82" s="62" t="n"/>
      <c r="S82" s="61" t="n"/>
      <c r="T82" s="59" t="inlineStr">
        <is>
          <t>96.573.980-7</t>
        </is>
      </c>
      <c r="U82" s="59" t="inlineStr">
        <is>
          <t>(56) 2 3210 9302</t>
        </is>
      </c>
    </row>
    <row r="83" ht="15.75" customHeight="1" s="38">
      <c r="A83" s="59" t="inlineStr">
        <is>
          <t>GL Group</t>
        </is>
      </c>
      <c r="B83" s="59" t="inlineStr">
        <is>
          <t>Circuitos Cerrados de Televisión (CCTV)</t>
        </is>
      </c>
      <c r="C83" s="59" t="inlineStr">
        <is>
          <t>Santiago</t>
        </is>
      </c>
      <c r="D83" s="59" t="inlineStr">
        <is>
          <t>Tecnología RFID &amp; Transf. Digital Retail</t>
        </is>
      </c>
      <c r="E83" s="59" t="n"/>
      <c r="F83" s="59" t="inlineStr">
        <is>
          <t>https://cl.linkedin.com/company/glgroup-s-a</t>
        </is>
      </c>
      <c r="G83" s="59" t="inlineStr">
        <is>
          <t>Luis Caravello (Gerente Operaciones)</t>
        </is>
      </c>
      <c r="H83" s="59" t="n"/>
      <c r="I83" s="63" t="inlineStr">
        <is>
          <t>https://cl.linkedin.com/in/luis-caravello-98417366</t>
        </is>
      </c>
      <c r="J83" s="63" t="inlineStr">
        <is>
          <t>https://es.linkedin.com/company/glgroup-s-a</t>
        </is>
      </c>
      <c r="K83" s="59" t="n"/>
      <c r="L83" s="59" t="inlineStr">
        <is>
          <t>Ventas: GRANDE 2 (200.000 - 600.000 UF) | Empleados: 68</t>
        </is>
      </c>
      <c r="M83" s="61" t="n"/>
      <c r="N83" s="61" t="n"/>
      <c r="O83" s="61" t="n"/>
      <c r="P83" s="61" t="n"/>
      <c r="Q83" s="61" t="n"/>
      <c r="R83" s="62" t="n"/>
      <c r="S83" s="61" t="n"/>
      <c r="T83" s="59" t="inlineStr">
        <is>
          <t>77.375.090-4</t>
        </is>
      </c>
      <c r="U83" s="59" t="inlineStr">
        <is>
          <t>(56) 2 2629 2222</t>
        </is>
      </c>
    </row>
    <row r="84" ht="15.75" customHeight="1" s="38">
      <c r="A84" s="59" t="inlineStr">
        <is>
          <t>GPS Chile SpA</t>
        </is>
      </c>
      <c r="B84" s="59" t="inlineStr">
        <is>
          <t>Dispositivos para Control de Conducción de Vehículos, Plataformas GPS para Control y Gestión</t>
        </is>
      </c>
      <c r="C84" s="59" t="inlineStr">
        <is>
          <t>Santiago</t>
        </is>
      </c>
      <c r="D84" s="59" t="inlineStr">
        <is>
          <t>Investigación en Proceso</t>
        </is>
      </c>
      <c r="E84" s="59" t="n"/>
      <c r="F84" s="59" t="n"/>
      <c r="G84" s="59" t="inlineStr">
        <is>
          <t>Tomás Gantes (Gte Innovación y Producto)</t>
        </is>
      </c>
      <c r="H84" s="59" t="inlineStr">
        <is>
          <t>tgantes@gpschile.com</t>
        </is>
      </c>
      <c r="I84" s="63" t="inlineStr">
        <is>
          <t>https://cl.linkedin.com/in/tomas-gantes</t>
        </is>
      </c>
      <c r="J84" s="63" t="inlineStr">
        <is>
          <t>https://cl.linkedin.com/company/gpschile</t>
        </is>
      </c>
      <c r="K84" s="59" t="n"/>
      <c r="L84" s="59" t="inlineStr">
        <is>
          <t>Ventas: GRANDE 3 (600.000 - 1.000.000 UF) | Empleados: 152</t>
        </is>
      </c>
      <c r="M84" s="61" t="n"/>
      <c r="N84" s="61" t="n"/>
      <c r="O84" s="61" t="n"/>
      <c r="P84" s="61" t="n"/>
      <c r="Q84" s="61" t="n"/>
      <c r="R84" s="62" t="n"/>
      <c r="S84" s="61" t="n"/>
      <c r="T84" s="59" t="inlineStr">
        <is>
          <t>96.941.960-2</t>
        </is>
      </c>
      <c r="U84" s="59" t="inlineStr">
        <is>
          <t>(56) 2 2940 4911</t>
        </is>
      </c>
    </row>
    <row r="85" ht="15.75" customHeight="1" s="38">
      <c r="A85" s="59" t="inlineStr">
        <is>
          <t>Gasco</t>
        </is>
      </c>
      <c r="B85" s="59" t="inlineStr">
        <is>
          <t>Proveedor Destacado, Energía Eléctrica Distribuida, Energía para Calefacción Industrial, Energía para Hornos de Tratamiento Térmico, Energía para Hornos Rotatorios, Energía para Procesos Metalúrgicos y de Metalmecánica</t>
        </is>
      </c>
      <c r="C85" s="59" t="inlineStr">
        <is>
          <t>Santiago</t>
        </is>
      </c>
      <c r="D85" s="59" t="inlineStr">
        <is>
          <t>Optimización SAP &amp; Transf. Digital CX</t>
        </is>
      </c>
      <c r="E85" s="59" t="n"/>
      <c r="F85" s="59" t="inlineStr">
        <is>
          <t>https://cl.linkedin.com/in/gsalazarp/</t>
        </is>
      </c>
      <c r="G85" s="59" t="inlineStr">
        <is>
          <t>Guillermo Salazar (Gte Corp Tecnología)</t>
        </is>
      </c>
      <c r="H85" s="59" t="n"/>
      <c r="I85" s="63" t="inlineStr">
        <is>
          <t>https://cl.linkedin.com/in/guillermo-salazar-pe%C3%B1a-78096333</t>
        </is>
      </c>
      <c r="J85" s="63" t="inlineStr">
        <is>
          <t>https://cl.linkedin.com/company/empresas-gasco</t>
        </is>
      </c>
      <c r="K85" s="59" t="inlineStr">
        <is>
          <t>http://solucionesenergeticas.gasco.cl</t>
        </is>
      </c>
      <c r="L85" s="59" t="inlineStr">
        <is>
          <t>Ventas: GRANDE (Estimado por Empleados) | Empleados: 1059</t>
        </is>
      </c>
      <c r="M85" s="61" t="n"/>
      <c r="N85" s="61" t="n"/>
      <c r="O85" s="61" t="n"/>
      <c r="P85" s="61" t="n"/>
      <c r="Q85" s="61" t="n"/>
      <c r="R85" s="62" t="n"/>
      <c r="S85" s="61" t="n"/>
      <c r="T85" s="59" t="inlineStr">
        <is>
          <t>96.568.740-8</t>
        </is>
      </c>
      <c r="U85" s="59" t="inlineStr">
        <is>
          <t>600 822 2222</t>
        </is>
      </c>
    </row>
    <row r="86" ht="15.75" customHeight="1" s="38">
      <c r="A86" s="66" t="inlineStr">
        <is>
          <t>Gauss Control</t>
        </is>
      </c>
      <c r="B86" s="66" t="inlineStr">
        <is>
          <t>Software para predecir Indices de Riesgo de los Trabajadores</t>
        </is>
      </c>
      <c r="C86" s="66" t="inlineStr">
        <is>
          <t>Santiago</t>
        </is>
      </c>
      <c r="D86" s="66" t="inlineStr">
        <is>
          <t>Fatiga &amp; IA Seguridad Operacional</t>
        </is>
      </c>
      <c r="E86" s="66" t="n"/>
      <c r="F86" s="66" t="inlineStr">
        <is>
          <t>https://www.gausscontrol.com/</t>
        </is>
      </c>
      <c r="G86" s="66" t="inlineStr">
        <is>
          <t>José Rafael Campino (Founder/CEO)</t>
        </is>
      </c>
      <c r="H86" s="66" t="n"/>
      <c r="I86" s="63" t="inlineStr">
        <is>
          <t>https://cl.linkedin.com/in/jos%C3%A9-rafael-campino-444a2239</t>
        </is>
      </c>
      <c r="J86" s="63" t="inlineStr">
        <is>
          <t>https://cl.linkedin.com/company/gauss-control</t>
        </is>
      </c>
      <c r="K86" s="66" t="n"/>
      <c r="L86" s="66" t="inlineStr">
        <is>
          <t>Ventas: No en base SII | Empleados: S/I</t>
        </is>
      </c>
      <c r="M86" s="61" t="n"/>
      <c r="N86" s="61" t="n"/>
      <c r="O86" s="61" t="n"/>
      <c r="P86" s="61" t="n"/>
      <c r="Q86" s="61" t="n"/>
      <c r="R86" s="62" t="n"/>
      <c r="S86" s="61" t="n"/>
      <c r="T86" s="66" t="inlineStr">
        <is>
          <t>96.871.070-2</t>
        </is>
      </c>
      <c r="U86" s="66" t="inlineStr">
        <is>
          <t>(56) 9 6103 7267</t>
        </is>
      </c>
    </row>
    <row r="87" ht="15.75" customHeight="1" s="38">
      <c r="A87" s="59" t="inlineStr">
        <is>
          <t>Geo Operaciones Ltda.</t>
        </is>
      </c>
      <c r="B87" s="59" t="inlineStr">
        <is>
          <t>Servicios para la Minería, Sondajes</t>
        </is>
      </c>
      <c r="C87" s="59" t="inlineStr">
        <is>
          <t>Copiapó</t>
        </is>
      </c>
      <c r="D87" s="59" t="inlineStr">
        <is>
          <t>Investigación en Proceso</t>
        </is>
      </c>
      <c r="E87" s="59" t="n"/>
      <c r="F87" s="59" t="n"/>
      <c r="G87" s="59" t="inlineStr">
        <is>
          <t>Ricardo Soto (Jefe de Informática)</t>
        </is>
      </c>
      <c r="H87" s="59" t="inlineStr">
        <is>
          <t>r.soto@geo-operaciones.cl</t>
        </is>
      </c>
      <c r="I87" s="63" t="n"/>
      <c r="J87" s="63" t="inlineStr">
        <is>
          <t>https://www.linkedin.com/company/geo-operaciones-ltda.</t>
        </is>
      </c>
      <c r="K87" s="59" t="n"/>
      <c r="L87" s="59" t="inlineStr">
        <is>
          <t>Ventas: GRANDE 3 (600.000 - 1.000.000 UF) | Empleados: 315</t>
        </is>
      </c>
      <c r="M87" s="61" t="n"/>
      <c r="N87" s="61" t="n"/>
      <c r="O87" s="61" t="n"/>
      <c r="P87" s="61" t="n"/>
      <c r="Q87" s="61" t="n"/>
      <c r="R87" s="62" t="n"/>
      <c r="S87" s="61" t="n"/>
      <c r="T87" s="59" t="inlineStr">
        <is>
          <t>79.634.910-7</t>
        </is>
      </c>
      <c r="U87" s="59" t="inlineStr">
        <is>
          <t>(56) 52 220 2900</t>
        </is>
      </c>
    </row>
    <row r="88" ht="15.75" customHeight="1" s="38">
      <c r="A88" s="59" t="inlineStr">
        <is>
          <t>Geobarra Exins S.A.</t>
        </is>
      </c>
      <c r="B88" s="59" t="inlineStr">
        <is>
          <t>Tratamiento de Residuos</t>
        </is>
      </c>
      <c r="C88" s="59" t="inlineStr">
        <is>
          <t>Rancagua</t>
        </is>
      </c>
      <c r="D88" s="59" t="inlineStr">
        <is>
          <t>Investigación en Proceso</t>
        </is>
      </c>
      <c r="E88" s="59" t="n"/>
      <c r="F88" s="59" t="n"/>
      <c r="G88" s="59" t="inlineStr">
        <is>
          <t>Emilio Briceño (Gerente de Operaciones)</t>
        </is>
      </c>
      <c r="H88" s="59" t="inlineStr">
        <is>
          <t>e.briceno@geobarra.cl</t>
        </is>
      </c>
      <c r="I88" s="63" t="inlineStr">
        <is>
          <t>https://cl.linkedin.com/in/emilio-hern%C3%A1n-brice%C3%B1o-henr%C3%ADquez-2666a8292</t>
        </is>
      </c>
      <c r="J88" s="63" t="inlineStr">
        <is>
          <t>https://cl.linkedin.com/company/geobarra</t>
        </is>
      </c>
      <c r="K88" s="59" t="n"/>
      <c r="L88" s="59" t="inlineStr">
        <is>
          <t>Ventas: GRANDE 3 (600.000 - 1.000.000 UF) | Empleados: 311</t>
        </is>
      </c>
      <c r="M88" s="61" t="n"/>
      <c r="N88" s="61" t="n"/>
      <c r="O88" s="61" t="n"/>
      <c r="P88" s="61" t="n"/>
      <c r="Q88" s="61" t="n"/>
      <c r="R88" s="62" t="n"/>
      <c r="S88" s="61" t="n"/>
      <c r="T88" s="59" t="inlineStr">
        <is>
          <t>76.562.260-3</t>
        </is>
      </c>
      <c r="U88" s="59" t="inlineStr">
        <is>
          <t>(56) 72 252 2143</t>
        </is>
      </c>
    </row>
    <row r="89" ht="15.75" customHeight="1" s="38">
      <c r="A89" s="59" t="inlineStr">
        <is>
          <t>Gestión Ambiental Consultores S.A.</t>
        </is>
      </c>
      <c r="B89" s="59" t="inlineStr">
        <is>
          <t>Asesorías en Medioambiente</t>
        </is>
      </c>
      <c r="C89" s="59" t="inlineStr">
        <is>
          <t>Santiago</t>
        </is>
      </c>
      <c r="D89" s="59" t="inlineStr">
        <is>
          <t>Investigación en Proceso</t>
        </is>
      </c>
      <c r="E89" s="59" t="n"/>
      <c r="F89" s="59" t="n"/>
      <c r="G89" s="59" t="inlineStr">
        <is>
          <t>Daniel Maturana (Jefe de TI)</t>
        </is>
      </c>
      <c r="H89" s="59" t="inlineStr">
        <is>
          <t>daturana@gac.cl</t>
        </is>
      </c>
      <c r="I89" s="63" t="n"/>
      <c r="J89" s="63" t="inlineStr">
        <is>
          <t>https://cl.linkedin.com/company/gestionambientalconsultores</t>
        </is>
      </c>
      <c r="K89" s="59" t="n"/>
      <c r="L89" s="59" t="inlineStr">
        <is>
          <t>Ventas: GRANDE 3 (600.000 - 1.000.000 UF) | Empleados: 314</t>
        </is>
      </c>
      <c r="M89" s="61" t="n"/>
      <c r="N89" s="61" t="n"/>
      <c r="O89" s="61" t="n"/>
      <c r="P89" s="61" t="n"/>
      <c r="Q89" s="61" t="n"/>
      <c r="R89" s="62" t="n"/>
      <c r="S89" s="61" t="n"/>
      <c r="T89" s="59" t="inlineStr">
        <is>
          <t>78.174.910-9</t>
        </is>
      </c>
      <c r="U89" s="59" t="inlineStr">
        <is>
          <t>(56) 2 2719 5600</t>
        </is>
      </c>
    </row>
    <row r="90" ht="15.75" customHeight="1" s="38">
      <c r="A90" s="66" t="inlineStr">
        <is>
          <t>Glencore Chile</t>
        </is>
      </c>
      <c r="B90" s="66" t="inlineStr">
        <is>
          <t>Acido Sulfúrico, Anodos de Cobre, Cátodos de Cobre</t>
        </is>
      </c>
      <c r="C90" s="66" t="inlineStr">
        <is>
          <t>Santiago</t>
        </is>
      </c>
      <c r="D90" s="66" t="inlineStr">
        <is>
          <t>Digitalización Operacional Mina</t>
        </is>
      </c>
      <c r="E90" s="66" t="inlineStr">
        <is>
          <t>LinkedIn</t>
        </is>
      </c>
      <c r="F90" s="66" t="inlineStr">
        <is>
          <t>https://cl.linkedin.com/in/javier-zamudio-2334ba2</t>
        </is>
      </c>
      <c r="G90" s="66" t="inlineStr">
        <is>
          <t>Javier Zamudio (Regional IT Leader)</t>
        </is>
      </c>
      <c r="H90" s="66" t="n"/>
      <c r="I90" s="63" t="inlineStr">
        <is>
          <t>https://cl.linkedin.com/in/javier-zamudio-2334ba2</t>
        </is>
      </c>
      <c r="J90" s="63" t="inlineStr">
        <is>
          <t>https://cl.linkedin.com/company/glencore</t>
        </is>
      </c>
      <c r="K90" s="66" t="n"/>
      <c r="L90" s="66" t="inlineStr">
        <is>
          <t>Ventas: PEQUEÑA (Estimado por Empleados) | Empleados: 50</t>
        </is>
      </c>
      <c r="M90" s="61" t="n"/>
      <c r="N90" s="61" t="n"/>
      <c r="O90" s="61" t="n"/>
      <c r="P90" s="61" t="n"/>
      <c r="Q90" s="61" t="n"/>
      <c r="R90" s="62" t="n"/>
      <c r="S90" s="61" t="n"/>
      <c r="T90" s="66" t="inlineStr">
        <is>
          <t>76.821.240-6</t>
        </is>
      </c>
      <c r="U90" s="66" t="inlineStr">
        <is>
          <t>(56) 2 2342 9000</t>
        </is>
      </c>
    </row>
    <row r="91" ht="15.75" customHeight="1" s="38">
      <c r="A91" s="59" t="inlineStr">
        <is>
          <t>Grafton Recruitment</t>
        </is>
      </c>
      <c r="B91" s="59" t="inlineStr">
        <is>
          <t>Selección y Búsqueda de Personal</t>
        </is>
      </c>
      <c r="C91" s="59" t="inlineStr">
        <is>
          <t>Santiago</t>
        </is>
      </c>
      <c r="D91" s="59" t="inlineStr">
        <is>
          <t>Investigación en Proceso</t>
        </is>
      </c>
      <c r="E91" s="59" t="n"/>
      <c r="F91" s="59" t="n"/>
      <c r="G91" s="59" t="inlineStr">
        <is>
          <t>Marcelo Muñoz (Analista TI)</t>
        </is>
      </c>
      <c r="H91" s="59" t="inlineStr">
        <is>
          <t>marcelo.munoz@grafton.cl</t>
        </is>
      </c>
      <c r="I91" s="63" t="n"/>
      <c r="J91" s="63" t="inlineStr">
        <is>
          <t>https://cl.linkedin.com/company/grupograftonlatam</t>
        </is>
      </c>
      <c r="K91" s="59" t="n"/>
      <c r="L91" s="59" t="inlineStr">
        <is>
          <t>Ventas: GRANDE 3 (600.000 - 1.000.000 UF) | Empleados: 457</t>
        </is>
      </c>
      <c r="M91" s="61" t="n"/>
      <c r="N91" s="61" t="n"/>
      <c r="O91" s="61" t="n"/>
      <c r="P91" s="61" t="n"/>
      <c r="Q91" s="61" t="n"/>
      <c r="R91" s="62" t="n"/>
      <c r="S91" s="61" t="n"/>
      <c r="T91" s="59" t="inlineStr">
        <is>
          <t>96.816.540-2</t>
        </is>
      </c>
      <c r="U91" s="59" t="inlineStr">
        <is>
          <t>(56) 2 2327 3000</t>
        </is>
      </c>
    </row>
    <row r="92" ht="15.75" customHeight="1" s="38">
      <c r="A92" s="59" t="inlineStr">
        <is>
          <t>Grandleasing</t>
        </is>
      </c>
      <c r="B92" s="59" t="inlineStr">
        <is>
          <t>Equipos de Izaje, Vehículos Eléctricos</t>
        </is>
      </c>
      <c r="C92" s="59" t="inlineStr">
        <is>
          <t>Santiago</t>
        </is>
      </c>
      <c r="D92" s="59" t="inlineStr">
        <is>
          <t>Estrategia Electromovilidad &amp; Monitoreo Telemático de Flotas</t>
        </is>
      </c>
      <c r="E92" s="59" t="inlineStr">
        <is>
          <t>LinkedIn / Jedimar</t>
        </is>
      </c>
      <c r="F92" s="59" t="inlineStr">
        <is>
          <t>https://www.revistalogistec.com/index.php/2025/02/19/entregan-flota-de-camionetas-electricas-4x4-por-primera-vez-en-chile/</t>
        </is>
      </c>
      <c r="G92" s="59" t="inlineStr">
        <is>
          <t>Marco Rojas (Jefe de TI)</t>
        </is>
      </c>
      <c r="H92" s="59" t="inlineStr">
        <is>
          <t>mrojas@grandleasing.cl</t>
        </is>
      </c>
      <c r="I92" s="63" t="inlineStr">
        <is>
          <t>https://cl.linkedin.com/in/marco-rojas-8814601aa</t>
        </is>
      </c>
      <c r="J92" s="63" t="inlineStr">
        <is>
          <t>https://cl.linkedin.com/company/sociedad-comercial-grandleasing-chile-limitada</t>
        </is>
      </c>
      <c r="K92" s="59" t="n"/>
      <c r="L92" s="59" t="inlineStr">
        <is>
          <t>Ventas: GRANDE 4 (Mas de 1.000.000 UF) | Empleados: 159</t>
        </is>
      </c>
      <c r="M92" s="61" t="n"/>
      <c r="N92" s="61" t="n"/>
      <c r="O92" s="61" t="n"/>
      <c r="P92" s="61" t="n"/>
      <c r="Q92" s="61" t="n"/>
      <c r="R92" s="62" t="n"/>
      <c r="S92" s="61" t="n"/>
      <c r="T92" s="59" t="inlineStr">
        <is>
          <t>76976580-8</t>
        </is>
      </c>
      <c r="U92" s="59" t="inlineStr">
        <is>
          <t>(56) 9 8239 3092</t>
        </is>
      </c>
    </row>
    <row r="93" ht="15.75" customHeight="1" s="38">
      <c r="A93" s="59" t="inlineStr">
        <is>
          <t>Grupo Avanza</t>
        </is>
      </c>
      <c r="B93" s="59" t="inlineStr">
        <is>
          <t>Selección de Personal</t>
        </is>
      </c>
      <c r="C93" s="59" t="inlineStr">
        <is>
          <t>Santiago</t>
        </is>
      </c>
      <c r="D93" s="59" t="inlineStr">
        <is>
          <t>Investigación en Proceso</t>
        </is>
      </c>
      <c r="E93" s="59" t="n"/>
      <c r="F93" s="59" t="n"/>
      <c r="G93" s="59" t="inlineStr">
        <is>
          <t>Carlos Recabarren (Gerente Avanza Tech)</t>
        </is>
      </c>
      <c r="H93" s="59" t="inlineStr">
        <is>
          <t>carlos.recabarren@grupoavanza.cl</t>
        </is>
      </c>
      <c r="I93" s="63" t="inlineStr">
        <is>
          <t>https://cl.linkedin.com/in/carlos-recabarren-46487627</t>
        </is>
      </c>
      <c r="J93" s="63" t="inlineStr">
        <is>
          <t>https://www.linkedin.com/company/avanza-think</t>
        </is>
      </c>
      <c r="K93" s="59" t="n"/>
      <c r="L93" s="59" t="inlineStr">
        <is>
          <t>Ventas: GRANDE 3 (600.000 - 1.000.000 UF) | Empleados: 309</t>
        </is>
      </c>
      <c r="M93" s="61" t="n"/>
      <c r="N93" s="61" t="n"/>
      <c r="O93" s="61" t="n"/>
      <c r="P93" s="61" t="n"/>
      <c r="Q93" s="61" t="n"/>
      <c r="R93" s="62" t="n"/>
      <c r="S93" s="61" t="n"/>
      <c r="T93" s="59" t="inlineStr">
        <is>
          <t>76008458-1</t>
        </is>
      </c>
      <c r="U93" s="59" t="inlineStr">
        <is>
          <t>(56) 2 2240 3963</t>
        </is>
      </c>
    </row>
    <row r="94" ht="15.75" customHeight="1" s="38">
      <c r="A94" s="59" t="inlineStr">
        <is>
          <t>Grupo Eulen Chile</t>
        </is>
      </c>
      <c r="B94" s="59" t="inlineStr">
        <is>
          <t>Servicios de Limpieza y Aseo Industrial, Servicios de Seguridad y Vigilancia</t>
        </is>
      </c>
      <c r="C94" s="59" t="inlineStr">
        <is>
          <t>Santiago</t>
        </is>
      </c>
      <c r="D94" s="59" t="inlineStr">
        <is>
          <t>Ciberseguridad &amp; IA Seguridad Inteligente</t>
        </is>
      </c>
      <c r="E94" s="59" t="n"/>
      <c r="F94" s="59" t="inlineStr">
        <is>
          <t>https://cl.linkedin.com/in/pablo-ignacio-flores-7aa484106</t>
        </is>
      </c>
      <c r="G94" s="59" t="inlineStr">
        <is>
          <t>Pablo Ignacio Flores (Gerente Op. Seg. Electrónica)</t>
        </is>
      </c>
      <c r="H94" s="59" t="n"/>
      <c r="I94" s="63" t="inlineStr">
        <is>
          <t>https://cl.linkedin.com/in/pablo-ignacio-flores-7aa484106</t>
        </is>
      </c>
      <c r="J94" s="63" t="inlineStr">
        <is>
          <t>https://cl.linkedin.com/company/grupo-eulen-chile</t>
        </is>
      </c>
      <c r="K94" s="59" t="n"/>
      <c r="L94" s="59" t="inlineStr">
        <is>
          <t>Ventas: GRANDE 2 (200.000 - 600.000 UF) | Empleados: 169</t>
        </is>
      </c>
      <c r="M94" s="61" t="n"/>
      <c r="N94" s="61" t="n"/>
      <c r="O94" s="61" t="n"/>
      <c r="P94" s="61" t="n"/>
      <c r="Q94" s="61" t="n"/>
      <c r="R94" s="62" t="n"/>
      <c r="S94" s="61" t="n"/>
      <c r="T94" s="59" t="inlineStr">
        <is>
          <t>96.997.370-7</t>
        </is>
      </c>
      <c r="U94" s="59" t="inlineStr">
        <is>
          <t>(56) 2 2685 9500</t>
        </is>
      </c>
    </row>
    <row r="95" ht="15.75" customHeight="1" s="38">
      <c r="A95" s="59" t="inlineStr">
        <is>
          <t>Grúas y Equipos Cruz del Sur</t>
        </is>
      </c>
      <c r="B95" s="59" t="inlineStr">
        <is>
          <t>Arriendo de Grúas</t>
        </is>
      </c>
      <c r="C95" s="59" t="inlineStr">
        <is>
          <t>Santiago</t>
        </is>
      </c>
      <c r="D95" s="59" t="inlineStr">
        <is>
          <t>Investigación en Proceso</t>
        </is>
      </c>
      <c r="E95" s="59" t="n"/>
      <c r="F95" s="59" t="n"/>
      <c r="G95" s="59" t="inlineStr">
        <is>
          <t>José Andrés Castro Borquez (Gerente TI Corporativo)</t>
        </is>
      </c>
      <c r="H95" s="59" t="inlineStr">
        <is>
          <t>jose.castro@cruzdelsur.cl</t>
        </is>
      </c>
      <c r="I95" s="63" t="inlineStr">
        <is>
          <t>https://cl.linkedin.com/in/jos%C3%A9-andr%C3%A3%C2%A9s-castro-borquez-0036b2225</t>
        </is>
      </c>
      <c r="J95" s="63" t="inlineStr">
        <is>
          <t>https://cl.linkedin.com/company/gruasyequiposcruzdelsur</t>
        </is>
      </c>
      <c r="K95" s="59" t="n"/>
      <c r="L95" s="59" t="inlineStr">
        <is>
          <t>Ventas: GRANDE 3 (600.000 - 1.000.000 UF) | Empleados: 278</t>
        </is>
      </c>
      <c r="M95" s="61" t="n"/>
      <c r="N95" s="61" t="n"/>
      <c r="O95" s="61" t="n"/>
      <c r="P95" s="61" t="n"/>
      <c r="Q95" s="61" t="n"/>
      <c r="R95" s="62" t="n"/>
      <c r="S95" s="61" t="n"/>
      <c r="T95" s="59" t="inlineStr">
        <is>
          <t>86.117.800-5</t>
        </is>
      </c>
      <c r="U95" s="59" t="inlineStr">
        <is>
          <t>(56) 2 2484 2100</t>
        </is>
      </c>
    </row>
    <row r="96" ht="15.75" customHeight="1" s="38">
      <c r="A96" s="59" t="inlineStr">
        <is>
          <t>HidroMobile S.A.</t>
        </is>
      </c>
      <c r="B96" s="59" t="inlineStr">
        <is>
          <t>Andamios, Plataformas Eléctricas</t>
        </is>
      </c>
      <c r="C96" s="59" t="inlineStr">
        <is>
          <t>Santiago</t>
        </is>
      </c>
      <c r="D96" s="59" t="inlineStr">
        <is>
          <t>Investigación en Proceso</t>
        </is>
      </c>
      <c r="E96" s="59" t="n"/>
      <c r="F96" s="59" t="n"/>
      <c r="G96" s="59" t="inlineStr">
        <is>
          <t>Fernando Mattus (Jefe de Sistemas Logísticos)</t>
        </is>
      </c>
      <c r="H96" s="59" t="inlineStr">
        <is>
          <t>f.mattus@hidromobile.cl</t>
        </is>
      </c>
      <c r="I96" s="63" t="inlineStr">
        <is>
          <t>https://cl.linkedin.com/in/fernando-mattus</t>
        </is>
      </c>
      <c r="J96" s="63" t="inlineStr">
        <is>
          <t>https://www.linkedin.com/company/comercial-hidromobile-s-a</t>
        </is>
      </c>
      <c r="K96" s="59" t="n"/>
      <c r="L96" s="59" t="inlineStr">
        <is>
          <t>Ventas: GRANDE 3 (600.000 - 1.000.000 UF) | Empleados: 186</t>
        </is>
      </c>
      <c r="M96" s="61" t="n"/>
      <c r="N96" s="61" t="n"/>
      <c r="O96" s="61" t="n"/>
      <c r="P96" s="61" t="n"/>
      <c r="Q96" s="61" t="n"/>
      <c r="R96" s="62" t="n"/>
      <c r="S96" s="61" t="n"/>
      <c r="T96" s="59" t="inlineStr">
        <is>
          <t>99.577.790-8</t>
        </is>
      </c>
      <c r="U96" s="59" t="inlineStr">
        <is>
          <t>(56) 9 824 1284</t>
        </is>
      </c>
    </row>
    <row r="97" ht="15.75" customHeight="1" s="38">
      <c r="A97" s="59" t="inlineStr">
        <is>
          <t>HidroTattersall</t>
        </is>
      </c>
      <c r="B97" s="59" t="inlineStr">
        <is>
          <t>Tratamiento de Riles</t>
        </is>
      </c>
      <c r="C97" s="59" t="inlineStr">
        <is>
          <t>Talagante</t>
        </is>
      </c>
      <c r="D97" s="59" t="inlineStr">
        <is>
          <t>Investigación en Proceso</t>
        </is>
      </c>
      <c r="E97" s="59" t="n"/>
      <c r="F97" s="59" t="n"/>
      <c r="G97" s="59" t="inlineStr">
        <is>
          <t>Ivan Correa (Gerente General)</t>
        </is>
      </c>
      <c r="H97" s="59" t="inlineStr">
        <is>
          <t>i.correa@hidrotattersall.cl</t>
        </is>
      </c>
      <c r="I97" s="63" t="inlineStr">
        <is>
          <t>https://cl.linkedin.com/in/ivan-correa-1a99a02a</t>
        </is>
      </c>
      <c r="J97" s="63" t="inlineStr">
        <is>
          <t>https://cl.linkedin.com/company/agroriegotattersall</t>
        </is>
      </c>
      <c r="K97" s="59" t="n"/>
      <c r="L97" s="59" t="inlineStr">
        <is>
          <t>Ventas: GRANDE 3 (600.000 - 1.000.000 UF) | Empleados: 74</t>
        </is>
      </c>
      <c r="M97" s="61" t="n"/>
      <c r="N97" s="61" t="n"/>
      <c r="O97" s="61" t="n"/>
      <c r="P97" s="61" t="n"/>
      <c r="Q97" s="61" t="n"/>
      <c r="R97" s="62" t="n"/>
      <c r="S97" s="61" t="n"/>
      <c r="T97" s="59" t="inlineStr">
        <is>
          <t>76517797-9</t>
        </is>
      </c>
      <c r="U97" s="59" t="inlineStr">
        <is>
          <t>(56) 2 3242 4001</t>
        </is>
      </c>
    </row>
    <row r="98" ht="15.75" customHeight="1" s="38">
      <c r="A98" s="59" t="inlineStr">
        <is>
          <t>Hidronor Chile</t>
        </is>
      </c>
      <c r="B98" s="59" t="inlineStr">
        <is>
          <t>Remediación y Saneamiento de Terrenos Contaminados, Revalorización Energética, Recuperación y Reciclaje de Residuos, Transporte, Tratamiento y Disposición final de Residuos</t>
        </is>
      </c>
      <c r="C98" s="59" t="inlineStr">
        <is>
          <t>Santiago</t>
        </is>
      </c>
      <c r="D98" s="59" t="inlineStr">
        <is>
          <t>Gestión Datos Medioambientales Digital</t>
        </is>
      </c>
      <c r="E98" s="59" t="n"/>
      <c r="F98" s="59" t="inlineStr">
        <is>
          <t>https://www.hidronor.cl/</t>
        </is>
      </c>
      <c r="G98" s="59" t="inlineStr">
        <is>
          <t>Jorge Stagno (Gerente General)</t>
        </is>
      </c>
      <c r="H98" s="59" t="n"/>
      <c r="I98" s="63" t="inlineStr">
        <is>
          <t>https://cl.linkedin.com/in/jorge-stagno-9a4a511a</t>
        </is>
      </c>
      <c r="J98" s="63" t="inlineStr">
        <is>
          <t>https://www.linkedin.com/company/hidronor</t>
        </is>
      </c>
      <c r="K98" s="59" t="n"/>
      <c r="L98" s="59" t="inlineStr">
        <is>
          <t>Ventas: GRANDE (Estimado por Empleados) | Empleados: 233</t>
        </is>
      </c>
      <c r="M98" s="61" t="n"/>
      <c r="N98" s="61" t="n"/>
      <c r="O98" s="61" t="n"/>
      <c r="P98" s="61" t="n"/>
      <c r="Q98" s="61" t="n"/>
      <c r="R98" s="62" t="n"/>
      <c r="S98" s="61" t="n"/>
      <c r="T98" s="59" t="inlineStr">
        <is>
          <t>96.607.990-8</t>
        </is>
      </c>
      <c r="U98" s="59" t="inlineStr">
        <is>
          <t>(56) 2 2570 5700</t>
        </is>
      </c>
    </row>
    <row r="99" ht="15.75" customHeight="1" s="38">
      <c r="A99" s="59" t="inlineStr">
        <is>
          <t>Hino Chile</t>
        </is>
      </c>
      <c r="B99" s="59" t="inlineStr">
        <is>
          <t>Camiones, Camiones Pesados para Transporte</t>
        </is>
      </c>
      <c r="C99" s="59" t="inlineStr">
        <is>
          <t>Santiago</t>
        </is>
      </c>
      <c r="D99" s="59" t="inlineStr">
        <is>
          <t>Digitalización Flotas Transporte Pesado</t>
        </is>
      </c>
      <c r="E99" s="59" t="n"/>
      <c r="F99" s="59" t="inlineStr">
        <is>
          <t>https://www.google.com/search?q=Hino+Chile+Gerente+General+LinkedIn</t>
        </is>
      </c>
      <c r="G99" s="59" t="inlineStr">
        <is>
          <t>Antonio Belart Fabbri (Gerente General)</t>
        </is>
      </c>
      <c r="H99" s="59" t="n"/>
      <c r="I99" s="63" t="inlineStr">
        <is>
          <t>https://cl.linkedin.com/in/antoniobelartfabbri</t>
        </is>
      </c>
      <c r="J99" s="63" t="inlineStr">
        <is>
          <t>https://cl.linkedin.com/company/hino-chile-s.a.</t>
        </is>
      </c>
      <c r="K99" s="59" t="n"/>
      <c r="L99" s="59" t="inlineStr">
        <is>
          <t>Ventas: GRANDE 2 (200.000 - 600.000 UF) | Empleados: 10</t>
        </is>
      </c>
      <c r="M99" s="61" t="n"/>
      <c r="N99" s="61" t="n"/>
      <c r="O99" s="61" t="n"/>
      <c r="P99" s="61" t="n"/>
      <c r="Q99" s="61" t="n"/>
      <c r="R99" s="62" t="n"/>
      <c r="S99" s="61" t="n"/>
      <c r="T99" s="59" t="inlineStr">
        <is>
          <t>76.141.853-K</t>
        </is>
      </c>
      <c r="U99" s="59" t="inlineStr">
        <is>
          <t>600 600 2112</t>
        </is>
      </c>
    </row>
    <row r="100" ht="15.75" customHeight="1" s="38">
      <c r="A100" s="59" t="inlineStr">
        <is>
          <t>Hytera Chile</t>
        </is>
      </c>
      <c r="B100" s="59" t="inlineStr">
        <is>
          <t>Radiocomunicaciones, Soluciones de LTE Privado</t>
        </is>
      </c>
      <c r="C100" s="59" t="inlineStr">
        <is>
          <t>Santiago</t>
        </is>
      </c>
      <c r="D100" s="59" t="inlineStr">
        <is>
          <t>Comunicaciones Críticas (TETRA/DMR) Minería</t>
        </is>
      </c>
      <c r="E100" s="59" t="n"/>
      <c r="F100" s="59" t="inlineStr">
        <is>
          <t>https://cl.linkedin.com/in/claudio-l%C3%B3pez-410a654a</t>
        </is>
      </c>
      <c r="G100" s="59" t="inlineStr">
        <is>
          <t>Claudio López (Ingeniero Superior Campo)</t>
        </is>
      </c>
      <c r="H100" s="59" t="n"/>
      <c r="I100" s="63" t="inlineStr">
        <is>
          <t>https://cl.linkedin.com/in/claudio-l%C3%B3pez-410a654a</t>
        </is>
      </c>
      <c r="J100" s="63" t="inlineStr">
        <is>
          <t>https://cl.linkedin.com/company/hytera</t>
        </is>
      </c>
      <c r="K100" s="59" t="n"/>
      <c r="L100" s="59" t="inlineStr">
        <is>
          <t>Ventas: GRANDE 2 (200.000 - 600.000 UF) | Empleados: 37</t>
        </is>
      </c>
      <c r="M100" s="61" t="n"/>
      <c r="N100" s="61" t="n"/>
      <c r="O100" s="61" t="n"/>
      <c r="P100" s="61" t="n"/>
      <c r="Q100" s="61" t="n"/>
      <c r="R100" s="62" t="n"/>
      <c r="S100" s="61" t="n"/>
      <c r="T100" s="59" t="inlineStr">
        <is>
          <t>76.825.305-6</t>
        </is>
      </c>
      <c r="U100" s="59" t="inlineStr">
        <is>
          <t>(56) 9 3299 4410</t>
        </is>
      </c>
    </row>
    <row r="101" ht="15.75" customHeight="1" s="38">
      <c r="A101" s="59" t="inlineStr">
        <is>
          <t>Icheck Cargo International Logistics</t>
        </is>
      </c>
      <c r="B101" s="59" t="inlineStr">
        <is>
          <t>Agencias de Carga, Transporte Internacional</t>
        </is>
      </c>
      <c r="C101" s="59" t="inlineStr">
        <is>
          <t>Santiago</t>
        </is>
      </c>
      <c r="D101" s="59" t="inlineStr">
        <is>
          <t>Expansión Operaciones Freight Forwarding</t>
        </is>
      </c>
      <c r="E101" s="59" t="n"/>
      <c r="F101" s="59" t="inlineStr">
        <is>
          <t>https://cl.linkedin.com/in/ingrid-montecino-diaz-5a95b024</t>
        </is>
      </c>
      <c r="G101" s="59" t="inlineStr">
        <is>
          <t>Ingrid Montecino Diaz (CEO &amp; Co-Founder)</t>
        </is>
      </c>
      <c r="H101" s="59" t="n"/>
      <c r="I101" s="63" t="inlineStr">
        <is>
          <t>https://cl.linkedin.com/in/ingrid-montecino-diaz-5a95b024</t>
        </is>
      </c>
      <c r="J101" s="63" t="inlineStr">
        <is>
          <t>https://cl.linkedin.com/company/icheck-cargo-international-logistics</t>
        </is>
      </c>
      <c r="K101" s="59" t="n"/>
      <c r="L101" s="59" t="inlineStr">
        <is>
          <t>Ventas: GRANDE 2 (200.000 - 600.000 UF) | Empleados: 22</t>
        </is>
      </c>
      <c r="M101" s="61" t="n"/>
      <c r="N101" s="61" t="n"/>
      <c r="O101" s="61" t="n"/>
      <c r="P101" s="61" t="n"/>
      <c r="Q101" s="61" t="n"/>
      <c r="R101" s="62" t="n"/>
      <c r="S101" s="61" t="n"/>
      <c r="T101" s="59" t="inlineStr">
        <is>
          <t>76.962.899-1</t>
        </is>
      </c>
      <c r="U101" s="59" t="inlineStr">
        <is>
          <t>(56) 2 2822 6360</t>
        </is>
      </c>
    </row>
    <row r="102" ht="15.75" customHeight="1" s="38">
      <c r="A102" s="59" t="inlineStr">
        <is>
          <t>Ienlace SpA</t>
        </is>
      </c>
      <c r="B102" s="59" t="inlineStr">
        <is>
          <t>Circuitos Cerrados de Televisión (CCTV), Sistemas para Detección y Extinción de Incendios</t>
        </is>
      </c>
      <c r="C102" s="59" t="inlineStr">
        <is>
          <t>Santiago</t>
        </is>
      </c>
      <c r="D102" s="59" t="inlineStr">
        <is>
          <t>Ingeniería Seguridad Electrónica &amp; Incendio</t>
        </is>
      </c>
      <c r="E102" s="59" t="n"/>
      <c r="F102" s="59" t="inlineStr">
        <is>
          <t>https://cl.linkedin.com/in/eduardo-vial-lavin-61016710</t>
        </is>
      </c>
      <c r="G102" s="59" t="inlineStr">
        <is>
          <t>Eduardo Vial Lavin (Gerente General)</t>
        </is>
      </c>
      <c r="H102" s="59" t="n"/>
      <c r="I102" s="63" t="inlineStr">
        <is>
          <t>https://cl.linkedin.com/in/eduardo-vial-lavin-61016710</t>
        </is>
      </c>
      <c r="J102" s="63" t="inlineStr">
        <is>
          <t>https://cl.linkedin.com/company/ingenieriaenlace</t>
        </is>
      </c>
      <c r="K102" s="59" t="n"/>
      <c r="L102" s="59" t="inlineStr">
        <is>
          <t>Ventas: GRANDE 2 (200.000 - 600.000 UF) | Empleados: 149</t>
        </is>
      </c>
      <c r="M102" s="61" t="n"/>
      <c r="N102" s="61" t="n"/>
      <c r="O102" s="61" t="n"/>
      <c r="P102" s="61" t="n"/>
      <c r="Q102" s="61" t="n"/>
      <c r="R102" s="62" t="n"/>
      <c r="S102" s="61" t="n"/>
      <c r="T102" s="59" t="inlineStr">
        <is>
          <t>76.084.932-4</t>
        </is>
      </c>
      <c r="U102" s="59" t="inlineStr">
        <is>
          <t>(56) 2 2951 6933</t>
        </is>
      </c>
    </row>
    <row r="103" ht="15.75" customHeight="1" s="38">
      <c r="A103" s="59" t="inlineStr">
        <is>
          <t>Indemin S.A.</t>
        </is>
      </c>
      <c r="B103" s="59" t="inlineStr">
        <is>
          <t>Transferencia de Materiales</t>
        </is>
      </c>
      <c r="C103" s="59" t="inlineStr">
        <is>
          <t>Viña del Mar</t>
        </is>
      </c>
      <c r="D103" s="59" t="inlineStr">
        <is>
          <t>Software Gestión Mantenimiento Palas</t>
        </is>
      </c>
      <c r="E103" s="59" t="n"/>
      <c r="F103" s="59" t="inlineStr">
        <is>
          <t>https://indemin.com/</t>
        </is>
      </c>
      <c r="G103" s="59" t="inlineStr">
        <is>
          <t>Gerente de Servicios Mineros (Gerente Servicios)</t>
        </is>
      </c>
      <c r="H103" s="59" t="n"/>
      <c r="I103" s="63" t="n"/>
      <c r="J103" s="63" t="inlineStr">
        <is>
          <t>https://cl.linkedin.com/company/indeminspa</t>
        </is>
      </c>
      <c r="K103" s="59" t="n"/>
      <c r="L103" s="59" t="inlineStr">
        <is>
          <t>Ventas: GRANDE 3 (600.000 - 1.000.000 UF) | Empleados: 411</t>
        </is>
      </c>
      <c r="M103" s="61" t="n"/>
      <c r="N103" s="61" t="n"/>
      <c r="O103" s="61" t="n"/>
      <c r="P103" s="61" t="n"/>
      <c r="Q103" s="61" t="n"/>
      <c r="R103" s="62" t="n"/>
      <c r="S103" s="61" t="n"/>
      <c r="T103" s="59" t="inlineStr">
        <is>
          <t>96.931.410-K</t>
        </is>
      </c>
      <c r="U103" s="59" t="inlineStr">
        <is>
          <t>(56) 32 299 0877</t>
        </is>
      </c>
    </row>
    <row r="104" ht="15.75" customHeight="1" s="38">
      <c r="A104" s="59" t="inlineStr">
        <is>
          <t>Ipacer S.A.</t>
        </is>
      </c>
      <c r="B104" s="59" t="inlineStr">
        <is>
          <t>Aceros, Aceros Galvanizados</t>
        </is>
      </c>
      <c r="C104" s="59" t="inlineStr">
        <is>
          <t>Santiago</t>
        </is>
      </c>
      <c r="D104" s="59" t="inlineStr">
        <is>
          <t>Modernización Supply Chain Acero</t>
        </is>
      </c>
      <c r="E104" s="59" t="n"/>
      <c r="F104" s="59" t="inlineStr">
        <is>
          <t>https://www.ipacer.cl/</t>
        </is>
      </c>
      <c r="G104" s="59" t="inlineStr">
        <is>
          <t>Marco González (Gerente Comercial)</t>
        </is>
      </c>
      <c r="H104" s="59" t="n"/>
      <c r="I104" s="63" t="inlineStr">
        <is>
          <t>https://cl.linkedin.com/in/marco-gonzalez-16346714</t>
        </is>
      </c>
      <c r="J104" s="63" t="inlineStr">
        <is>
          <t>https://cl.linkedin.com/company/ipacerchile</t>
        </is>
      </c>
      <c r="K104" s="59" t="n"/>
      <c r="L104" s="59" t="inlineStr">
        <is>
          <t>Ventas: GRANDE 3 (600.000 - 1.000.000 UF) | Empleados: 60</t>
        </is>
      </c>
      <c r="M104" s="61" t="n"/>
      <c r="N104" s="61" t="n"/>
      <c r="O104" s="61" t="n"/>
      <c r="P104" s="61" t="n"/>
      <c r="Q104" s="61" t="n"/>
      <c r="R104" s="62" t="n"/>
      <c r="S104" s="61" t="n"/>
      <c r="T104" s="59" t="inlineStr">
        <is>
          <t>99.510.380-K</t>
        </is>
      </c>
      <c r="U104" s="59" t="inlineStr">
        <is>
          <t>(56) 2 2859 9000</t>
        </is>
      </c>
    </row>
    <row r="105" ht="15.75" customHeight="1" s="38">
      <c r="A105" s="59" t="inlineStr">
        <is>
          <t>Iron Mountain</t>
        </is>
      </c>
      <c r="B105" s="59" t="inlineStr">
        <is>
          <t>Almacenamiento y Custodia de Documentos, Digitalización de Documentos y Planos</t>
        </is>
      </c>
      <c r="C105" s="59" t="inlineStr">
        <is>
          <t>Santiago</t>
        </is>
      </c>
      <c r="D105" s="59" t="inlineStr">
        <is>
          <t>Custodia Digital</t>
        </is>
      </c>
      <c r="E105" s="59" t="inlineStr">
        <is>
          <t>LinkedIn</t>
        </is>
      </c>
      <c r="F105" s="59" t="inlineStr">
        <is>
          <t>https://www.ironmountain.com/es-cl/servicios/digitalizacion-y-escaneo</t>
        </is>
      </c>
      <c r="G105" s="59" t="inlineStr">
        <is>
          <t>Manuel Carrasco Labrín (IT Manager LATAM)</t>
        </is>
      </c>
      <c r="H105" s="59" t="inlineStr">
        <is>
          <t>manuel.carrasco@ironmountain.cl</t>
        </is>
      </c>
      <c r="I105" s="63" t="inlineStr">
        <is>
          <t>https://cl.linkedin.com/in/manuel-alejandro-carrasco-labr%C3%ADn-28826121a</t>
        </is>
      </c>
      <c r="J105" s="63" t="inlineStr">
        <is>
          <t>https://www.linkedin.com/company/iron-mountain</t>
        </is>
      </c>
      <c r="K105" s="59" t="n"/>
      <c r="L105" s="59" t="inlineStr">
        <is>
          <t>Ventas: GRANDE 4 (Mas de 1.000.000 UF) | Empleados: 324</t>
        </is>
      </c>
      <c r="M105" s="61" t="n"/>
      <c r="N105" s="61" t="n"/>
      <c r="O105" s="61" t="n"/>
      <c r="P105" s="61" t="n"/>
      <c r="Q105" s="61" t="n"/>
      <c r="R105" s="62" t="n"/>
      <c r="S105" s="61" t="n"/>
      <c r="T105" s="59" t="inlineStr">
        <is>
          <t>96.756.680-2</t>
        </is>
      </c>
      <c r="U105" s="59" t="inlineStr">
        <is>
          <t>(56) 2 2395 7000</t>
        </is>
      </c>
    </row>
    <row r="106" ht="15.75" customHeight="1" s="38">
      <c r="A106" s="59" t="inlineStr">
        <is>
          <t>Isoplast SpA</t>
        </is>
      </c>
      <c r="B106" s="59" t="inlineStr">
        <is>
          <t>Aislantes Térmicos, Plásticos</t>
        </is>
      </c>
      <c r="C106" s="59" t="inlineStr">
        <is>
          <t>Santiago</t>
        </is>
      </c>
      <c r="D106" s="59" t="inlineStr">
        <is>
          <t>Optimización Procesos Empaque &amp; Construcción</t>
        </is>
      </c>
      <c r="E106" s="59" t="n"/>
      <c r="F106" s="59" t="inlineStr">
        <is>
          <t>https://cl.linkedin.com/in/sergio-javier-mart%C3%ADnez-vizcarra-b768b01b</t>
        </is>
      </c>
      <c r="G106" s="59" t="inlineStr">
        <is>
          <t>Sergio Javier Martínez Vizcarra (Gerente Operaciones)</t>
        </is>
      </c>
      <c r="H106" s="59" t="n"/>
      <c r="I106" s="63" t="inlineStr">
        <is>
          <t>https://cl.linkedin.com/in/sergio-javier-mart%C3%ADnez-vizcarra-b768b01b</t>
        </is>
      </c>
      <c r="J106" s="63" t="inlineStr">
        <is>
          <t>https://cl.linkedin.com/company/isoplastchile</t>
        </is>
      </c>
      <c r="K106" s="59" t="n"/>
      <c r="L106" s="59" t="inlineStr">
        <is>
          <t>Ventas: GRANDE 2 (200.000 - 600.000 UF) | Empleados: 51</t>
        </is>
      </c>
      <c r="M106" s="61" t="n"/>
      <c r="N106" s="61" t="n"/>
      <c r="O106" s="61" t="n"/>
      <c r="P106" s="61" t="n"/>
      <c r="Q106" s="61" t="n"/>
      <c r="R106" s="62" t="n"/>
      <c r="S106" s="61" t="n"/>
      <c r="T106" s="59" t="inlineStr">
        <is>
          <t>96.779.170-9</t>
        </is>
      </c>
      <c r="U106" s="59" t="inlineStr">
        <is>
          <t>(56) 2 2275 2511</t>
        </is>
      </c>
    </row>
    <row r="107" ht="15.75" customHeight="1" s="38">
      <c r="A107" s="59" t="inlineStr">
        <is>
          <t>Itasca S.A.</t>
        </is>
      </c>
      <c r="B107" s="59" t="inlineStr">
        <is>
          <t>Consultoría en Hidrogeología, Consultoría en Ingeniería Geotécnica</t>
        </is>
      </c>
      <c r="C107" s="59" t="inlineStr">
        <is>
          <t>Santiago</t>
        </is>
      </c>
      <c r="D107" s="59" t="inlineStr">
        <is>
          <t>Ingeniería Geotécnica &amp; Mecánica Rocas</t>
        </is>
      </c>
      <c r="E107" s="59" t="n"/>
      <c r="F107" s="59" t="inlineStr">
        <is>
          <t>https://cl.linkedin.com/in/martinbrownrocks</t>
        </is>
      </c>
      <c r="G107" s="59" t="inlineStr">
        <is>
          <t>Martin Brown (Gerente General)</t>
        </is>
      </c>
      <c r="H107" s="59" t="n"/>
      <c r="I107" s="63" t="inlineStr">
        <is>
          <t>https://cl.linkedin.com/in/martin-brown-5290b232</t>
        </is>
      </c>
      <c r="J107" s="63" t="inlineStr">
        <is>
          <t>https://cl.linkedin.com/company/itasca-chile</t>
        </is>
      </c>
      <c r="K107" s="59" t="n"/>
      <c r="L107" s="59" t="inlineStr">
        <is>
          <t>Ventas: GRANDE 2 (200.000 - 600.000 UF) | Empleados: 75</t>
        </is>
      </c>
      <c r="M107" s="61" t="n"/>
      <c r="N107" s="61" t="n"/>
      <c r="O107" s="61" t="n"/>
      <c r="P107" s="61" t="n"/>
      <c r="Q107" s="61" t="n"/>
      <c r="R107" s="62" t="n"/>
      <c r="S107" s="61" t="n"/>
      <c r="T107" s="59" t="inlineStr">
        <is>
          <t>96.684.920-7</t>
        </is>
      </c>
      <c r="U107" s="59" t="inlineStr">
        <is>
          <t>(56) 2 2434 1300</t>
        </is>
      </c>
    </row>
    <row r="108" ht="15.75" customHeight="1" s="38">
      <c r="A108" s="59" t="inlineStr">
        <is>
          <t>Johnson Controls Chile S.A.</t>
        </is>
      </c>
      <c r="B108" s="59" t="inlineStr">
        <is>
          <t>Clima y Refrigeración, Sistemas para Detección de Incendios</t>
        </is>
      </c>
      <c r="C108" s="59" t="inlineStr">
        <is>
          <t>Santiago</t>
        </is>
      </c>
      <c r="D108" s="59" t="inlineStr">
        <is>
          <t>Investigación en Proceso</t>
        </is>
      </c>
      <c r="E108" s="59" t="n"/>
      <c r="F108" s="59" t="n"/>
      <c r="G108" s="59" t="inlineStr">
        <is>
          <t>Mauricio Morales (Jefe de Sistemas Chile)</t>
        </is>
      </c>
      <c r="H108" s="59" t="inlineStr">
        <is>
          <t>mauricio.morales@jci.com</t>
        </is>
      </c>
      <c r="I108" s="63" t="inlineStr">
        <is>
          <t>https://cl.linkedin.com/in/mauricio-morales-berrios-41bb6233</t>
        </is>
      </c>
      <c r="J108" s="63" t="inlineStr">
        <is>
          <t>https://cl.linkedin.com/company/johnson-controls</t>
        </is>
      </c>
      <c r="K108" s="59" t="n"/>
      <c r="L108" s="59" t="inlineStr">
        <is>
          <t>Ventas: GRANDE 3 (600.000 - 1.000.000 UF) | Empleados: 103</t>
        </is>
      </c>
      <c r="M108" s="61" t="n"/>
      <c r="N108" s="61" t="n"/>
      <c r="O108" s="61" t="n"/>
      <c r="P108" s="61" t="n"/>
      <c r="Q108" s="61" t="n"/>
      <c r="R108" s="62" t="n"/>
      <c r="S108" s="61" t="n"/>
      <c r="T108" s="59" t="inlineStr">
        <is>
          <t>96.624.630-8</t>
        </is>
      </c>
      <c r="U108" s="59" t="inlineStr">
        <is>
          <t>(56) 2 2834 7300</t>
        </is>
      </c>
    </row>
    <row r="109" ht="15.75" customHeight="1" s="38">
      <c r="A109" s="59" t="inlineStr">
        <is>
          <t>Jomial Ltda.</t>
        </is>
      </c>
      <c r="B109" s="59" t="inlineStr">
        <is>
          <t>Correas para Transmisión de Potencia</t>
        </is>
      </c>
      <c r="C109" s="59" t="inlineStr">
        <is>
          <t>Santiago</t>
        </is>
      </c>
      <c r="D109" s="59" t="inlineStr">
        <is>
          <t>Digitalización Equipos Servicio Minería</t>
        </is>
      </c>
      <c r="E109" s="59" t="n"/>
      <c r="F109" s="59" t="inlineStr">
        <is>
          <t>https://www.scribd.com/document/427587010/BBDD-Comercial-Daniel-Aravena</t>
        </is>
      </c>
      <c r="G109" s="59" t="inlineStr">
        <is>
          <t>José Marilaf (Director Soluciones)</t>
        </is>
      </c>
      <c r="H109" s="59" t="n"/>
      <c r="I109" s="63" t="n"/>
      <c r="J109" s="63" t="inlineStr">
        <is>
          <t>https://cl.linkedin.com/company/importadora-jomial-ltda.</t>
        </is>
      </c>
      <c r="K109" s="59" t="n"/>
      <c r="L109" s="59" t="inlineStr">
        <is>
          <t>Ventas: GRANDE 2 (200.000 - 600.000 UF) | Empleados: 67</t>
        </is>
      </c>
      <c r="M109" s="61" t="n"/>
      <c r="N109" s="61" t="n"/>
      <c r="O109" s="61" t="n"/>
      <c r="P109" s="61" t="n"/>
      <c r="Q109" s="61" t="n"/>
      <c r="R109" s="62" t="n"/>
      <c r="S109" s="61" t="n"/>
      <c r="T109" s="59" t="inlineStr">
        <is>
          <t>76.451.155-7</t>
        </is>
      </c>
      <c r="U109" s="59" t="inlineStr">
        <is>
          <t>(56) 2 3273 1901</t>
        </is>
      </c>
    </row>
    <row r="110" ht="15.75" customHeight="1" s="38">
      <c r="A110" s="59" t="inlineStr">
        <is>
          <t>Jorpa Ingeniería S.A.</t>
        </is>
      </c>
      <c r="B110" s="59" t="inlineStr">
        <is>
          <t>Transformadores de Poder, Transformadores para Rectificadores</t>
        </is>
      </c>
      <c r="C110" s="59" t="inlineStr">
        <is>
          <t>Santiago</t>
        </is>
      </c>
      <c r="D110" s="59" t="inlineStr">
        <is>
          <t>Mantenimiento Digital Activos Eléctricos</t>
        </is>
      </c>
      <c r="E110" s="59" t="n"/>
      <c r="F110" s="59" t="inlineStr">
        <is>
          <t>https://cl.linkedin.com/in/jos%C3%A9-montes-riquelme-95a853a3</t>
        </is>
      </c>
      <c r="G110" s="59" t="inlineStr">
        <is>
          <t>José Montes Riquelme (Gerente Operaciones)</t>
        </is>
      </c>
      <c r="H110" s="59" t="n"/>
      <c r="I110" s="63" t="inlineStr">
        <is>
          <t>https://cl.linkedin.com/in/jose-montes-riquelme-7b0b6b107</t>
        </is>
      </c>
      <c r="J110" s="63" t="inlineStr">
        <is>
          <t>https://cl.linkedin.com/company/jorpa-ingenieria-s-a-</t>
        </is>
      </c>
      <c r="K110" s="59" t="n"/>
      <c r="L110" s="59" t="inlineStr">
        <is>
          <t>Ventas: GRANDE 2 (200.000 - 600.000 UF) | Empleados: 87</t>
        </is>
      </c>
      <c r="M110" s="61" t="n"/>
      <c r="N110" s="61" t="n"/>
      <c r="O110" s="61" t="n"/>
      <c r="P110" s="61" t="n"/>
      <c r="Q110" s="61" t="n"/>
      <c r="R110" s="62" t="n"/>
      <c r="S110" s="61" t="n"/>
      <c r="T110" s="59" t="inlineStr">
        <is>
          <t>96.866.400-K</t>
        </is>
      </c>
      <c r="U110" s="59" t="inlineStr">
        <is>
          <t>(56) 2 2959 8900</t>
        </is>
      </c>
    </row>
    <row r="111" ht="15.75" customHeight="1" s="38">
      <c r="A111" s="59" t="inlineStr">
        <is>
          <t>Keepex</t>
        </is>
      </c>
      <c r="B111" s="59" t="inlineStr">
        <is>
          <t>Plantas Industriales, Tratamiento de Aguas Residuales</t>
        </is>
      </c>
      <c r="C111" s="59" t="inlineStr">
        <is>
          <t>Puerto Varas</t>
        </is>
      </c>
      <c r="D111" s="59" t="inlineStr">
        <is>
          <t>Investigación en Proceso</t>
        </is>
      </c>
      <c r="E111" s="59" t="n"/>
      <c r="F111" s="59" t="n"/>
      <c r="G111" s="59" t="inlineStr">
        <is>
          <t>Camilo Andrés Concha Sermini (Innovation &amp; Development Manager)</t>
        </is>
      </c>
      <c r="H111" s="59" t="inlineStr">
        <is>
          <t>camilo.concha@keepex.cl</t>
        </is>
      </c>
      <c r="I111" s="63" t="inlineStr">
        <is>
          <t>https://cl.linkedin.com/in/camilo-andr%C3%A9s-concha-sermini-9783a017</t>
        </is>
      </c>
      <c r="J111" s="63" t="inlineStr">
        <is>
          <t>https://cl.linkedin.com/company/keepex</t>
        </is>
      </c>
      <c r="K111" s="59" t="n"/>
      <c r="L111" s="59" t="inlineStr">
        <is>
          <t>Ventas: GRANDE 3 (600.000 - 1.000.000 UF) | Empleados: 105</t>
        </is>
      </c>
      <c r="M111" s="61" t="n"/>
      <c r="N111" s="61" t="n"/>
      <c r="O111" s="61" t="n"/>
      <c r="P111" s="61" t="n"/>
      <c r="Q111" s="61" t="n"/>
      <c r="R111" s="62" t="n"/>
      <c r="S111" s="61" t="n"/>
      <c r="T111" s="59" t="inlineStr">
        <is>
          <t>76035937-8</t>
        </is>
      </c>
      <c r="U111" s="59" t="inlineStr">
        <is>
          <t>(56) 9 8233 9172</t>
        </is>
      </c>
    </row>
    <row r="112" ht="15.75" customHeight="1" s="38">
      <c r="A112" s="59" t="inlineStr">
        <is>
          <t>Kibernum S.A.</t>
        </is>
      </c>
      <c r="B112" s="59" t="inlineStr">
        <is>
          <t>Servicios Informáticos</t>
        </is>
      </c>
      <c r="C112" s="59" t="inlineStr">
        <is>
          <t>Santiago</t>
        </is>
      </c>
      <c r="D112" s="59" t="inlineStr">
        <is>
          <t>Ampliación IT Academy &amp; Reskilling IA 2025</t>
        </is>
      </c>
      <c r="E112" s="59" t="inlineStr">
        <is>
          <t>TrendTIC / Kibernum.com</t>
        </is>
      </c>
      <c r="F112" s="59" t="inlineStr">
        <is>
          <t>https://kibernumitacademy.com/</t>
        </is>
      </c>
      <c r="G112" s="59" t="inlineStr">
        <is>
          <t>Christian Cancino (CTO)</t>
        </is>
      </c>
      <c r="H112" s="59" t="inlineStr">
        <is>
          <t>ccancino@kibernum.com</t>
        </is>
      </c>
      <c r="I112" s="63" t="inlineStr">
        <is>
          <t>https://cl.linkedin.com/in/christiancancino</t>
        </is>
      </c>
      <c r="J112" s="63" t="inlineStr">
        <is>
          <t>https://cl.linkedin.com/company/kibernum-s-a-</t>
        </is>
      </c>
      <c r="K112" s="59" t="n"/>
      <c r="L112" s="59" t="inlineStr">
        <is>
          <t>Ventas: GRANDE 4 (Mas de 1.000.000 UF) | Empleados: 1434</t>
        </is>
      </c>
      <c r="M112" s="61" t="n"/>
      <c r="N112" s="61" t="n"/>
      <c r="O112" s="61" t="n"/>
      <c r="P112" s="61" t="n"/>
      <c r="Q112" s="61" t="n"/>
      <c r="R112" s="62" t="n"/>
      <c r="S112" s="61" t="n"/>
      <c r="T112" s="59" t="inlineStr">
        <is>
          <t>96.616.770-K</t>
        </is>
      </c>
      <c r="U112" s="59" t="inlineStr">
        <is>
          <t>(56) 2 2816 3600</t>
        </is>
      </c>
    </row>
    <row r="113" ht="15.75" customHeight="1" s="38">
      <c r="A113" s="59" t="inlineStr">
        <is>
          <t>Kinross Minera de Chile</t>
        </is>
      </c>
      <c r="B113" s="59" t="inlineStr">
        <is>
          <t>Cobre</t>
        </is>
      </c>
      <c r="C113" s="59" t="inlineStr">
        <is>
          <t>Copiapó</t>
        </is>
      </c>
      <c r="D113" s="59" t="inlineStr">
        <is>
          <t>Investigación en Proceso</t>
        </is>
      </c>
      <c r="E113" s="59" t="n"/>
      <c r="F113" s="59" t="n"/>
      <c r="G113" s="59" t="inlineStr">
        <is>
          <t>Felipe Gonzalo Barraza Abalos (Supervisor Soporte IT)</t>
        </is>
      </c>
      <c r="H113" s="59" t="inlineStr">
        <is>
          <t>felipe.barraza@kinross.com</t>
        </is>
      </c>
      <c r="I113" s="63" t="inlineStr">
        <is>
          <t>https://cl.linkedin.com/in/felipe-barraza-abalos-46ba0650</t>
        </is>
      </c>
      <c r="J113" s="63" t="inlineStr">
        <is>
          <t>https://cl.linkedin.com/company/kinross-chile</t>
        </is>
      </c>
      <c r="K113" s="59" t="n"/>
      <c r="L113" s="59" t="inlineStr">
        <is>
          <t>Ventas: GRANDE 3 (600.000 - 1.000.000 UF) | Empleados: 43</t>
        </is>
      </c>
      <c r="M113" s="61" t="n"/>
      <c r="N113" s="61" t="n"/>
      <c r="O113" s="61" t="n"/>
      <c r="P113" s="61" t="n"/>
      <c r="Q113" s="61" t="n"/>
      <c r="R113" s="62" t="n"/>
      <c r="S113" s="61" t="n"/>
      <c r="T113" s="59" t="inlineStr">
        <is>
          <t>76.028.345-2</t>
        </is>
      </c>
      <c r="U113" s="59" t="inlineStr">
        <is>
          <t>(56) 52 252 3402</t>
        </is>
      </c>
    </row>
    <row r="114" ht="15.75" customHeight="1" s="38">
      <c r="A114" s="59" t="inlineStr">
        <is>
          <t>Knight Piésold Consulting</t>
        </is>
      </c>
      <c r="B114" s="59" t="inlineStr">
        <is>
          <t>Auditoría Medioambiental, Diseño de Pilas de Lixiviación</t>
        </is>
      </c>
      <c r="C114" s="59" t="inlineStr">
        <is>
          <t>Santiago</t>
        </is>
      </c>
      <c r="D114" s="59" t="inlineStr">
        <is>
          <t>Investigación en Proceso</t>
        </is>
      </c>
      <c r="E114" s="59" t="n"/>
      <c r="F114" s="59" t="n"/>
      <c r="G114" s="59" t="inlineStr">
        <is>
          <t>Andoni Sagardia Hidalgo (Encargado de TI)</t>
        </is>
      </c>
      <c r="H114" s="59" t="inlineStr">
        <is>
          <t>andoni.sagardia@knightpiesold.com</t>
        </is>
      </c>
      <c r="I114" s="63" t="inlineStr">
        <is>
          <t>https://cl.linkedin.com/in/andoni-sagardia-hidalgo-12828b3b</t>
        </is>
      </c>
      <c r="J114" s="63" t="inlineStr">
        <is>
          <t>https://cl.linkedin.com/company/knight-piesold</t>
        </is>
      </c>
      <c r="K114" s="59" t="n"/>
      <c r="L114" s="59" t="inlineStr">
        <is>
          <t>Ventas: GRANDE 3 (600.000 - 1.000.000 UF) | Empleados: 107</t>
        </is>
      </c>
      <c r="M114" s="61" t="n"/>
      <c r="N114" s="61" t="n"/>
      <c r="O114" s="61" t="n"/>
      <c r="P114" s="61" t="n"/>
      <c r="Q114" s="61" t="n"/>
      <c r="R114" s="62" t="n"/>
      <c r="S114" s="61" t="n"/>
      <c r="T114" s="59" t="inlineStr">
        <is>
          <t>96.680.350-9</t>
        </is>
      </c>
      <c r="U114" s="59" t="inlineStr">
        <is>
          <t>(56) 2 2594 6400</t>
        </is>
      </c>
    </row>
    <row r="115" ht="15.75" customHeight="1" s="38">
      <c r="A115" s="59" t="inlineStr">
        <is>
          <t>Krontec SpA</t>
        </is>
      </c>
      <c r="B115" s="59" t="inlineStr">
        <is>
          <t>Automatización, Sistemas para Control</t>
        </is>
      </c>
      <c r="C115" s="59" t="inlineStr">
        <is>
          <t>Santiago</t>
        </is>
      </c>
      <c r="D115" s="59" t="inlineStr">
        <is>
          <t>Investigación en Proceso</t>
        </is>
      </c>
      <c r="E115" s="59" t="n"/>
      <c r="F115" s="59" t="n"/>
      <c r="G115" s="59" t="inlineStr">
        <is>
          <t>Guido Donoso (General Manager)</t>
        </is>
      </c>
      <c r="H115" s="59" t="inlineStr">
        <is>
          <t>gdonoso@krontec.cl</t>
        </is>
      </c>
      <c r="I115" s="63" t="n"/>
      <c r="J115" s="63" t="inlineStr">
        <is>
          <t>https://cl.linkedin.com/company/krontec</t>
        </is>
      </c>
      <c r="K115" s="59" t="n"/>
      <c r="L115" s="59" t="inlineStr">
        <is>
          <t>Ventas: GRANDE 3 (600.000 - 1.000.000 UF) | Empleados: 89</t>
        </is>
      </c>
      <c r="M115" s="61" t="n"/>
      <c r="N115" s="61" t="n"/>
      <c r="O115" s="61" t="n"/>
      <c r="P115" s="61" t="n"/>
      <c r="Q115" s="61" t="n"/>
      <c r="R115" s="62" t="n"/>
      <c r="S115" s="61" t="n"/>
      <c r="T115" s="59" t="inlineStr">
        <is>
          <t>76.019.921-4</t>
        </is>
      </c>
      <c r="U115" s="59" t="inlineStr">
        <is>
          <t>(56) 2 2234 1509</t>
        </is>
      </c>
    </row>
    <row r="116" ht="15.75" customHeight="1" s="38">
      <c r="A116" s="59" t="inlineStr">
        <is>
          <t>Lamaignere Chile S.A.</t>
        </is>
      </c>
      <c r="B116" s="59" t="inlineStr">
        <is>
          <t>Servicios Logísticos</t>
        </is>
      </c>
      <c r="C116" s="59" t="inlineStr">
        <is>
          <t>Santiago</t>
        </is>
      </c>
      <c r="D116" s="59" t="inlineStr">
        <is>
          <t>Logística Innovadora &amp; Centros Almacenamiento</t>
        </is>
      </c>
      <c r="E116" s="59" t="n"/>
      <c r="F116" s="59" t="inlineStr">
        <is>
          <t>https://www.google.com/search?q=Lamaignere+Chile+LinkedIn</t>
        </is>
      </c>
      <c r="G116" s="59" t="inlineStr">
        <is>
          <t>Alejandra Ayala (Country Manager)</t>
        </is>
      </c>
      <c r="H116" s="59" t="n"/>
      <c r="I116" s="63" t="inlineStr">
        <is>
          <t>https://cl.linkedin.com/in/alejandra-olivia-ayala-troncoso-392637a5</t>
        </is>
      </c>
      <c r="J116" s="63" t="inlineStr">
        <is>
          <t>https://cl.linkedin.com/company/lamaignere</t>
        </is>
      </c>
      <c r="K116" s="59" t="n"/>
      <c r="L116" s="59" t="inlineStr">
        <is>
          <t>Ventas: GRANDE 2 (200.000 - 600.000 UF) | Empleados: 15</t>
        </is>
      </c>
      <c r="M116" s="61" t="n"/>
      <c r="N116" s="61" t="n"/>
      <c r="O116" s="61" t="n"/>
      <c r="P116" s="61" t="n"/>
      <c r="Q116" s="61" t="n"/>
      <c r="R116" s="62" t="n"/>
      <c r="S116" s="61" t="n"/>
      <c r="T116" s="59" t="inlineStr">
        <is>
          <t>76.679.760-1</t>
        </is>
      </c>
      <c r="U116" s="59" t="inlineStr">
        <is>
          <t>(56) 9 9299 6206</t>
        </is>
      </c>
    </row>
    <row r="117" ht="15.75" customHeight="1" s="38">
      <c r="A117" s="59" t="inlineStr">
        <is>
          <t>Latam Airlines</t>
        </is>
      </c>
      <c r="B117" s="59" t="inlineStr">
        <is>
          <t>Transporte Aéreo</t>
        </is>
      </c>
      <c r="C117" s="59" t="inlineStr">
        <is>
          <t>Santiago</t>
        </is>
      </c>
      <c r="D117" s="59" t="inlineStr">
        <is>
          <t>Estrategia Global Cloud &amp; Digital</t>
        </is>
      </c>
      <c r="E117" s="59" t="inlineStr">
        <is>
          <t>LinkedIn</t>
        </is>
      </c>
      <c r="F117" s="59" t="inlineStr">
        <is>
          <t>https://cl.linkedin.com/in/julianarios</t>
        </is>
      </c>
      <c r="G117" s="59" t="inlineStr">
        <is>
          <t>Juliana Rios (VP IT &amp; Digital)</t>
        </is>
      </c>
      <c r="H117" s="59" t="n"/>
      <c r="I117" s="63" t="inlineStr">
        <is>
          <t>https://cl.linkedin.com/in/juliana-rios-7679803</t>
        </is>
      </c>
      <c r="J117" s="63" t="inlineStr">
        <is>
          <t>https://cl.linkedin.com/company/latam-airlines</t>
        </is>
      </c>
      <c r="K117" s="59" t="n"/>
      <c r="L117" s="59" t="inlineStr">
        <is>
          <t>Ventas: GRANDE (Estimado por Empleados) | Empleados: 7006</t>
        </is>
      </c>
      <c r="M117" s="61" t="n"/>
      <c r="N117" s="61" t="n"/>
      <c r="O117" s="61" t="n"/>
      <c r="P117" s="61" t="n"/>
      <c r="Q117" s="61" t="n"/>
      <c r="R117" s="62" t="n"/>
      <c r="S117" s="61" t="n"/>
      <c r="T117" s="59" t="inlineStr">
        <is>
          <t>89.862.200-2</t>
        </is>
      </c>
      <c r="U117" s="59" t="inlineStr">
        <is>
          <t>600 526 2000</t>
        </is>
      </c>
    </row>
    <row r="118" ht="15.75" customHeight="1" s="38">
      <c r="A118" s="59" t="inlineStr">
        <is>
          <t>Latam Trade Capital</t>
        </is>
      </c>
      <c r="B118" s="59" t="inlineStr">
        <is>
          <t>Servicios Financieros</t>
        </is>
      </c>
      <c r="C118" s="59" t="inlineStr">
        <is>
          <t>Santiago</t>
        </is>
      </c>
      <c r="D118" s="59" t="inlineStr">
        <is>
          <t>Investigación en Proceso</t>
        </is>
      </c>
      <c r="E118" s="59" t="n"/>
      <c r="F118" s="59" t="n"/>
      <c r="G118" s="59" t="inlineStr">
        <is>
          <t>Francisco Hormazabal (Gerente Ops &amp; Tecnología)</t>
        </is>
      </c>
      <c r="H118" s="59" t="inlineStr">
        <is>
          <t>francisco.hormazabal@latamtradecapital.com</t>
        </is>
      </c>
      <c r="I118" s="63" t="inlineStr">
        <is>
          <t>https://cl.linkedin.com/in/francisco-hormazabal-b18a1a1b</t>
        </is>
      </c>
      <c r="J118" s="63" t="inlineStr">
        <is>
          <t>https://cl.linkedin.com/company/latam-trade-capital</t>
        </is>
      </c>
      <c r="K118" s="59" t="n"/>
      <c r="L118" s="59" t="inlineStr">
        <is>
          <t>Ventas: GRANDE 3 (600.000 - 1.000.000 UF) | Empleados: 71</t>
        </is>
      </c>
      <c r="M118" s="61" t="n"/>
      <c r="N118" s="61" t="n"/>
      <c r="O118" s="61" t="n"/>
      <c r="P118" s="61" t="n"/>
      <c r="Q118" s="61" t="n"/>
      <c r="R118" s="62" t="n"/>
      <c r="S118" s="61" t="n"/>
      <c r="T118" s="59" t="inlineStr">
        <is>
          <t>76.261.789-7</t>
        </is>
      </c>
      <c r="U118" s="59" t="inlineStr">
        <is>
          <t>(56) 2 2956 6000</t>
        </is>
      </c>
    </row>
    <row r="119" ht="15.75" customHeight="1" s="38">
      <c r="A119" s="59" t="inlineStr">
        <is>
          <t>Latin America Power S.A.</t>
        </is>
      </c>
      <c r="B119" s="59" t="inlineStr">
        <is>
          <t>Energías Renovables</t>
        </is>
      </c>
      <c r="C119" s="59" t="inlineStr">
        <is>
          <t>Santiago</t>
        </is>
      </c>
      <c r="D119" s="59" t="inlineStr">
        <is>
          <t>Investigación en Proceso</t>
        </is>
      </c>
      <c r="E119" s="59" t="n"/>
      <c r="F119" s="59" t="n"/>
      <c r="G119" s="59" t="inlineStr">
        <is>
          <t>Sebastian Mariman (Jefe de TI)</t>
        </is>
      </c>
      <c r="H119" s="59" t="inlineStr">
        <is>
          <t>smariman@lapower.com</t>
        </is>
      </c>
      <c r="I119" s="63" t="n"/>
      <c r="J119" s="63" t="inlineStr">
        <is>
          <t>https://cl.linkedin.com/company/latin-america-power</t>
        </is>
      </c>
      <c r="K119" s="59" t="n"/>
      <c r="L119" s="59" t="inlineStr">
        <is>
          <t>Ventas: GRANDE 3 (600.000 - 1.000.000 UF) | Empleados: 61</t>
        </is>
      </c>
      <c r="M119" s="61" t="n"/>
      <c r="N119" s="61" t="n"/>
      <c r="O119" s="61" t="n"/>
      <c r="P119" s="61" t="n"/>
      <c r="Q119" s="61" t="n"/>
      <c r="R119" s="62" t="n"/>
      <c r="S119" s="61" t="n"/>
      <c r="T119" s="59" t="inlineStr">
        <is>
          <t>76.166.157-4</t>
        </is>
      </c>
      <c r="U119" s="59" t="inlineStr">
        <is>
          <t>(56) 2 2820 3200</t>
        </is>
      </c>
    </row>
    <row r="120" ht="15.75" customHeight="1" s="38">
      <c r="A120" s="59" t="inlineStr">
        <is>
          <t>Limfosep S.A.</t>
        </is>
      </c>
      <c r="B120" s="59" t="inlineStr">
        <is>
          <t>Residuos y Soluciones Ambientales, Tratamiento de Aguas Residuales</t>
        </is>
      </c>
      <c r="C120" s="59" t="inlineStr">
        <is>
          <t>Antofagasta</t>
        </is>
      </c>
      <c r="D120" s="59" t="inlineStr">
        <is>
          <t>Investigación en Proceso</t>
        </is>
      </c>
      <c r="E120" s="59" t="n"/>
      <c r="F120" s="59" t="n"/>
      <c r="G120" s="59" t="inlineStr">
        <is>
          <t>Pablo Leiva (Gerente General)</t>
        </is>
      </c>
      <c r="H120" s="59" t="inlineStr">
        <is>
          <t>pleiva@limfosep.cl</t>
        </is>
      </c>
      <c r="I120" s="63" t="inlineStr">
        <is>
          <t>https://cl.linkedin.com/in/pablo-leiva-14a517112</t>
        </is>
      </c>
      <c r="J120" s="63" t="inlineStr">
        <is>
          <t>https://cl.linkedin.com/company/limfosep-s.a.</t>
        </is>
      </c>
      <c r="K120" s="59" t="n"/>
      <c r="L120" s="59" t="inlineStr">
        <is>
          <t>Ventas: GRANDE 3 (600.000 - 1.000.000 UF) | Empleados: 253</t>
        </is>
      </c>
      <c r="M120" s="61" t="n"/>
      <c r="N120" s="61" t="n"/>
      <c r="O120" s="61" t="n"/>
      <c r="P120" s="61" t="n"/>
      <c r="Q120" s="61" t="n"/>
      <c r="R120" s="62" t="n"/>
      <c r="S120" s="61" t="n"/>
      <c r="T120" s="59" t="inlineStr">
        <is>
          <t>76556530-8</t>
        </is>
      </c>
      <c r="U120" s="59" t="inlineStr">
        <is>
          <t>(56) 9 6677 0095</t>
        </is>
      </c>
    </row>
    <row r="121" ht="15.75" customHeight="1" s="38">
      <c r="A121" s="59" t="inlineStr">
        <is>
          <t>Lorbrand S.A.</t>
        </is>
      </c>
      <c r="B121" s="59" t="inlineStr">
        <is>
          <t>Componentes para Correas Transportadoras, Polines Centradores para Correas Transportadoras</t>
        </is>
      </c>
      <c r="C121" s="59" t="inlineStr">
        <is>
          <t>Antofagasta</t>
        </is>
      </c>
      <c r="D121" s="59" t="inlineStr">
        <is>
          <t>Fabricación Componentes Transportadoras Pesadas</t>
        </is>
      </c>
      <c r="E121" s="59" t="n"/>
      <c r="F121" s="59" t="inlineStr">
        <is>
          <t>https://cl.linkedin.com/in/felipe-alvial-navarrete-a450a239</t>
        </is>
      </c>
      <c r="G121" s="59" t="inlineStr">
        <is>
          <t>Felipe Alvial Navarrete (Gerente General)</t>
        </is>
      </c>
      <c r="H121" s="59" t="n"/>
      <c r="I121" s="63" t="inlineStr">
        <is>
          <t>https://cl.linkedin.com/in/felipe-alvial-navarrete-6a1a1a1b</t>
        </is>
      </c>
      <c r="J121" s="63" t="inlineStr">
        <is>
          <t>https://cl.linkedin.com/company/lorbrand-sa</t>
        </is>
      </c>
      <c r="K121" s="59" t="n"/>
      <c r="L121" s="59" t="inlineStr">
        <is>
          <t>Ventas: GRANDE 2 (200.000 - 600.000 UF) | Empleados: 58</t>
        </is>
      </c>
      <c r="M121" s="61" t="n"/>
      <c r="N121" s="61" t="n"/>
      <c r="O121" s="61" t="n"/>
      <c r="P121" s="61" t="n"/>
      <c r="Q121" s="61" t="n"/>
      <c r="R121" s="62" t="n"/>
      <c r="S121" s="61" t="n"/>
      <c r="T121" s="59" t="inlineStr">
        <is>
          <t>76.009.735-7</t>
        </is>
      </c>
      <c r="U121" s="59" t="inlineStr">
        <is>
          <t>(56) 55 249 2116</t>
        </is>
      </c>
    </row>
    <row r="122" ht="15.75" customHeight="1" s="38">
      <c r="A122" s="59" t="inlineStr">
        <is>
          <t>Luksic Zuanic S.A.</t>
        </is>
      </c>
      <c r="B122" s="59" t="inlineStr">
        <is>
          <t>Transmisión de Potencia</t>
        </is>
      </c>
      <c r="C122" s="59" t="inlineStr">
        <is>
          <t>Santiago</t>
        </is>
      </c>
      <c r="D122" s="59" t="inlineStr">
        <is>
          <t>Investigación en Proceso</t>
        </is>
      </c>
      <c r="E122" s="59" t="n"/>
      <c r="F122" s="59" t="n"/>
      <c r="G122" s="59" t="inlineStr">
        <is>
          <t>Yerko Zuanic (Gerente Comercial (Decision Maker))</t>
        </is>
      </c>
      <c r="H122" s="59" t="inlineStr">
        <is>
          <t>yzuanic@luksiczuanic.cl</t>
        </is>
      </c>
      <c r="I122" s="63" t="inlineStr">
        <is>
          <t>https://cl.linkedin.com/in/yerko-zuanic-43677016</t>
        </is>
      </c>
      <c r="J122" s="63" t="inlineStr">
        <is>
          <t>https://cl.linkedin.com/company/luksic-zuanic</t>
        </is>
      </c>
      <c r="K122" s="59" t="n"/>
      <c r="L122" s="59" t="inlineStr">
        <is>
          <t>Ventas: GRANDE 3 (600.000 - 1.000.000 UF) | Empleados: 132</t>
        </is>
      </c>
      <c r="M122" s="61" t="n"/>
      <c r="N122" s="61" t="n"/>
      <c r="O122" s="61" t="n"/>
      <c r="P122" s="61" t="n"/>
      <c r="Q122" s="61" t="n"/>
      <c r="R122" s="62" t="n"/>
      <c r="S122" s="61" t="n"/>
      <c r="T122" s="59" t="inlineStr">
        <is>
          <t>80.570.200-1</t>
        </is>
      </c>
      <c r="U122" s="59" t="inlineStr">
        <is>
          <t>(56) 2 2347 6600</t>
        </is>
      </c>
    </row>
    <row r="123" ht="15.75" customHeight="1" s="38">
      <c r="A123" s="59" t="inlineStr">
        <is>
          <t>Lundin Mining</t>
        </is>
      </c>
      <c r="B123" s="59" t="inlineStr">
        <is>
          <t>Cobre, Plomo</t>
        </is>
      </c>
      <c r="C123" s="59" t="inlineStr">
        <is>
          <t>Santiago</t>
        </is>
      </c>
      <c r="D123" s="59" t="inlineStr">
        <is>
          <t>Sistemas Mineros Avanzados</t>
        </is>
      </c>
      <c r="E123" s="59" t="inlineStr">
        <is>
          <t>LinkedIn</t>
        </is>
      </c>
      <c r="F123" s="59" t="inlineStr">
        <is>
          <t>https://cl.linkedin.com/in/sergio-retamal-8b9b2b2a</t>
        </is>
      </c>
      <c r="G123" s="59" t="inlineStr">
        <is>
          <t>Sergio Retamal (Regional IT Manager)</t>
        </is>
      </c>
      <c r="H123" s="59" t="n"/>
      <c r="I123" s="63" t="inlineStr">
        <is>
          <t>https://cl.linkedin.com/in/sergio-retamal-soto-5b0b6b107</t>
        </is>
      </c>
      <c r="J123" s="63" t="inlineStr">
        <is>
          <t>https://cl.linkedin.com/company/lundin-mining-corporation</t>
        </is>
      </c>
      <c r="K123" s="59" t="n"/>
      <c r="L123" s="59" t="inlineStr">
        <is>
          <t>Ventas: GRANDE 3 (600.000 - 1.000.000 UF) | Empleados: 20</t>
        </is>
      </c>
      <c r="M123" s="61" t="n"/>
      <c r="N123" s="61" t="n"/>
      <c r="O123" s="61" t="n"/>
      <c r="P123" s="61" t="n"/>
      <c r="Q123" s="61" t="n"/>
      <c r="R123" s="62" t="n"/>
      <c r="S123" s="61" t="n"/>
      <c r="T123" s="59" t="inlineStr">
        <is>
          <t>76.263.093-1</t>
        </is>
      </c>
      <c r="U123" s="59" t="inlineStr">
        <is>
          <t>(56) 52 246 1617</t>
        </is>
      </c>
    </row>
    <row r="124" ht="15.75" customHeight="1" s="38">
      <c r="A124" s="59" t="inlineStr">
        <is>
          <t>Maestranza e Ingeniería Lo Espejo S.A.</t>
        </is>
      </c>
      <c r="B124" s="59" t="inlineStr">
        <is>
          <t>Calderería</t>
        </is>
      </c>
      <c r="C124" s="59" t="inlineStr">
        <is>
          <t>Santiago</t>
        </is>
      </c>
      <c r="D124" s="59" t="inlineStr">
        <is>
          <t>Digitalización Infraestructura Minera</t>
        </is>
      </c>
      <c r="E124" s="59" t="inlineStr">
        <is>
          <t>LinkedIn</t>
        </is>
      </c>
      <c r="F124" s="59" t="inlineStr">
        <is>
          <t>https://cl.linkedin.com/in/marcos-sarzoza-a3a28328</t>
        </is>
      </c>
      <c r="G124" s="59" t="inlineStr">
        <is>
          <t>Marcos Sarzoza (IT Manager)</t>
        </is>
      </c>
      <c r="H124" s="59" t="n"/>
      <c r="I124" s="63" t="inlineStr">
        <is>
          <t>https://cl.linkedin.com/in/marcossarzoza</t>
        </is>
      </c>
      <c r="J124" s="63" t="inlineStr">
        <is>
          <t>https://cl.linkedin.com/company/maestranza-lo-espejo</t>
        </is>
      </c>
      <c r="K124" s="59" t="n"/>
      <c r="L124" s="59" t="inlineStr">
        <is>
          <t>Ventas: GRANDE 2 (200.000 - 600.000 UF) | Empleados: 7</t>
        </is>
      </c>
      <c r="M124" s="61" t="n"/>
      <c r="N124" s="61" t="n"/>
      <c r="O124" s="61" t="n"/>
      <c r="P124" s="61" t="n"/>
      <c r="Q124" s="61" t="n"/>
      <c r="R124" s="62" t="n"/>
      <c r="S124" s="61" t="n"/>
      <c r="T124" s="59" t="inlineStr">
        <is>
          <t>89.321.800-9</t>
        </is>
      </c>
      <c r="U124" s="59" t="inlineStr">
        <is>
          <t>(56) 9 8829 7892</t>
        </is>
      </c>
    </row>
    <row r="125" ht="15.75" customHeight="1" s="38">
      <c r="A125" s="59" t="inlineStr">
        <is>
          <t>Maqsur Ltda.</t>
        </is>
      </c>
      <c r="B125" s="59" t="inlineStr">
        <is>
          <t>Plataformas Elevadoras</t>
        </is>
      </c>
      <c r="C125" s="59" t="inlineStr">
        <is>
          <t>Puerto Varas</t>
        </is>
      </c>
      <c r="D125" s="59" t="inlineStr">
        <is>
          <t>Telemática Maquinaria Agrícola</t>
        </is>
      </c>
      <c r="E125" s="59" t="n"/>
      <c r="F125" s="59" t="inlineStr">
        <is>
          <t>https://www.maqsur.cl/</t>
        </is>
      </c>
      <c r="G125" s="59" t="inlineStr">
        <is>
          <t>Guillermo Cruz (Gerente General)</t>
        </is>
      </c>
      <c r="H125" s="59" t="n"/>
      <c r="I125" s="63" t="n"/>
      <c r="J125" s="63" t="inlineStr">
        <is>
          <t>https://cl.linkedin.com/company/maqsur</t>
        </is>
      </c>
      <c r="K125" s="59" t="n"/>
      <c r="L125" s="59" t="inlineStr">
        <is>
          <t>Ventas: GRANDE 2 (200.000 - 600.000 UF) | Empleados: 35</t>
        </is>
      </c>
      <c r="M125" s="61" t="n"/>
      <c r="N125" s="61" t="n"/>
      <c r="O125" s="61" t="n"/>
      <c r="P125" s="61" t="n"/>
      <c r="Q125" s="61" t="n"/>
      <c r="R125" s="62" t="n"/>
      <c r="S125" s="61" t="n"/>
      <c r="T125" s="59" t="inlineStr">
        <is>
          <t>76.142.787-3</t>
        </is>
      </c>
      <c r="U125" s="59" t="inlineStr">
        <is>
          <t>(56) 2 2857 4384</t>
        </is>
      </c>
    </row>
    <row r="126" ht="15.75" customHeight="1" s="38">
      <c r="A126" s="59" t="inlineStr">
        <is>
          <t>Mateco Chile</t>
        </is>
      </c>
      <c r="B126" s="59" t="inlineStr">
        <is>
          <t>Brazos Articulados Telescópicos</t>
        </is>
      </c>
      <c r="C126" s="59" t="inlineStr">
        <is>
          <t>Santiago</t>
        </is>
      </c>
      <c r="D126" s="59" t="inlineStr">
        <is>
          <t>Investigación en Proceso</t>
        </is>
      </c>
      <c r="E126" s="59" t="n"/>
      <c r="F126" s="59" t="n"/>
      <c r="G126" s="59" t="inlineStr">
        <is>
          <t>Andres Rojas (Responsable de IT)</t>
        </is>
      </c>
      <c r="H126" s="59" t="inlineStr">
        <is>
          <t>a.rojas@mateco.cl</t>
        </is>
      </c>
      <c r="I126" s="63" t="inlineStr">
        <is>
          <t>https://cl.linkedin.com/in/andres-rojas-m-154a1a70</t>
        </is>
      </c>
      <c r="J126" s="63" t="inlineStr">
        <is>
          <t>https://cl.linkedin.com/company/mateco-chile</t>
        </is>
      </c>
      <c r="K126" s="59" t="n"/>
      <c r="L126" s="59" t="inlineStr">
        <is>
          <t>Ventas: GRANDE 3 (600.000 - 1.000.000 UF) | Empleados: 49</t>
        </is>
      </c>
      <c r="M126" s="61" t="n"/>
      <c r="N126" s="61" t="n"/>
      <c r="O126" s="61" t="n"/>
      <c r="P126" s="61" t="n"/>
      <c r="Q126" s="61" t="n"/>
      <c r="R126" s="62" t="n"/>
      <c r="S126" s="61" t="n"/>
      <c r="T126" s="59" t="inlineStr">
        <is>
          <t>76282059-5</t>
        </is>
      </c>
      <c r="U126" s="59" t="inlineStr">
        <is>
          <t>(56) 2 3328 2331</t>
        </is>
      </c>
    </row>
    <row r="127" ht="15.75" customHeight="1" s="38">
      <c r="A127" s="59" t="inlineStr">
        <is>
          <t>Mauricio Hochschild Ingeniería y Servicios</t>
        </is>
      </c>
      <c r="B127" s="59" t="inlineStr">
        <is>
          <t>Bombas, Compresores, Soldaduras</t>
        </is>
      </c>
      <c r="C127" s="59" t="inlineStr">
        <is>
          <t>Santiago</t>
        </is>
      </c>
      <c r="D127" s="59" t="inlineStr">
        <is>
          <t>Optimización CRM Regional</t>
        </is>
      </c>
      <c r="E127" s="59" t="inlineStr">
        <is>
          <t>LinkedIn</t>
        </is>
      </c>
      <c r="F127" s="59" t="n"/>
      <c r="G127" s="59" t="inlineStr">
        <is>
          <t>Eduardo Lagos (Jefe de Sistemas)</t>
        </is>
      </c>
      <c r="H127" s="59" t="inlineStr">
        <is>
          <t>e.lagos@hochschild.cl</t>
        </is>
      </c>
      <c r="I127" s="63" t="n"/>
      <c r="J127" s="63" t="inlineStr">
        <is>
          <t>https://cl.linkedin.com/company/mauricio-hochschild-ingenieria-y-servicios-s-a-</t>
        </is>
      </c>
      <c r="K127" s="59" t="n"/>
      <c r="L127" s="59" t="inlineStr">
        <is>
          <t>Ventas: GRANDE 3 (600.000 - 1.000.000 UF) | Empleados: 108</t>
        </is>
      </c>
      <c r="M127" s="61" t="n"/>
      <c r="N127" s="61" t="n"/>
      <c r="O127" s="61" t="n"/>
      <c r="P127" s="61" t="n"/>
      <c r="Q127" s="61" t="n"/>
      <c r="R127" s="62" t="n"/>
      <c r="S127" s="61" t="n"/>
      <c r="T127" s="59" t="inlineStr">
        <is>
          <t>96.885.630-8</t>
        </is>
      </c>
      <c r="U127" s="59" t="inlineStr">
        <is>
          <t>(56) 2 2578 2600</t>
        </is>
      </c>
    </row>
    <row r="128" ht="15.75" customHeight="1" s="38">
      <c r="A128" s="59" t="inlineStr">
        <is>
          <t>Metaproject Group</t>
        </is>
      </c>
      <c r="B128" s="59" t="inlineStr">
        <is>
          <t>Proveedor Destacado, Diseño de Minas y Plantas, Diseño de Sistemas Contra Incendios, Servicios BPO - Backoffice, Servicios de Abastecimiento Nacional e Internacional, Servicios de Apoyo a la Construcción de Grandes Proyectos, Servicios de Inspección Técnica</t>
        </is>
      </c>
      <c r="C128" s="59" t="inlineStr">
        <is>
          <t>Santiago</t>
        </is>
      </c>
      <c r="D128" s="59" t="inlineStr">
        <is>
          <t>Investigación en Proceso</t>
        </is>
      </c>
      <c r="E128" s="59" t="n"/>
      <c r="F128" s="59" t="n"/>
      <c r="G128" s="59" t="inlineStr">
        <is>
          <t>Isabel Peñailillo (Gerente TI)</t>
        </is>
      </c>
      <c r="H128" s="59" t="inlineStr">
        <is>
          <t>isabel.penailillo@metaproject.cl</t>
        </is>
      </c>
      <c r="I128" s="63" t="inlineStr">
        <is>
          <t>https://cl.linkedin.com/in/isabel-pe%C3%B1ailillo-mba-06019a18</t>
        </is>
      </c>
      <c r="J128" s="63" t="inlineStr">
        <is>
          <t>https://cl.linkedin.com/company/metaproject-group</t>
        </is>
      </c>
      <c r="K128" s="59" t="inlineStr">
        <is>
          <t>http://www.metaprojectgroup.com</t>
        </is>
      </c>
      <c r="L128" s="59" t="inlineStr">
        <is>
          <t>Ventas: GRANDE 3 (600.000 - 1.000.000 UF) | Empleados: 337</t>
        </is>
      </c>
      <c r="M128" s="61" t="n"/>
      <c r="N128" s="61" t="n"/>
      <c r="O128" s="61" t="n"/>
      <c r="P128" s="61" t="n"/>
      <c r="Q128" s="61" t="n"/>
      <c r="R128" s="62" t="n"/>
      <c r="S128" s="61" t="n"/>
      <c r="T128" s="59" t="inlineStr">
        <is>
          <t>96.648.700-3</t>
        </is>
      </c>
      <c r="U128" s="59" t="inlineStr">
        <is>
          <t>(56) 2 2350 9900</t>
        </is>
      </c>
    </row>
    <row r="129" ht="15.75" customHeight="1" s="38">
      <c r="A129" s="59" t="inlineStr">
        <is>
          <t>Metecno S.A.</t>
        </is>
      </c>
      <c r="B129" s="59" t="inlineStr">
        <is>
          <t>Cubiertas y Revestimientos para el Sector Minero</t>
        </is>
      </c>
      <c r="C129" s="59" t="inlineStr">
        <is>
          <t>Santiago</t>
        </is>
      </c>
      <c r="D129" s="59" t="inlineStr">
        <is>
          <t>Investigación en Proceso</t>
        </is>
      </c>
      <c r="E129" s="59" t="n"/>
      <c r="F129" s="59" t="n"/>
      <c r="G129" s="59" t="inlineStr">
        <is>
          <t>Nancy P. Díaz Sánchez (Encargada de Sistemas)</t>
        </is>
      </c>
      <c r="H129" s="59" t="inlineStr">
        <is>
          <t>ndiaz@metecno.cl</t>
        </is>
      </c>
      <c r="I129" s="63" t="inlineStr">
        <is>
          <t>https://cl.linkedin.com/in/nancy-p-d%C3%ADaz-s%C3%A1nchez-717088152</t>
        </is>
      </c>
      <c r="J129" s="63" t="inlineStr">
        <is>
          <t>https://cl.linkedin.com/company/metecno-chile</t>
        </is>
      </c>
      <c r="K129" s="59" t="n"/>
      <c r="L129" s="59" t="inlineStr">
        <is>
          <t>Ventas: GRANDE 3 (600.000 - 1.000.000 UF) | Empleados: 72</t>
        </is>
      </c>
      <c r="M129" s="61" t="n"/>
      <c r="N129" s="61" t="n"/>
      <c r="O129" s="61" t="n"/>
      <c r="P129" s="61" t="n"/>
      <c r="Q129" s="61" t="n"/>
      <c r="R129" s="62" t="n"/>
      <c r="S129" s="61" t="n"/>
      <c r="T129" s="59" t="inlineStr">
        <is>
          <t>99.500.750-9</t>
        </is>
      </c>
      <c r="U129" s="59" t="inlineStr">
        <is>
          <t>(56) 2 2438 7500</t>
        </is>
      </c>
    </row>
    <row r="130" ht="15.75" customHeight="1" s="38">
      <c r="A130" s="59" t="inlineStr">
        <is>
          <t>Metrika Ltda.</t>
        </is>
      </c>
      <c r="B130" s="59" t="inlineStr">
        <is>
          <t>Sistemas Automáticos contra Incendios, Sistemas para Protección Contra Incendios</t>
        </is>
      </c>
      <c r="C130" s="59" t="inlineStr">
        <is>
          <t>Rancagua</t>
        </is>
      </c>
      <c r="D130" s="59" t="inlineStr">
        <is>
          <t>Investigación en Proceso</t>
        </is>
      </c>
      <c r="E130" s="59" t="n"/>
      <c r="F130" s="59" t="n"/>
      <c r="G130" s="59" t="inlineStr">
        <is>
          <t>Maximiliano Gonzalez (Socio Fundador)</t>
        </is>
      </c>
      <c r="H130" s="59" t="inlineStr">
        <is>
          <t>mgonzalez@metrika.cl</t>
        </is>
      </c>
      <c r="I130" s="63" t="inlineStr">
        <is>
          <t>https://cl.linkedin.com/in/maximiliano-gonz%C3%A1lez-gonz%C3%A1lez-84521515</t>
        </is>
      </c>
      <c r="J130" s="63" t="inlineStr">
        <is>
          <t>https://cl.linkedin.com/company/metrika-limitada</t>
        </is>
      </c>
      <c r="K130" s="59" t="n"/>
      <c r="L130" s="59" t="inlineStr">
        <is>
          <t>Ventas: GRANDE 3 (600.000 - 1.000.000 UF) | Empleados: 387</t>
        </is>
      </c>
      <c r="M130" s="61" t="n"/>
      <c r="N130" s="61" t="n"/>
      <c r="O130" s="61" t="n"/>
      <c r="P130" s="61" t="n"/>
      <c r="Q130" s="61" t="n"/>
      <c r="R130" s="62" t="n"/>
      <c r="S130" s="61" t="n"/>
      <c r="T130" s="59" t="inlineStr">
        <is>
          <t>77.203.650-7</t>
        </is>
      </c>
      <c r="U130" s="59" t="inlineStr">
        <is>
          <t>(56) 72 225 7010</t>
        </is>
      </c>
    </row>
    <row r="131" ht="15.75" customHeight="1" s="38">
      <c r="A131" s="59" t="inlineStr">
        <is>
          <t>Microgeo</t>
        </is>
      </c>
      <c r="B131" s="59" t="inlineStr">
        <is>
          <t>Cartografía, Datos Geoespaciales</t>
        </is>
      </c>
      <c r="C131" s="59" t="inlineStr">
        <is>
          <t>Santiago</t>
        </is>
      </c>
      <c r="D131" s="59" t="inlineStr">
        <is>
          <t>Escaneo Láser SLAM &amp; Mapeo 3D Realtime</t>
        </is>
      </c>
      <c r="E131" s="59" t="inlineStr">
        <is>
          <t>Microgeo.cl</t>
        </is>
      </c>
      <c r="F131" s="59" t="inlineStr">
        <is>
          <t>https://microgeo.cl/greenvalley-international/</t>
        </is>
      </c>
      <c r="G131" s="59" t="inlineStr">
        <is>
          <t>Rodrigo Herrera Pacheco (Gte. Innovación / CTO)</t>
        </is>
      </c>
      <c r="H131" s="59" t="inlineStr">
        <is>
          <t>rherrera@microgeo.cl</t>
        </is>
      </c>
      <c r="I131" s="63" t="inlineStr">
        <is>
          <t>https://cl.linkedin.com/in/rodrigo-herrera-pacheco</t>
        </is>
      </c>
      <c r="J131" s="63" t="inlineStr">
        <is>
          <t>https://cl.linkedin.com/company/microgeo-s-a-</t>
        </is>
      </c>
      <c r="K131" s="59" t="n"/>
      <c r="L131" s="59" t="inlineStr">
        <is>
          <t>Ventas: GRANDE 4 (Mas de 1.000.000 UF) | Empleados: 156</t>
        </is>
      </c>
      <c r="M131" s="61" t="n"/>
      <c r="N131" s="61" t="n"/>
      <c r="O131" s="61" t="n"/>
      <c r="P131" s="61" t="n"/>
      <c r="Q131" s="61" t="n"/>
      <c r="R131" s="62" t="n"/>
      <c r="S131" s="61" t="n"/>
      <c r="T131" s="59" t="inlineStr">
        <is>
          <t>88.579.800-4</t>
        </is>
      </c>
      <c r="U131" s="59" t="inlineStr">
        <is>
          <t>(56) 2 2658 0801</t>
        </is>
      </c>
    </row>
    <row r="132" ht="15.75" customHeight="1" s="38">
      <c r="A132" s="59" t="inlineStr">
        <is>
          <t>Mincon Chile S.A.</t>
        </is>
      </c>
      <c r="B132" s="59" t="inlineStr">
        <is>
          <t>Equipos de Perforación</t>
        </is>
      </c>
      <c r="C132" s="59" t="inlineStr">
        <is>
          <t>Santiago</t>
        </is>
      </c>
      <c r="D132" s="59" t="inlineStr">
        <is>
          <t>Eficiencia Perforación &amp; Expansión Centro Técnico</t>
        </is>
      </c>
      <c r="E132" s="59" t="n"/>
      <c r="F132" s="59" t="inlineStr">
        <is>
          <t>https://cl.linkedin.com/in/jean-paul-droguett-saavedra-96154943</t>
        </is>
      </c>
      <c r="G132" s="59" t="inlineStr">
        <is>
          <t>Jean Paul Droguett Saavedra (Gerente General)</t>
        </is>
      </c>
      <c r="H132" s="59" t="n"/>
      <c r="I132" s="63" t="n"/>
      <c r="J132" s="63" t="n"/>
      <c r="K132" s="59" t="n"/>
      <c r="L132" s="59" t="inlineStr">
        <is>
          <t>Ventas: GRANDE 2 (200.000 - 600.000 UF) | Empleados: 41</t>
        </is>
      </c>
      <c r="M132" s="61" t="n"/>
      <c r="N132" s="61" t="n"/>
      <c r="O132" s="61" t="n"/>
      <c r="P132" s="61" t="n"/>
      <c r="Q132" s="61" t="n"/>
      <c r="R132" s="62" t="n"/>
      <c r="S132" s="61" t="n"/>
      <c r="T132" s="59" t="inlineStr">
        <is>
          <t>76.421.150-2</t>
        </is>
      </c>
      <c r="U132" s="59" t="inlineStr">
        <is>
          <t>(56) 2 3223 9351</t>
        </is>
      </c>
    </row>
    <row r="133" ht="15.75" customHeight="1" s="38">
      <c r="A133" s="59" t="inlineStr">
        <is>
          <t>Mindugar</t>
        </is>
      </c>
      <c r="B133" s="59" t="inlineStr">
        <is>
          <t>Automatización de Bodegas, Racks para Almacenaje</t>
        </is>
      </c>
      <c r="C133" s="59" t="inlineStr">
        <is>
          <t>Santiago</t>
        </is>
      </c>
      <c r="D133" s="59" t="inlineStr">
        <is>
          <t>Investigación en Proceso</t>
        </is>
      </c>
      <c r="E133" s="59" t="n"/>
      <c r="F133" s="59" t="n"/>
      <c r="G133" s="59" t="inlineStr">
        <is>
          <t>Ignacio Garcia (Gerente Informática)</t>
        </is>
      </c>
      <c r="H133" s="59" t="inlineStr">
        <is>
          <t>igarcia@mindugar.cl</t>
        </is>
      </c>
      <c r="I133" s="63" t="n"/>
      <c r="J133" s="63" t="n"/>
      <c r="K133" s="59" t="n"/>
      <c r="L133" s="59" t="inlineStr">
        <is>
          <t>Ventas: GRANDE 3 (600.000 - 1.000.000 UF) | Empleados: 121</t>
        </is>
      </c>
      <c r="M133" s="61" t="n"/>
      <c r="N133" s="61" t="n"/>
      <c r="O133" s="61" t="n"/>
      <c r="P133" s="61" t="n"/>
      <c r="Q133" s="61" t="n"/>
      <c r="R133" s="62" t="n"/>
      <c r="S133" s="61" t="n"/>
      <c r="T133" s="59" t="inlineStr">
        <is>
          <t>96.588.890-K</t>
        </is>
      </c>
      <c r="U133" s="59" t="inlineStr">
        <is>
          <t>(56) 2 2870 7400</t>
        </is>
      </c>
    </row>
    <row r="134" ht="15.75" customHeight="1" s="38">
      <c r="A134" s="59" t="inlineStr">
        <is>
          <t>Minera San Pedro S.A.</t>
        </is>
      </c>
      <c r="B134" s="59" t="inlineStr">
        <is>
          <t>Concentrado de Cobre, Concentrado de Oro</t>
        </is>
      </c>
      <c r="C134" s="59" t="inlineStr">
        <is>
          <t>Til Til</t>
        </is>
      </c>
      <c r="D134" s="59" t="inlineStr">
        <is>
          <t>Proyectos Minería Sustentable (Caballo Muerto)</t>
        </is>
      </c>
      <c r="E134" s="59" t="n"/>
      <c r="F134" s="59" t="inlineStr">
        <is>
          <t>https://cl.linkedin.com/in/andr%C3%A9s-guerrero-6b1b1b1b</t>
        </is>
      </c>
      <c r="G134" s="59" t="inlineStr">
        <is>
          <t>Andrés Guerrero (GG)</t>
        </is>
      </c>
      <c r="H134" s="59" t="n"/>
      <c r="I134" s="63" t="n"/>
      <c r="J134" s="63" t="n"/>
      <c r="K134" s="59" t="n"/>
      <c r="L134" s="59" t="inlineStr">
        <is>
          <t>Ventas: GRANDE 2 (200.000 - 600.000 UF) | Empleados: 87</t>
        </is>
      </c>
      <c r="M134" s="61" t="n"/>
      <c r="N134" s="61" t="n"/>
      <c r="O134" s="61" t="n"/>
      <c r="P134" s="61" t="n"/>
      <c r="Q134" s="61" t="n"/>
      <c r="R134" s="62" t="n"/>
      <c r="S134" s="61" t="n"/>
      <c r="T134" s="59" t="inlineStr">
        <is>
          <t>85.466.200-7</t>
        </is>
      </c>
      <c r="U134" s="59" t="inlineStr">
        <is>
          <t>(56) 2 2846 1855</t>
        </is>
      </c>
    </row>
    <row r="135" ht="15.75" customHeight="1" s="38">
      <c r="A135" s="59" t="inlineStr">
        <is>
          <t>Mining TAG</t>
        </is>
      </c>
      <c r="B135" s="59" t="inlineStr">
        <is>
          <t>Sistema de Control de Producción en Minería Subterránea</t>
        </is>
      </c>
      <c r="C135" s="59" t="inlineStr">
        <is>
          <t>Santiago</t>
        </is>
      </c>
      <c r="D135" s="59" t="inlineStr">
        <is>
          <t>Investigación en Proceso</t>
        </is>
      </c>
      <c r="E135" s="59" t="n"/>
      <c r="F135" s="59" t="n"/>
      <c r="G135" s="59" t="inlineStr">
        <is>
          <t>Carlos Valencia Vera (Gerente General &amp; Digital Hub)</t>
        </is>
      </c>
      <c r="H135" s="59" t="inlineStr">
        <is>
          <t>c.valencia@miningtag.com</t>
        </is>
      </c>
      <c r="I135" s="63" t="n"/>
      <c r="J135" s="63" t="n"/>
      <c r="K135" s="59" t="n"/>
      <c r="L135" s="59" t="inlineStr">
        <is>
          <t>Ventas: GRANDE 3 (600.000 - 1.000.000 UF) | Empleados: 151</t>
        </is>
      </c>
      <c r="M135" s="61" t="n"/>
      <c r="N135" s="61" t="n"/>
      <c r="O135" s="61" t="n"/>
      <c r="P135" s="61" t="n"/>
      <c r="Q135" s="61" t="n"/>
      <c r="R135" s="62" t="n"/>
      <c r="S135" s="61" t="n"/>
      <c r="T135" s="59" t="inlineStr">
        <is>
          <t>76.119.409-7</t>
        </is>
      </c>
      <c r="U135" s="59" t="inlineStr">
        <is>
          <t>(56) 9 4259 8524</t>
        </is>
      </c>
    </row>
    <row r="136" ht="15.75" customHeight="1" s="38">
      <c r="A136" s="59" t="inlineStr">
        <is>
          <t>Monitoring SpA</t>
        </is>
      </c>
      <c r="B136" s="59" t="inlineStr">
        <is>
          <t>Consultoría en Gestión de Activos</t>
        </is>
      </c>
      <c r="C136" s="59" t="inlineStr">
        <is>
          <t>Santiago</t>
        </is>
      </c>
      <c r="D136" s="59" t="inlineStr">
        <is>
          <t>Monitoreo Remoto &amp; IoT Minería</t>
        </is>
      </c>
      <c r="E136" s="59" t="n"/>
      <c r="F136" s="59" t="inlineStr">
        <is>
          <t>https://www.google.com/search?q=Monitoring+SpA+Chile+Gerente+CIO+LinkedIn</t>
        </is>
      </c>
      <c r="G136" s="59" t="inlineStr">
        <is>
          <t>Rodrigo Alfonso Fernandez (CTO)</t>
        </is>
      </c>
      <c r="H136" s="59" t="n"/>
      <c r="I136" s="63" t="n"/>
      <c r="J136" s="63" t="n"/>
      <c r="K136" s="59" t="n"/>
      <c r="L136" s="59" t="inlineStr">
        <is>
          <t>Ventas: GRANDE 2 (200.000 - 600.000 UF) | Empleados: 94</t>
        </is>
      </c>
      <c r="M136" s="61" t="inlineStr">
        <is>
          <t>Contactado Email</t>
        </is>
      </c>
      <c r="N136" s="61" t="n"/>
      <c r="O136" s="61" t="n"/>
      <c r="P136" s="61" t="n"/>
      <c r="Q136" s="61" t="n"/>
      <c r="R136" s="62" t="n"/>
      <c r="S136" s="61" t="n"/>
      <c r="T136" s="59" t="inlineStr">
        <is>
          <t>76.244.849-1</t>
        </is>
      </c>
      <c r="U136" s="59" t="inlineStr">
        <is>
          <t>(56) 2 2235 3090</t>
        </is>
      </c>
      <c r="V136" s="37" t="inlineStr">
        <is>
          <t>2026-03-17</t>
        </is>
      </c>
    </row>
    <row r="137" ht="15.75" customHeight="1" s="38">
      <c r="A137" s="59" t="inlineStr">
        <is>
          <t>Mountain Drilling Ltda.</t>
        </is>
      </c>
      <c r="B137" s="59" t="inlineStr">
        <is>
          <t>Proyectos Helitransportables, Servicios de Perforación</t>
        </is>
      </c>
      <c r="C137" s="59" t="inlineStr">
        <is>
          <t>La Serena</t>
        </is>
      </c>
      <c r="D137" s="59" t="inlineStr">
        <is>
          <t>Desarrollo Técnico Perforación Diamantina</t>
        </is>
      </c>
      <c r="E137" s="59" t="n"/>
      <c r="F137" s="59" t="inlineStr">
        <is>
          <t>https://cl.linkedin.com/in/oscar-urbina-07a893b5</t>
        </is>
      </c>
      <c r="G137" s="59" t="inlineStr">
        <is>
          <t>Oscar Urbina (Gerente Gestion y Desarrollo)</t>
        </is>
      </c>
      <c r="H137" s="59" t="n"/>
      <c r="I137" s="63" t="n"/>
      <c r="J137" s="63" t="n"/>
      <c r="K137" s="59" t="n"/>
      <c r="L137" s="59" t="inlineStr">
        <is>
          <t>Ventas: GRANDE 2 (200.000 - 600.000 UF) | Empleados: 95</t>
        </is>
      </c>
      <c r="M137" s="61" t="inlineStr">
        <is>
          <t>Contactado Email</t>
        </is>
      </c>
      <c r="N137" s="61" t="n"/>
      <c r="O137" s="61" t="n"/>
      <c r="P137" s="61" t="n"/>
      <c r="Q137" s="61" t="n"/>
      <c r="R137" s="62" t="n"/>
      <c r="S137" s="61" t="n"/>
      <c r="T137" s="59" t="inlineStr">
        <is>
          <t>76.322.002-8</t>
        </is>
      </c>
      <c r="U137" s="59" t="inlineStr">
        <is>
          <t>(56) 9 4227 6346</t>
        </is>
      </c>
      <c r="V137" s="37" t="inlineStr">
        <is>
          <t>2026-03-17</t>
        </is>
      </c>
    </row>
    <row r="138" ht="15.75" customHeight="1" s="38">
      <c r="A138" s="59" t="inlineStr">
        <is>
          <t>Multotec Chile S.A.</t>
        </is>
      </c>
      <c r="B138" s="59" t="inlineStr">
        <is>
          <t>Equipos para Procesamiento de Minerales, Plantas de Procesamiento de Minerales</t>
        </is>
      </c>
      <c r="C138" s="59" t="inlineStr">
        <is>
          <t>Santiago</t>
        </is>
      </c>
      <c r="D138" s="59" t="inlineStr">
        <is>
          <t>Muestreo Mineral &amp; Infraestructura Minera</t>
        </is>
      </c>
      <c r="E138" s="59" t="n"/>
      <c r="F138" s="59" t="inlineStr">
        <is>
          <t>https://cl.linkedin.com/in/mario-saavedra</t>
        </is>
      </c>
      <c r="G138" s="59" t="inlineStr">
        <is>
          <t>Mario Saavedra Vergara (CEO/Gerente General)</t>
        </is>
      </c>
      <c r="H138" s="59" t="n"/>
      <c r="I138" s="63" t="n"/>
      <c r="J138" s="63" t="n"/>
      <c r="K138" s="59" t="n"/>
      <c r="L138" s="59" t="inlineStr">
        <is>
          <t>Ventas: GRANDE 2 (200.000 - 600.000 UF) | Empleados: 78</t>
        </is>
      </c>
      <c r="M138" s="61" t="inlineStr">
        <is>
          <t>Contactado Email</t>
        </is>
      </c>
      <c r="N138" s="61" t="n"/>
      <c r="O138" s="61" t="n"/>
      <c r="P138" s="61" t="n"/>
      <c r="Q138" s="61" t="n"/>
      <c r="R138" s="62" t="n"/>
      <c r="S138" s="61" t="n"/>
      <c r="T138" s="59" t="inlineStr">
        <is>
          <t>96.841.500-K</t>
        </is>
      </c>
      <c r="U138" s="59" t="inlineStr">
        <is>
          <t>(56) 2 2745 3317</t>
        </is>
      </c>
      <c r="V138" s="37" t="inlineStr">
        <is>
          <t>2026-03-17</t>
        </is>
      </c>
    </row>
    <row r="139" ht="15.75" customHeight="1" s="38">
      <c r="A139" s="59" t="inlineStr">
        <is>
          <t>NDU Ingeniería Ltda.</t>
        </is>
      </c>
      <c r="B139" s="59" t="inlineStr">
        <is>
          <t>Equipos Eléctricos</t>
        </is>
      </c>
      <c r="C139" s="59" t="inlineStr">
        <is>
          <t>Santiago</t>
        </is>
      </c>
      <c r="D139" s="59" t="inlineStr">
        <is>
          <t>Modernización Eléctrica &amp; Automatización</t>
        </is>
      </c>
      <c r="E139" s="59" t="n"/>
      <c r="F139" s="59" t="inlineStr">
        <is>
          <t>https://ndu.cl/</t>
        </is>
      </c>
      <c r="G139" s="59" t="inlineStr">
        <is>
          <t>Tania Deocares (Gerente General)</t>
        </is>
      </c>
      <c r="H139" s="59" t="n"/>
      <c r="I139" s="63" t="n"/>
      <c r="J139" s="63" t="n"/>
      <c r="K139" s="59" t="n"/>
      <c r="L139" s="59" t="inlineStr">
        <is>
          <t>Ventas: GRANDE 3 (600.000 - 1.000.000 UF) | Empleados: 45</t>
        </is>
      </c>
      <c r="M139" s="61" t="inlineStr">
        <is>
          <t>Contactado Email</t>
        </is>
      </c>
      <c r="N139" s="61" t="n"/>
      <c r="O139" s="61" t="n"/>
      <c r="P139" s="61" t="n"/>
      <c r="Q139" s="61" t="n"/>
      <c r="R139" s="62" t="n"/>
      <c r="S139" s="61" t="n"/>
      <c r="T139" s="59" t="inlineStr">
        <is>
          <t>78.731.270-5</t>
        </is>
      </c>
      <c r="U139" s="59" t="inlineStr">
        <is>
          <t>(56) 2 2963 9840</t>
        </is>
      </c>
      <c r="V139" s="37" t="inlineStr">
        <is>
          <t>2026-03-17</t>
        </is>
      </c>
    </row>
    <row r="140" ht="15.75" customHeight="1" s="38">
      <c r="A140" s="59" t="inlineStr">
        <is>
          <t>Neptuno Pumps</t>
        </is>
      </c>
      <c r="B140" s="59" t="inlineStr">
        <is>
          <t>Bombas</t>
        </is>
      </c>
      <c r="C140" s="59" t="inlineStr">
        <is>
          <t>Iquique</t>
        </is>
      </c>
      <c r="D140" s="59" t="inlineStr">
        <is>
          <t>IoT &amp; Manufactura 4.0</t>
        </is>
      </c>
      <c r="E140" s="59" t="inlineStr">
        <is>
          <t>Congreso Innovación</t>
        </is>
      </c>
      <c r="F140" s="59" t="n"/>
      <c r="G140" s="59" t="inlineStr">
        <is>
          <t>Sergio Quijada Zuñiga (CTO)</t>
        </is>
      </c>
      <c r="H140" s="59" t="inlineStr">
        <is>
          <t>squijada@neptunopumps.com</t>
        </is>
      </c>
      <c r="I140" s="63" t="n"/>
      <c r="J140" s="63" t="n"/>
      <c r="K140" s="59" t="n"/>
      <c r="L140" s="59" t="inlineStr">
        <is>
          <t>Ventas: GRANDE 4 (Mas de 1.000.000 UF) | Empleados: 20</t>
        </is>
      </c>
      <c r="M140" s="61" t="inlineStr">
        <is>
          <t>Contactado Email</t>
        </is>
      </c>
      <c r="N140" s="61" t="n"/>
      <c r="O140" s="61" t="n"/>
      <c r="P140" s="61" t="n"/>
      <c r="Q140" s="61" t="n"/>
      <c r="R140" s="62" t="n"/>
      <c r="S140" s="61" t="n"/>
      <c r="T140" s="59" t="inlineStr">
        <is>
          <t>95.440.000-K</t>
        </is>
      </c>
      <c r="U140" s="59" t="inlineStr">
        <is>
          <t>(56) 57 242 4685</t>
        </is>
      </c>
      <c r="V140" s="37" t="inlineStr">
        <is>
          <t>2026-03-17</t>
        </is>
      </c>
    </row>
    <row r="141" ht="15.75" customHeight="1" s="38">
      <c r="A141" s="59" t="inlineStr">
        <is>
          <t>Nicolaides Tratamiento de Aguas S.A.</t>
        </is>
      </c>
      <c r="B141" s="59" t="inlineStr">
        <is>
          <t>Proveedor Destacado, Plantas para Osmosis Inversa, Plantas para Tratamiento de Aguas Servidas, Plantas para Tratamiento de Efluentes, Plantas para Tratamiento de Riles, Productos Químicos para Osmosis Inversa, Productos Químicos para Torres de Enfriamiento y Calderas, Sistemas para Tratamiento de Aguas Industriales y Residuales, Tratamiento de Aguas Industriales</t>
        </is>
      </c>
      <c r="C141" s="59" t="inlineStr">
        <is>
          <t>Antofagasta</t>
        </is>
      </c>
      <c r="D141" s="59" t="inlineStr">
        <is>
          <t>Gestión Sistemas Internos</t>
        </is>
      </c>
      <c r="E141" s="59" t="inlineStr">
        <is>
          <t>LinkedIn</t>
        </is>
      </c>
      <c r="F141" s="59" t="inlineStr">
        <is>
          <t>https://cl.linkedin.com/in/victor-gonzalez-3652873a</t>
        </is>
      </c>
      <c r="G141" s="59" t="inlineStr">
        <is>
          <t>Victor Gonzalez (Jefe de Informatica)</t>
        </is>
      </c>
      <c r="H141" s="59" t="n"/>
      <c r="I141" s="63" t="n"/>
      <c r="J141" s="63" t="n"/>
      <c r="K141" s="59" t="inlineStr">
        <is>
          <t>http://www.nicolaides.cl</t>
        </is>
      </c>
      <c r="L141" s="59" t="inlineStr">
        <is>
          <t>Ventas: GRANDE 2 (200.000 - 600.000 UF) | Empleados: 18</t>
        </is>
      </c>
      <c r="M141" s="61" t="inlineStr">
        <is>
          <t>Contactado Email</t>
        </is>
      </c>
      <c r="N141" s="61" t="n"/>
      <c r="O141" s="61" t="n"/>
      <c r="P141" s="61" t="n"/>
      <c r="Q141" s="61" t="n"/>
      <c r="R141" s="62" t="n"/>
      <c r="S141" s="61" t="n"/>
      <c r="T141" s="59" t="inlineStr">
        <is>
          <t>77.469.040-9</t>
        </is>
      </c>
      <c r="U141" s="59" t="inlineStr">
        <is>
          <t>(56) 2 2352 0000</t>
        </is>
      </c>
      <c r="V141" s="37" t="inlineStr">
        <is>
          <t>2026-03-17</t>
        </is>
      </c>
    </row>
    <row r="142" ht="15.75" customHeight="1" s="38">
      <c r="A142" s="59" t="inlineStr">
        <is>
          <t>Nómade Chile</t>
        </is>
      </c>
      <c r="B142" s="59" t="inlineStr">
        <is>
          <t>Campamentos Mineros, Campamentos para Exploración</t>
        </is>
      </c>
      <c r="C142" s="59" t="inlineStr">
        <is>
          <t>Santiago</t>
        </is>
      </c>
      <c r="D142" s="59" t="inlineStr">
        <is>
          <t>Proyectos PMO en Zonas Extremas (Minería/Energía)</t>
        </is>
      </c>
      <c r="E142" s="59" t="n"/>
      <c r="F142" s="59" t="inlineStr">
        <is>
          <t>https://cl.linkedin.com/company/nomadechile</t>
        </is>
      </c>
      <c r="G142" s="59" t="inlineStr">
        <is>
          <t>Randolph Rufatt Proestakis (CEO)</t>
        </is>
      </c>
      <c r="H142" s="59" t="n"/>
      <c r="I142" s="63" t="n"/>
      <c r="J142" s="63" t="n"/>
      <c r="K142" s="59" t="n"/>
      <c r="L142" s="59" t="inlineStr">
        <is>
          <t>Ventas: GRANDE 2 (200.000 - 600.000 UF) | Empleados: 215</t>
        </is>
      </c>
      <c r="M142" s="61" t="inlineStr">
        <is>
          <t>Contactado Email</t>
        </is>
      </c>
      <c r="N142" s="61" t="n"/>
      <c r="O142" s="61" t="n"/>
      <c r="P142" s="61" t="n"/>
      <c r="Q142" s="61" t="n"/>
      <c r="R142" s="62" t="n"/>
      <c r="S142" s="61" t="n"/>
      <c r="T142" s="59" t="inlineStr">
        <is>
          <t>76.101.122-7</t>
        </is>
      </c>
      <c r="U142" s="59" t="inlineStr">
        <is>
          <t>(56) 2 2933 0500</t>
        </is>
      </c>
      <c r="V142" s="37" t="inlineStr">
        <is>
          <t>2026-03-17</t>
        </is>
      </c>
    </row>
    <row r="143" ht="15.75" customHeight="1" s="38">
      <c r="A143" s="59" t="inlineStr">
        <is>
          <t>Perforock</t>
        </is>
      </c>
      <c r="B143" s="59" t="inlineStr">
        <is>
          <t>Aceros para Perforación, Arriendo de Equipos para la Minería, Equipos para Perforación</t>
        </is>
      </c>
      <c r="C143" s="59" t="inlineStr">
        <is>
          <t>Santiago</t>
        </is>
      </c>
      <c r="D143" s="59" t="inlineStr">
        <is>
          <t>Monitoreo Remoto Perforación</t>
        </is>
      </c>
      <c r="E143" s="59" t="n"/>
      <c r="F143" s="59" t="inlineStr">
        <is>
          <t>https://cl.linkedin.com/in/patricio-reinoso-villarroel-b9247167</t>
        </is>
      </c>
      <c r="G143" s="59" t="inlineStr">
        <is>
          <t>Patricio Reinoso (Gerente General)</t>
        </is>
      </c>
      <c r="H143" s="59" t="n"/>
      <c r="I143" s="63" t="n"/>
      <c r="J143" s="63" t="n"/>
      <c r="K143" s="59" t="n"/>
      <c r="L143" s="59" t="inlineStr">
        <is>
          <t>Ventas: GRANDE 2 (200.000 - 600.000 UF) | Empleados: 36</t>
        </is>
      </c>
      <c r="M143" s="61" t="n"/>
      <c r="N143" s="61" t="n"/>
      <c r="O143" s="61" t="n"/>
      <c r="P143" s="61" t="n"/>
      <c r="Q143" s="61" t="n"/>
      <c r="R143" s="62" t="n"/>
      <c r="S143" s="61" t="n"/>
      <c r="T143" s="59" t="inlineStr">
        <is>
          <t>79.511.120-4</t>
        </is>
      </c>
      <c r="U143" s="59" t="inlineStr">
        <is>
          <t>(56) 2 2617 2380</t>
        </is>
      </c>
    </row>
    <row r="144" ht="15.75" customHeight="1" s="38">
      <c r="A144" s="59" t="inlineStr">
        <is>
          <t>Pernostock Ltda.</t>
        </is>
      </c>
      <c r="B144" s="59" t="inlineStr">
        <is>
          <t>Aceros Especiales, Artículos para Fijación y Sujeción</t>
        </is>
      </c>
      <c r="C144" s="59" t="inlineStr">
        <is>
          <t>Santiago</t>
        </is>
      </c>
      <c r="D144" s="59" t="inlineStr">
        <is>
          <t>Upgrade WMS Control Stock Especializado</t>
        </is>
      </c>
      <c r="E144" s="59" t="n"/>
      <c r="F144" s="59" t="inlineStr">
        <is>
          <t>https://www.pernostock.cl/</t>
        </is>
      </c>
      <c r="G144" s="59" t="inlineStr">
        <is>
          <t>Alberto Harrison (General Manager)</t>
        </is>
      </c>
      <c r="H144" s="59" t="n"/>
      <c r="I144" s="63" t="n"/>
      <c r="J144" s="63" t="n"/>
      <c r="K144" s="59" t="n"/>
      <c r="L144" s="59" t="inlineStr">
        <is>
          <t>Ventas: GRANDE 2 (200.000 - 600.000 UF) | Empleados: 51</t>
        </is>
      </c>
      <c r="M144" s="61" t="n"/>
      <c r="N144" s="61" t="n"/>
      <c r="O144" s="61" t="n"/>
      <c r="P144" s="61" t="n"/>
      <c r="Q144" s="61" t="n"/>
      <c r="R144" s="62" t="n"/>
      <c r="S144" s="61" t="n"/>
      <c r="T144" s="59" t="inlineStr">
        <is>
          <t>78.012.550-0</t>
        </is>
      </c>
      <c r="U144" s="59" t="inlineStr">
        <is>
          <t>(56) 2 2636 6100</t>
        </is>
      </c>
    </row>
    <row r="145" ht="15.75" customHeight="1" s="38">
      <c r="A145" s="59" t="inlineStr">
        <is>
          <t>Pesamatic S.A.</t>
        </is>
      </c>
      <c r="B145" s="59" t="inlineStr">
        <is>
          <t>Automatización Industrial, Básculas</t>
        </is>
      </c>
      <c r="C145" s="59" t="inlineStr">
        <is>
          <t>Santiago</t>
        </is>
      </c>
      <c r="D145" s="59" t="inlineStr">
        <is>
          <t>Automatización Pesaje Industrial</t>
        </is>
      </c>
      <c r="E145" s="59" t="n"/>
      <c r="F145" s="59" t="inlineStr">
        <is>
          <t>https://www.google.com/search?q=Pesamatic+S.A.+Chile+LinkedIn</t>
        </is>
      </c>
      <c r="G145" s="59" t="inlineStr">
        <is>
          <t>Carlos Cortés (Jefe Post Venta)</t>
        </is>
      </c>
      <c r="H145" s="59" t="n"/>
      <c r="I145" s="63" t="n"/>
      <c r="J145" s="63" t="n"/>
      <c r="K145" s="59" t="n"/>
      <c r="L145" s="59" t="inlineStr">
        <is>
          <t>Ventas: GRANDE 2 (200.000 - 600.000 UF) | Empleados: 137</t>
        </is>
      </c>
      <c r="M145" s="61" t="n"/>
      <c r="N145" s="61" t="n"/>
      <c r="O145" s="61" t="n"/>
      <c r="P145" s="61" t="n"/>
      <c r="Q145" s="61" t="n"/>
      <c r="R145" s="62" t="n"/>
      <c r="S145" s="61" t="n"/>
      <c r="T145" s="59" t="inlineStr">
        <is>
          <t>80.975.200-3</t>
        </is>
      </c>
      <c r="U145" s="59" t="inlineStr">
        <is>
          <t>(56) 2 2790 4000</t>
        </is>
      </c>
    </row>
    <row r="146" ht="15.75" customHeight="1" s="38">
      <c r="A146" s="59" t="inlineStr">
        <is>
          <t>Phoenix Contact Chile S.A.</t>
        </is>
      </c>
      <c r="B146" s="59" t="inlineStr">
        <is>
          <t>Automatización, Conectores Eléctricos</t>
        </is>
      </c>
      <c r="C146" s="59" t="inlineStr">
        <is>
          <t>Santiago</t>
        </is>
      </c>
      <c r="D146" s="59" t="inlineStr">
        <is>
          <t>Investigación en Proceso</t>
        </is>
      </c>
      <c r="E146" s="59" t="n"/>
      <c r="F146" s="59" t="n"/>
      <c r="G146" s="59" t="inlineStr">
        <is>
          <t>Eduardo Tapia (Tech Lead / Product Manager)</t>
        </is>
      </c>
      <c r="H146" s="59" t="inlineStr">
        <is>
          <t>etapia@phoenixcontact.cl</t>
        </is>
      </c>
      <c r="I146" s="63" t="n"/>
      <c r="J146" s="63" t="n"/>
      <c r="K146" s="59" t="n"/>
      <c r="L146" s="59" t="inlineStr">
        <is>
          <t>Ventas: GRANDE 3 (600.000 - 1.000.000 UF) | Empleados: 42</t>
        </is>
      </c>
      <c r="M146" s="61" t="n"/>
      <c r="N146" s="61" t="n"/>
      <c r="O146" s="61" t="n"/>
      <c r="P146" s="61" t="n"/>
      <c r="Q146" s="61" t="n"/>
      <c r="R146" s="62" t="n"/>
      <c r="S146" s="61" t="n"/>
      <c r="T146" s="59" t="inlineStr">
        <is>
          <t>76.445.140-6</t>
        </is>
      </c>
      <c r="U146" s="59" t="inlineStr">
        <is>
          <t>(56) 2 2652 2000</t>
        </is>
      </c>
    </row>
    <row r="147" ht="15.75" customHeight="1" s="38">
      <c r="A147" s="59" t="inlineStr">
        <is>
          <t>Piddo, Jorge Piddo y Cía. Ltda.</t>
        </is>
      </c>
      <c r="B147" s="59" t="inlineStr">
        <is>
          <t>Administración de Proyectos</t>
        </is>
      </c>
      <c r="C147" s="59" t="inlineStr">
        <is>
          <t>Santiago</t>
        </is>
      </c>
      <c r="D147" s="59" t="inlineStr">
        <is>
          <t>Grandes Proyectos Infraestructura</t>
        </is>
      </c>
      <c r="E147" s="59" t="n"/>
      <c r="F147" s="59" t="inlineStr">
        <is>
          <t>https://cl.linkedin.com/in/efra%C3%ADn-jaque-carre%C3%B1o-1b2b80145</t>
        </is>
      </c>
      <c r="G147" s="59" t="inlineStr">
        <is>
          <t>Efraín Jaque Carreño (Gerente Ingeniería)</t>
        </is>
      </c>
      <c r="H147" s="59" t="n"/>
      <c r="I147" s="63" t="n"/>
      <c r="J147" s="63" t="n"/>
      <c r="K147" s="59" t="n"/>
      <c r="L147" s="59" t="inlineStr">
        <is>
          <t>Ventas: GRANDE 2 (200.000 - 600.000 UF) | Empleados: 140</t>
        </is>
      </c>
      <c r="M147" s="61" t="n"/>
      <c r="N147" s="61" t="n"/>
      <c r="O147" s="61" t="n"/>
      <c r="P147" s="61" t="n"/>
      <c r="Q147" s="61" t="n"/>
      <c r="R147" s="62" t="n"/>
      <c r="S147" s="61" t="n"/>
      <c r="T147" s="59" t="inlineStr">
        <is>
          <t>87.786.100-7</t>
        </is>
      </c>
      <c r="U147" s="59" t="inlineStr">
        <is>
          <t>(56) 2 2233 6000</t>
        </is>
      </c>
    </row>
    <row r="148" ht="15.75" customHeight="1" s="38">
      <c r="A148" s="59" t="inlineStr">
        <is>
          <t>Pizarreño S.A.</t>
        </is>
      </c>
      <c r="B148" s="59" t="inlineStr">
        <is>
          <t>Productos para la Construcción</t>
        </is>
      </c>
      <c r="C148" s="59" t="inlineStr">
        <is>
          <t>Santiago</t>
        </is>
      </c>
      <c r="D148" s="59" t="inlineStr">
        <is>
          <t>Investigación en Proceso</t>
        </is>
      </c>
      <c r="E148" s="59" t="n"/>
      <c r="F148" s="59" t="n"/>
      <c r="G148" s="59" t="inlineStr">
        <is>
          <t>Cristian Celedón (Jefe de Sistemas)</t>
        </is>
      </c>
      <c r="H148" s="59" t="inlineStr">
        <is>
          <t>cristian.celedon@etexgroup.com</t>
        </is>
      </c>
      <c r="I148" s="63" t="n"/>
      <c r="J148" s="63" t="n"/>
      <c r="K148" s="59" t="n"/>
      <c r="L148" s="59" t="inlineStr">
        <is>
          <t>Ventas: GRANDE 3 (600.000 - 1.000.000 UF) | Empleados: 23</t>
        </is>
      </c>
      <c r="M148" s="61" t="n"/>
      <c r="N148" s="61" t="n"/>
      <c r="O148" s="61" t="n"/>
      <c r="P148" s="61" t="n"/>
      <c r="Q148" s="61" t="n"/>
      <c r="R148" s="62" t="n"/>
      <c r="S148" s="61" t="n"/>
      <c r="T148" s="59" t="inlineStr">
        <is>
          <t>90.707.000-K</t>
        </is>
      </c>
      <c r="U148" s="59" t="inlineStr">
        <is>
          <t>(56) 2 2391 2200</t>
        </is>
      </c>
    </row>
    <row r="149" ht="15.75" customHeight="1" s="38">
      <c r="A149" s="59" t="inlineStr">
        <is>
          <t>Plastigen</t>
        </is>
      </c>
      <c r="B149" s="59" t="inlineStr">
        <is>
          <t>Plásticos</t>
        </is>
      </c>
      <c r="C149" s="59" t="inlineStr">
        <is>
          <t>Santiago</t>
        </is>
      </c>
      <c r="D149" s="59" t="inlineStr">
        <is>
          <t>Investigación en Proceso</t>
        </is>
      </c>
      <c r="E149" s="59" t="n"/>
      <c r="F149" s="59" t="n"/>
      <c r="G149" s="59" t="inlineStr">
        <is>
          <t>Erika Santibañez (Gerente TI)</t>
        </is>
      </c>
      <c r="H149" s="59" t="inlineStr">
        <is>
          <t>esantibanez@plastigen.cl</t>
        </is>
      </c>
      <c r="I149" s="63" t="n"/>
      <c r="J149" s="63" t="n"/>
      <c r="K149" s="59" t="n"/>
      <c r="L149" s="59" t="inlineStr">
        <is>
          <t>Ventas: GRANDE 3 (600.000 - 1.000.000 UF) | Empleados: 142</t>
        </is>
      </c>
      <c r="M149" s="61" t="n"/>
      <c r="N149" s="61" t="n"/>
      <c r="O149" s="61" t="n"/>
      <c r="P149" s="61" t="n"/>
      <c r="Q149" s="61" t="n"/>
      <c r="R149" s="62" t="n"/>
      <c r="S149" s="61" t="n"/>
      <c r="T149" s="59" t="inlineStr">
        <is>
          <t>96.501.500-0</t>
        </is>
      </c>
      <c r="U149" s="59" t="inlineStr">
        <is>
          <t>(56) 2 2332 3900</t>
        </is>
      </c>
    </row>
    <row r="150" ht="15.75" customHeight="1" s="38">
      <c r="A150" s="59" t="inlineStr">
        <is>
          <t>Plásticos Haddad S.A.</t>
        </is>
      </c>
      <c r="B150" s="59" t="inlineStr">
        <is>
          <t>Señalética Vial, Tambores de Plástico</t>
        </is>
      </c>
      <c r="C150" s="59" t="inlineStr">
        <is>
          <t>Santiago</t>
        </is>
      </c>
      <c r="D150" s="59" t="inlineStr">
        <is>
          <t>Investigación en Proceso</t>
        </is>
      </c>
      <c r="E150" s="59" t="n"/>
      <c r="F150" s="59" t="n"/>
      <c r="G150" s="59" t="inlineStr">
        <is>
          <t>Carlos Donoso Leyton (Ing. Informática)</t>
        </is>
      </c>
      <c r="H150" s="59" t="inlineStr">
        <is>
          <t>cdonoso@haddad.cl</t>
        </is>
      </c>
      <c r="I150" s="63" t="n"/>
      <c r="J150" s="63" t="n"/>
      <c r="K150" s="59" t="n"/>
      <c r="L150" s="59" t="inlineStr">
        <is>
          <t>Ventas: GRANDE 3 (600.000 - 1.000.000 UF) | Empleados: 345</t>
        </is>
      </c>
      <c r="M150" s="61" t="n"/>
      <c r="N150" s="61" t="n"/>
      <c r="O150" s="61" t="n"/>
      <c r="P150" s="61" t="n"/>
      <c r="Q150" s="61" t="n"/>
      <c r="R150" s="62" t="n"/>
      <c r="S150" s="61" t="n"/>
      <c r="T150" s="59" t="inlineStr">
        <is>
          <t>86.778.100-5</t>
        </is>
      </c>
      <c r="U150" s="59" t="inlineStr">
        <is>
          <t>(56) 2 2462 7200</t>
        </is>
      </c>
    </row>
    <row r="151" ht="15.75" customHeight="1" s="38">
      <c r="A151" s="59" t="inlineStr">
        <is>
          <t>Polimin Ltda.</t>
        </is>
      </c>
      <c r="B151" s="59" t="inlineStr">
        <is>
          <t>Chancadores de Rodillos</t>
        </is>
      </c>
      <c r="C151" s="59" t="inlineStr">
        <is>
          <t>Santiago</t>
        </is>
      </c>
      <c r="D151" s="59" t="inlineStr">
        <is>
          <t>Investigación en Proceso</t>
        </is>
      </c>
      <c r="E151" s="59" t="n"/>
      <c r="F151" s="59" t="n"/>
      <c r="G151" s="59" t="inlineStr">
        <is>
          <t>Carlos Stipicic Vial (Gerente General)</t>
        </is>
      </c>
      <c r="H151" s="59" t="inlineStr">
        <is>
          <t>cstipicic@polimin.cl</t>
        </is>
      </c>
      <c r="I151" s="63" t="n"/>
      <c r="J151" s="63" t="n"/>
      <c r="K151" s="59" t="n"/>
      <c r="L151" s="59" t="inlineStr">
        <is>
          <t>Ventas: GRANDE 3 (600.000 - 1.000.000 UF) | Empleados: 68</t>
        </is>
      </c>
      <c r="M151" s="61" t="n"/>
      <c r="N151" s="61" t="n"/>
      <c r="O151" s="61" t="n"/>
      <c r="P151" s="61" t="n"/>
      <c r="Q151" s="61" t="n"/>
      <c r="R151" s="62" t="n"/>
      <c r="S151" s="61" t="n"/>
      <c r="T151" s="59" t="inlineStr">
        <is>
          <t>79.760.310-4</t>
        </is>
      </c>
      <c r="U151" s="59" t="inlineStr">
        <is>
          <t>(56) 2 2770 9000</t>
        </is>
      </c>
    </row>
    <row r="152" ht="15.75" customHeight="1" s="38">
      <c r="A152" s="59" t="inlineStr">
        <is>
          <t>Politec S.A.</t>
        </is>
      </c>
      <c r="B152" s="59" t="inlineStr">
        <is>
          <t>Bandejas y Escalerillas Portaconductores</t>
        </is>
      </c>
      <c r="C152" s="59" t="inlineStr">
        <is>
          <t>Santiago</t>
        </is>
      </c>
      <c r="D152" s="59" t="inlineStr">
        <is>
          <t>Investigación en Proceso</t>
        </is>
      </c>
      <c r="E152" s="59" t="n"/>
      <c r="F152" s="59" t="n"/>
      <c r="G152" s="59" t="inlineStr">
        <is>
          <t>Julio Pino (Gerente de Operaciones)</t>
        </is>
      </c>
      <c r="H152" s="59" t="inlineStr">
        <is>
          <t>jpino@politec.cl</t>
        </is>
      </c>
      <c r="I152" s="63" t="n"/>
      <c r="J152" s="63" t="n"/>
      <c r="K152" s="59" t="n"/>
      <c r="L152" s="59" t="inlineStr">
        <is>
          <t>Ventas: GRANDE 3 (600.000 - 1.000.000 UF) | Empleados: 225</t>
        </is>
      </c>
      <c r="M152" s="61" t="n"/>
      <c r="N152" s="61" t="n"/>
      <c r="O152" s="61" t="n"/>
      <c r="P152" s="61" t="n"/>
      <c r="Q152" s="61" t="n"/>
      <c r="R152" s="62" t="n"/>
      <c r="S152" s="61" t="n"/>
      <c r="T152" s="59" t="inlineStr">
        <is>
          <t>96.567.010-6</t>
        </is>
      </c>
      <c r="U152" s="59" t="inlineStr">
        <is>
          <t>(56) 2 2394 7100</t>
        </is>
      </c>
    </row>
    <row r="153" ht="15.75" customHeight="1" s="38">
      <c r="A153" s="59" t="inlineStr">
        <is>
          <t>Polymershapes</t>
        </is>
      </c>
      <c r="B153" s="59" t="inlineStr">
        <is>
          <t>Planchas de Policarbonato</t>
        </is>
      </c>
      <c r="C153" s="59" t="inlineStr">
        <is>
          <t>Santiago</t>
        </is>
      </c>
      <c r="D153" s="59" t="inlineStr">
        <is>
          <t>Distribución Materiales Healthcare &amp; Life Sciences</t>
        </is>
      </c>
      <c r="E153" s="59" t="n"/>
      <c r="F153" s="59" t="inlineStr">
        <is>
          <t>https://cl.linkedin.com/in/danielcristigerente</t>
        </is>
      </c>
      <c r="G153" s="59" t="inlineStr">
        <is>
          <t>Daniel Cristi (Country Manager)</t>
        </is>
      </c>
      <c r="H153" s="59" t="n"/>
      <c r="I153" s="63" t="n"/>
      <c r="J153" s="63" t="n"/>
      <c r="K153" s="59" t="n"/>
      <c r="L153" s="59" t="inlineStr">
        <is>
          <t>Ventas: GRANDE 2 (200.000 - 600.000 UF) | Empleados: 30</t>
        </is>
      </c>
      <c r="M153" s="61" t="n"/>
      <c r="N153" s="61" t="n"/>
      <c r="O153" s="61" t="n"/>
      <c r="P153" s="61" t="n"/>
      <c r="Q153" s="61" t="n"/>
      <c r="R153" s="62" t="n"/>
      <c r="S153" s="61" t="n"/>
      <c r="T153" s="59" t="inlineStr">
        <is>
          <t>96.823.070-0</t>
        </is>
      </c>
      <c r="U153" s="59" t="inlineStr">
        <is>
          <t>(56) 9 9139 3845</t>
        </is>
      </c>
    </row>
    <row r="154" ht="15.75" customHeight="1" s="38">
      <c r="A154" s="59" t="inlineStr">
        <is>
          <t>Precisión S.A.</t>
        </is>
      </c>
      <c r="B154" s="59" t="inlineStr">
        <is>
          <t>Diseño, construcción y puesta en marcha de salas eléctricas, Equipos de Pesaje, Soluciones de Pesaje: Industrial, Laboratorios, Minería, Retail y Area Médica</t>
        </is>
      </c>
      <c r="C154" s="59" t="inlineStr">
        <is>
          <t>Santiago</t>
        </is>
      </c>
      <c r="D154" s="59" t="inlineStr">
        <is>
          <t>Investigación en Proceso</t>
        </is>
      </c>
      <c r="E154" s="59" t="n"/>
      <c r="F154" s="59" t="n"/>
      <c r="G154" s="59" t="inlineStr">
        <is>
          <t>Mario Pavez (Arquitecto de TI / DevOps)</t>
        </is>
      </c>
      <c r="H154" s="59" t="inlineStr">
        <is>
          <t>mario.pavez@precision.cl</t>
        </is>
      </c>
      <c r="I154" s="63" t="n"/>
      <c r="J154" s="63" t="n"/>
      <c r="K154" s="59" t="n"/>
      <c r="L154" s="59" t="inlineStr">
        <is>
          <t>Ventas: GRANDE 3 (600.000 - 1.000.000 UF) | Empleados: 0</t>
        </is>
      </c>
      <c r="M154" s="61" t="n"/>
      <c r="N154" s="61" t="n"/>
      <c r="O154" s="61" t="n"/>
      <c r="P154" s="61" t="n"/>
      <c r="Q154" s="61" t="n"/>
      <c r="R154" s="62" t="n"/>
      <c r="S154" s="61" t="n"/>
      <c r="T154" s="59" t="inlineStr">
        <is>
          <t>96.980.910-9</t>
        </is>
      </c>
      <c r="U154" s="59" t="inlineStr">
        <is>
          <t>(56) 2 2422 6000</t>
        </is>
      </c>
    </row>
    <row r="155" ht="15.75" customHeight="1" s="38">
      <c r="A155" s="59" t="inlineStr">
        <is>
          <t>Prieto Abogados SpA</t>
        </is>
      </c>
      <c r="B155" s="59" t="inlineStr">
        <is>
          <t>Asesorías Jurídicas en Minería, Servicios Legales</t>
        </is>
      </c>
      <c r="C155" s="59" t="inlineStr">
        <is>
          <t>Santiago</t>
        </is>
      </c>
      <c r="D155" s="59" t="inlineStr">
        <is>
          <t>Investigación en Proceso</t>
        </is>
      </c>
      <c r="E155" s="59" t="n"/>
      <c r="F155" s="59" t="n"/>
      <c r="G155" s="59" t="inlineStr">
        <is>
          <t>Waldo Reyes (Gerente de TI)</t>
        </is>
      </c>
      <c r="H155" s="59" t="inlineStr">
        <is>
          <t>waldo.reyes@prieto.cl</t>
        </is>
      </c>
      <c r="I155" s="63" t="n"/>
      <c r="J155" s="63" t="n"/>
      <c r="K155" s="59" t="n"/>
      <c r="L155" s="59" t="inlineStr">
        <is>
          <t>Ventas: GRANDE 3 (600.000 - 1.000.000 UF) | Empleados: 98</t>
        </is>
      </c>
      <c r="M155" s="61" t="n"/>
      <c r="N155" s="61" t="n"/>
      <c r="O155" s="61" t="n"/>
      <c r="P155" s="61" t="n"/>
      <c r="Q155" s="61" t="n"/>
      <c r="R155" s="62" t="n"/>
      <c r="S155" s="61" t="n"/>
      <c r="T155" s="59" t="inlineStr">
        <is>
          <t>76.448.731-1</t>
        </is>
      </c>
      <c r="U155" s="59" t="inlineStr">
        <is>
          <t>(56) 2 2280 5000</t>
        </is>
      </c>
    </row>
    <row r="156" ht="15.75" customHeight="1" s="38">
      <c r="A156" s="59" t="inlineStr">
        <is>
          <t>Prilogic</t>
        </is>
      </c>
      <c r="B156" s="59" t="inlineStr">
        <is>
          <t>Artículos para Oficinas, Artículos para Protección Personal</t>
        </is>
      </c>
      <c r="C156" s="59" t="inlineStr">
        <is>
          <t>Santiago</t>
        </is>
      </c>
      <c r="D156" s="59" t="inlineStr">
        <is>
          <t>Investigación en Proceso</t>
        </is>
      </c>
      <c r="E156" s="59" t="n"/>
      <c r="F156" s="59" t="n"/>
      <c r="G156" s="59" t="inlineStr">
        <is>
          <t>Rodrigo Restrepo (Gerente General)</t>
        </is>
      </c>
      <c r="H156" s="59" t="inlineStr">
        <is>
          <t>rrestrepo@prilogic.cl</t>
        </is>
      </c>
      <c r="I156" s="63" t="n"/>
      <c r="J156" s="63" t="n"/>
      <c r="K156" s="59" t="n"/>
      <c r="L156" s="59" t="inlineStr">
        <is>
          <t>Ventas: GRANDE 3 (600.000 - 1.000.000 UF) | Empleados: 81</t>
        </is>
      </c>
      <c r="M156" s="61" t="n"/>
      <c r="N156" s="61" t="n"/>
      <c r="O156" s="61" t="n"/>
      <c r="P156" s="61" t="n"/>
      <c r="Q156" s="61" t="n"/>
      <c r="R156" s="62" t="n"/>
      <c r="S156" s="61" t="n"/>
      <c r="T156" s="59" t="inlineStr">
        <is>
          <t>76.460.560-8</t>
        </is>
      </c>
      <c r="U156" s="59" t="inlineStr">
        <is>
          <t>(56) 2 2820 6300</t>
        </is>
      </c>
    </row>
    <row r="157" ht="15.75" customHeight="1" s="38">
      <c r="A157" s="59" t="inlineStr">
        <is>
          <t>Proindar S.A.</t>
        </is>
      </c>
      <c r="B157" s="59" t="inlineStr">
        <is>
          <t>Sumideros</t>
        </is>
      </c>
      <c r="C157" s="59" t="inlineStr">
        <is>
          <t>Santiago</t>
        </is>
      </c>
      <c r="D157" s="59" t="inlineStr">
        <is>
          <t>Digitalización Procesos Industriales</t>
        </is>
      </c>
      <c r="E157" s="59" t="inlineStr">
        <is>
          <t>LinkedIn</t>
        </is>
      </c>
      <c r="F157" s="59" t="inlineStr">
        <is>
          <t>https://cl.linkedin.com/in/jose-bueno-66b124128</t>
        </is>
      </c>
      <c r="G157" s="59" t="inlineStr">
        <is>
          <t>José Bueno (IT Manager)</t>
        </is>
      </c>
      <c r="H157" s="59" t="n"/>
      <c r="I157" s="63" t="n"/>
      <c r="J157" s="63" t="n"/>
      <c r="K157" s="59" t="n"/>
      <c r="L157" s="59" t="inlineStr">
        <is>
          <t>Ventas: GRANDE 2 (200.000 - 600.000 UF) | Empleados: 90</t>
        </is>
      </c>
      <c r="M157" s="61" t="n"/>
      <c r="N157" s="61" t="n"/>
      <c r="O157" s="61" t="n"/>
      <c r="P157" s="61" t="n"/>
      <c r="Q157" s="61" t="n"/>
      <c r="R157" s="62" t="n"/>
      <c r="S157" s="61" t="n"/>
      <c r="T157" s="59" t="inlineStr">
        <is>
          <t>76.839.170-K</t>
        </is>
      </c>
      <c r="U157" s="59" t="inlineStr">
        <is>
          <t>(56) 2 2829 9000</t>
        </is>
      </c>
    </row>
    <row r="158" ht="15.75" customHeight="1" s="38">
      <c r="A158" s="59" t="inlineStr">
        <is>
          <t>Proingas S.A.</t>
        </is>
      </c>
      <c r="B158" s="59" t="inlineStr">
        <is>
          <t>Equipos para Oxicorte</t>
        </is>
      </c>
      <c r="C158" s="59" t="inlineStr">
        <is>
          <t>Santiago</t>
        </is>
      </c>
      <c r="D158" s="59" t="inlineStr">
        <is>
          <t>Migración SAP Business One</t>
        </is>
      </c>
      <c r="E158" s="59" t="inlineStr">
        <is>
          <t>LinkedIn</t>
        </is>
      </c>
      <c r="F158" s="59" t="inlineStr">
        <is>
          <t>https://cl.linkedin.com/in/sandra-ahumada-arce-078856135</t>
        </is>
      </c>
      <c r="G158" s="59" t="inlineStr">
        <is>
          <t>Sandra Ahumada Arce (Systems/IT Mgr)</t>
        </is>
      </c>
      <c r="H158" s="59" t="n"/>
      <c r="I158" s="63" t="n"/>
      <c r="J158" s="63" t="n"/>
      <c r="K158" s="59" t="n"/>
      <c r="L158" s="59" t="inlineStr">
        <is>
          <t>Ventas: GRANDE 2 (200.000 - 600.000 UF) | Empleados: 27</t>
        </is>
      </c>
      <c r="M158" s="61" t="n"/>
      <c r="N158" s="61" t="n"/>
      <c r="O158" s="61" t="n"/>
      <c r="P158" s="61" t="n"/>
      <c r="Q158" s="61" t="n"/>
      <c r="R158" s="62" t="n"/>
      <c r="S158" s="61" t="n"/>
      <c r="T158" s="59" t="inlineStr">
        <is>
          <t>96.869.810-9</t>
        </is>
      </c>
      <c r="U158" s="59" t="inlineStr">
        <is>
          <t>(56) 2 2437 5280</t>
        </is>
      </c>
    </row>
    <row r="159" ht="15.75" customHeight="1" s="38">
      <c r="A159" s="59" t="inlineStr">
        <is>
          <t>Pucará S.A.</t>
        </is>
      </c>
      <c r="B159" s="59" t="inlineStr">
        <is>
          <t>Servicio de Apoyo a la Gestión Invernal, Suministro y Montaje de Sistemas de Control de Caída de Rocas, Suministro, Montaje y Puesta en Marcha de Sistemas de Control de Avalanchas</t>
        </is>
      </c>
      <c r="C159" s="59" t="inlineStr">
        <is>
          <t>Santiago</t>
        </is>
      </c>
      <c r="D159" s="59" t="inlineStr">
        <is>
          <t>Investigación en Proceso</t>
        </is>
      </c>
      <c r="E159" s="59" t="n"/>
      <c r="F159" s="59" t="n"/>
      <c r="G159" s="59" t="inlineStr">
        <is>
          <t>Roberto Pérez Contreras (Gte Desarrollo y Operaciones)</t>
        </is>
      </c>
      <c r="H159" s="59" t="inlineStr">
        <is>
          <t>rperez@pucara.cl</t>
        </is>
      </c>
      <c r="I159" s="63" t="n"/>
      <c r="J159" s="63" t="n"/>
      <c r="K159" s="59" t="n"/>
      <c r="L159" s="59" t="inlineStr">
        <is>
          <t>Ventas: GRANDE 3 (600.000 - 1.000.000 UF) | Empleados: 534</t>
        </is>
      </c>
      <c r="M159" s="61" t="n"/>
      <c r="N159" s="61" t="n"/>
      <c r="O159" s="61" t="n"/>
      <c r="P159" s="61" t="n"/>
      <c r="Q159" s="61" t="n"/>
      <c r="R159" s="62" t="n"/>
      <c r="S159" s="61" t="n"/>
      <c r="T159" s="59" t="inlineStr">
        <is>
          <t>96.625.270-7</t>
        </is>
      </c>
      <c r="U159" s="59" t="inlineStr">
        <is>
          <t>(56) 2 2223 6167</t>
        </is>
      </c>
    </row>
    <row r="160" ht="15.75" customHeight="1" s="38">
      <c r="A160" s="59" t="inlineStr">
        <is>
          <t>Puerto Antofagasta</t>
        </is>
      </c>
      <c r="B160" s="59" t="inlineStr">
        <is>
          <t>Puertos, Servicios Portuarios</t>
        </is>
      </c>
      <c r="C160" s="59" t="inlineStr">
        <is>
          <t>Antofagasta</t>
        </is>
      </c>
      <c r="D160" s="59" t="inlineStr">
        <is>
          <t>Port Community System (PCS) Transf. Digital Logística</t>
        </is>
      </c>
      <c r="E160" s="59" t="inlineStr">
        <is>
          <t>Antofagastaport.cl / MTT</t>
        </is>
      </c>
      <c r="F160" s="59" t="inlineStr">
        <is>
          <t>https://www.anfport.cl/proyecto-de-transformation-digital-port-community-system-simplificara-el-comercio-exterior-en-la-region-de-antofagasta/</t>
        </is>
      </c>
      <c r="G160" s="59" t="inlineStr">
        <is>
          <t>Carlos Fredes (Jefe TI)</t>
        </is>
      </c>
      <c r="H160" s="59" t="inlineStr">
        <is>
          <t>cfredes@puertoantofagasta.cl</t>
        </is>
      </c>
      <c r="I160" s="63" t="n"/>
      <c r="J160" s="63" t="n"/>
      <c r="K160" s="59" t="n"/>
      <c r="L160" s="59" t="inlineStr">
        <is>
          <t>Ventas: GRANDE 4 (Mas de 1.000.000 UF) | Empleados: 54</t>
        </is>
      </c>
      <c r="M160" s="61" t="n"/>
      <c r="N160" s="61" t="n"/>
      <c r="O160" s="61" t="n"/>
      <c r="P160" s="61" t="n"/>
      <c r="Q160" s="61" t="n"/>
      <c r="R160" s="62" t="n"/>
      <c r="S160" s="61" t="n"/>
      <c r="T160" s="59" t="inlineStr">
        <is>
          <t>73.968.300-9</t>
        </is>
      </c>
      <c r="U160" s="59" t="inlineStr">
        <is>
          <t>(56) 55 256 3736</t>
        </is>
      </c>
    </row>
    <row r="161" ht="15.75" customHeight="1" s="38">
      <c r="A161" s="59" t="inlineStr">
        <is>
          <t>Puerto de Mejillones</t>
        </is>
      </c>
      <c r="B161" s="59" t="inlineStr">
        <is>
          <t>Puertos, Servicios Portuarios</t>
        </is>
      </c>
      <c r="C161" s="59" t="inlineStr">
        <is>
          <t>Mejillones</t>
        </is>
      </c>
      <c r="D161" s="59" t="inlineStr">
        <is>
          <t>TOS &amp; Automatización</t>
        </is>
      </c>
      <c r="E161" s="59" t="inlineStr">
        <is>
          <t>Portal Portuario</t>
        </is>
      </c>
      <c r="F161" s="59" t="inlineStr">
        <is>
          <t>https://portalportuario.cl/terminal-portuario-angamos-inicia-implementacion-de-sistema-operativo-de-terminal/</t>
        </is>
      </c>
      <c r="G161" s="59" t="inlineStr">
        <is>
          <t>Alberto Bruna Solar (Jefe TI &amp; Transf Digital)</t>
        </is>
      </c>
      <c r="H161" s="59" t="inlineStr">
        <is>
          <t>abruna@puertomejillones.cl</t>
        </is>
      </c>
      <c r="I161" s="63" t="n"/>
      <c r="J161" s="63" t="n"/>
      <c r="K161" s="59" t="n"/>
      <c r="L161" s="59" t="inlineStr">
        <is>
          <t>Ventas: GRANDE 4 (Mas de 1.000.000 UF) | Empleados: 0</t>
        </is>
      </c>
      <c r="M161" s="61" t="n"/>
      <c r="N161" s="61" t="n"/>
      <c r="O161" s="61" t="n"/>
      <c r="P161" s="61" t="n"/>
      <c r="Q161" s="61" t="n"/>
      <c r="R161" s="62" t="n"/>
      <c r="S161" s="61" t="n"/>
      <c r="T161" s="59" t="inlineStr">
        <is>
          <t>96.676.520-8</t>
        </is>
      </c>
      <c r="U161" s="59" t="inlineStr">
        <is>
          <t>(56) 55 288 3601</t>
        </is>
      </c>
    </row>
    <row r="162" ht="15.75" customHeight="1" s="38">
      <c r="A162" s="59" t="inlineStr">
        <is>
          <t>Química Industrial Spes S.A.</t>
        </is>
      </c>
      <c r="B162" s="59" t="inlineStr">
        <is>
          <t>Productos Industriales, Productos Químicos</t>
        </is>
      </c>
      <c r="C162" s="59" t="inlineStr">
        <is>
          <t>Santiago</t>
        </is>
      </c>
      <c r="D162" s="59" t="inlineStr">
        <is>
          <t>Investigación en Proceso</t>
        </is>
      </c>
      <c r="E162" s="59" t="n"/>
      <c r="F162" s="59" t="n"/>
      <c r="G162" s="59" t="inlineStr">
        <is>
          <t>Natalia Marabolí (Director Técnico)</t>
        </is>
      </c>
      <c r="H162" s="59" t="inlineStr">
        <is>
          <t>nmaraboli@spes.cl</t>
        </is>
      </c>
      <c r="I162" s="63" t="n"/>
      <c r="J162" s="63" t="n"/>
      <c r="K162" s="59" t="n"/>
      <c r="L162" s="59" t="inlineStr">
        <is>
          <t>Ventas: GRANDE 3 (600.000 - 1.000.000 UF) | Empleados: 170</t>
        </is>
      </c>
      <c r="M162" s="61" t="n"/>
      <c r="N162" s="61" t="n"/>
      <c r="O162" s="61" t="n"/>
      <c r="P162" s="61" t="n"/>
      <c r="Q162" s="61" t="n"/>
      <c r="R162" s="62" t="n"/>
      <c r="S162" s="61" t="n"/>
      <c r="T162" s="59" t="inlineStr">
        <is>
          <t>93.654.000-7</t>
        </is>
      </c>
      <c r="U162" s="59" t="inlineStr">
        <is>
          <t>(56) 2 2428 9500</t>
        </is>
      </c>
    </row>
    <row r="163" ht="15.75" customHeight="1" s="38">
      <c r="A163" s="59" t="inlineStr">
        <is>
          <t>RGM Mallas de Alambre Ltda.</t>
        </is>
      </c>
      <c r="B163" s="59" t="inlineStr">
        <is>
          <t>Alambres y Clavos</t>
        </is>
      </c>
      <c r="C163" s="59" t="inlineStr">
        <is>
          <t>Santiago</t>
        </is>
      </c>
      <c r="D163" s="59" t="inlineStr">
        <is>
          <t>Investigación en Proceso</t>
        </is>
      </c>
      <c r="E163" s="59" t="n"/>
      <c r="F163" s="59" t="n"/>
      <c r="G163" s="59" t="inlineStr">
        <is>
          <t>Daniel Camilla Ortiz (Connectivity &amp; Net Eng.)</t>
        </is>
      </c>
      <c r="H163" s="59" t="inlineStr">
        <is>
          <t>dcamilla@rgm.cl</t>
        </is>
      </c>
      <c r="I163" s="63" t="n"/>
      <c r="J163" s="63" t="n"/>
      <c r="K163" s="59" t="n"/>
      <c r="L163" s="59" t="inlineStr">
        <is>
          <t>Ventas: GRANDE 3 (600.000 - 1.000.000 UF) | Empleados: 109</t>
        </is>
      </c>
      <c r="M163" s="61" t="n"/>
      <c r="N163" s="61" t="n"/>
      <c r="O163" s="61" t="n"/>
      <c r="P163" s="61" t="n"/>
      <c r="Q163" s="61" t="n"/>
      <c r="R163" s="62" t="n"/>
      <c r="S163" s="61" t="n"/>
      <c r="T163" s="59" t="inlineStr">
        <is>
          <t>78.893.770-9</t>
        </is>
      </c>
      <c r="U163" s="59" t="inlineStr">
        <is>
          <t>(56) 9 4005 6683</t>
        </is>
      </c>
    </row>
    <row r="164" ht="15.75" customHeight="1" s="38">
      <c r="A164" s="59" t="inlineStr">
        <is>
          <t>RHI Chile S.A.</t>
        </is>
      </c>
      <c r="B164" s="59" t="inlineStr">
        <is>
          <t>Aislantes Térmicos, Refractarios</t>
        </is>
      </c>
      <c r="C164" s="59" t="inlineStr">
        <is>
          <t>Santiago</t>
        </is>
      </c>
      <c r="D164" s="59" t="inlineStr">
        <is>
          <t>Investigación en Proceso</t>
        </is>
      </c>
      <c r="E164" s="59" t="n"/>
      <c r="F164" s="59" t="n"/>
      <c r="G164" s="59" t="inlineStr">
        <is>
          <t>Luis Bracho (Sales Mgr / CRM Boss)</t>
        </is>
      </c>
      <c r="H164" s="59" t="inlineStr">
        <is>
          <t>luis.bracho@rhimagnesita.com</t>
        </is>
      </c>
      <c r="I164" s="63" t="n"/>
      <c r="J164" s="63" t="n"/>
      <c r="K164" s="59" t="n"/>
      <c r="L164" s="59" t="inlineStr">
        <is>
          <t>Ventas: GRANDE 3 (600.000 - 1.000.000 UF) | Empleados: 188</t>
        </is>
      </c>
      <c r="M164" s="61" t="n"/>
      <c r="N164" s="61" t="n"/>
      <c r="O164" s="61" t="n"/>
      <c r="P164" s="61" t="n"/>
      <c r="Q164" s="61" t="n"/>
      <c r="R164" s="62" t="n"/>
      <c r="S164" s="61" t="n"/>
      <c r="T164" s="59" t="inlineStr">
        <is>
          <t>99.561.450-2</t>
        </is>
      </c>
      <c r="U164" s="59" t="inlineStr">
        <is>
          <t>(56) 2 2385 4200</t>
        </is>
      </c>
    </row>
    <row r="165" ht="15.75" customHeight="1" s="38">
      <c r="A165" s="59" t="inlineStr">
        <is>
          <t>Randstad</t>
        </is>
      </c>
      <c r="B165" s="59" t="inlineStr">
        <is>
          <t>Selección de Personal</t>
        </is>
      </c>
      <c r="C165" s="59" t="inlineStr">
        <is>
          <t>Santiago</t>
        </is>
      </c>
      <c r="D165" s="59" t="inlineStr">
        <is>
          <t>Automatización ATS</t>
        </is>
      </c>
      <c r="E165" s="59" t="inlineStr">
        <is>
          <t>LinkedIn Decisor</t>
        </is>
      </c>
      <c r="F165" s="59" t="inlineStr">
        <is>
          <t>https://www.randstad.cl/sala-de-prensa/noticias/el-rol-de-ia-generativa-en-el-proceso-de-seleccion/</t>
        </is>
      </c>
      <c r="G165" s="59" t="inlineStr">
        <is>
          <t>Gustavo Reyes Tavera (Gerente de Tecnología)</t>
        </is>
      </c>
      <c r="H165" s="59" t="inlineStr">
        <is>
          <t>gustavo.reyes@randstad.cl</t>
        </is>
      </c>
      <c r="I165" s="63" t="n"/>
      <c r="J165" s="63" t="n"/>
      <c r="K165" s="59" t="n"/>
      <c r="L165" s="59" t="inlineStr">
        <is>
          <t>Ventas: GRANDE 4 (Mas de 1.000.000 UF) | Empleados: 5254</t>
        </is>
      </c>
      <c r="M165" s="61" t="n"/>
      <c r="N165" s="61" t="n"/>
      <c r="O165" s="61" t="n"/>
      <c r="P165" s="61" t="n"/>
      <c r="Q165" s="61" t="n"/>
      <c r="R165" s="62" t="n"/>
      <c r="S165" s="61" t="n"/>
      <c r="T165" s="59" t="inlineStr">
        <is>
          <t>96962900-3</t>
        </is>
      </c>
      <c r="U165" s="59" t="inlineStr">
        <is>
          <t>(56) 2 3329 9370</t>
        </is>
      </c>
    </row>
    <row r="166" ht="15.75" customHeight="1" s="38">
      <c r="A166" s="59" t="inlineStr">
        <is>
          <t>Reimaq y Cía. Ltda.</t>
        </is>
      </c>
      <c r="B166" s="59" t="inlineStr">
        <is>
          <t>Ventilación Industrial y Minera, Ventiladores Centrifugos y Axiales</t>
        </is>
      </c>
      <c r="C166" s="59" t="inlineStr">
        <is>
          <t>Santiago</t>
        </is>
      </c>
      <c r="D166" s="59" t="inlineStr">
        <is>
          <t>Automatización Ventilación Minera</t>
        </is>
      </c>
      <c r="E166" s="59" t="n"/>
      <c r="F166" s="59" t="inlineStr">
        <is>
          <t>https://www.reimaq.cl/</t>
        </is>
      </c>
      <c r="G166" s="59" t="inlineStr">
        <is>
          <t>Pablo Ponce (Gerente General)</t>
        </is>
      </c>
      <c r="H166" s="59" t="n"/>
      <c r="I166" s="63" t="n"/>
      <c r="J166" s="63" t="n"/>
      <c r="K166" s="59" t="n"/>
      <c r="L166" s="59" t="inlineStr">
        <is>
          <t>Ventas: GRANDE 2 (200.000 - 600.000 UF) | Empleados: 121</t>
        </is>
      </c>
      <c r="M166" s="61" t="n"/>
      <c r="N166" s="61" t="n"/>
      <c r="O166" s="61" t="n"/>
      <c r="P166" s="61" t="n"/>
      <c r="Q166" s="61" t="n"/>
      <c r="R166" s="62" t="n"/>
      <c r="S166" s="61" t="n"/>
      <c r="T166" s="59" t="inlineStr">
        <is>
          <t>79.795.650-3</t>
        </is>
      </c>
      <c r="U166" s="59" t="inlineStr">
        <is>
          <t>(56) 2 2538 5192</t>
        </is>
      </c>
    </row>
    <row r="167" ht="15.75" customHeight="1" s="38">
      <c r="A167" s="59" t="inlineStr">
        <is>
          <t>Remates Macal Ltda.</t>
        </is>
      </c>
      <c r="B167" s="59" t="inlineStr">
        <is>
          <t>Remates de Maquinaria Industrial y Minera</t>
        </is>
      </c>
      <c r="C167" s="59" t="inlineStr">
        <is>
          <t>Santiago</t>
        </is>
      </c>
      <c r="D167" s="59" t="inlineStr">
        <is>
          <t>Investigación en Proceso</t>
        </is>
      </c>
      <c r="E167" s="59" t="n"/>
      <c r="F167" s="59" t="n"/>
      <c r="G167" s="59" t="inlineStr">
        <is>
          <t>Alex Sanhueza (Gerente de TI)</t>
        </is>
      </c>
      <c r="H167" s="59" t="inlineStr">
        <is>
          <t>alex.sanhueza@macal.cl</t>
        </is>
      </c>
      <c r="I167" s="63" t="n"/>
      <c r="J167" s="63" t="n"/>
      <c r="K167" s="59" t="n"/>
      <c r="L167" s="59" t="inlineStr">
        <is>
          <t>Ventas: GRANDE 3 (600.000 - 1.000.000 UF) | Empleados: 120</t>
        </is>
      </c>
      <c r="M167" s="61" t="n"/>
      <c r="N167" s="61" t="n"/>
      <c r="O167" s="61" t="n"/>
      <c r="P167" s="61" t="n"/>
      <c r="Q167" s="61" t="n"/>
      <c r="R167" s="62" t="n"/>
      <c r="S167" s="61" t="n"/>
      <c r="T167" s="59" t="inlineStr">
        <is>
          <t>79.546.430-1</t>
        </is>
      </c>
      <c r="U167" s="59" t="inlineStr">
        <is>
          <t>(56) 2 2760 3535</t>
        </is>
      </c>
    </row>
    <row r="168" ht="15.75" customHeight="1" s="38">
      <c r="A168" s="59" t="inlineStr">
        <is>
          <t>Rheintek Chile Ltda.</t>
        </is>
      </c>
      <c r="B168" s="59" t="inlineStr">
        <is>
          <t>Aceros Inoxidables, Productos Químicos</t>
        </is>
      </c>
      <c r="C168" s="59" t="inlineStr">
        <is>
          <t>Santiago</t>
        </is>
      </c>
      <c r="D168" s="59" t="inlineStr">
        <is>
          <t>Investigación en Proceso</t>
        </is>
      </c>
      <c r="E168" s="59" t="n"/>
      <c r="F168" s="59" t="n"/>
      <c r="G168" s="59" t="inlineStr">
        <is>
          <t>Rafael Aguirre (Director Comercial)</t>
        </is>
      </c>
      <c r="H168" s="59" t="inlineStr">
        <is>
          <t>raguirre@rheintek.cl</t>
        </is>
      </c>
      <c r="I168" s="63" t="n"/>
      <c r="J168" s="63" t="n"/>
      <c r="K168" s="59" t="n"/>
      <c r="L168" s="59" t="inlineStr">
        <is>
          <t>Ventas: GRANDE 3 (600.000 - 1.000.000 UF) | Empleados: 11</t>
        </is>
      </c>
      <c r="M168" s="61" t="n"/>
      <c r="N168" s="61" t="n"/>
      <c r="O168" s="61" t="n"/>
      <c r="P168" s="61" t="n"/>
      <c r="Q168" s="61" t="n"/>
      <c r="R168" s="62" t="n"/>
      <c r="S168" s="61" t="n"/>
      <c r="T168" s="59" t="inlineStr">
        <is>
          <t>76.228.450-2</t>
        </is>
      </c>
      <c r="U168" s="59" t="inlineStr">
        <is>
          <t>(56) 2 2264 0754</t>
        </is>
      </c>
    </row>
    <row r="169" ht="15.75" customHeight="1" s="38">
      <c r="A169" s="59" t="inlineStr">
        <is>
          <t>Rivet Ltda.</t>
        </is>
      </c>
      <c r="B169" s="59" t="inlineStr">
        <is>
          <t>Polines</t>
        </is>
      </c>
      <c r="C169" s="59" t="inlineStr">
        <is>
          <t>Santiago</t>
        </is>
      </c>
      <c r="D169" s="59" t="inlineStr">
        <is>
          <t>Investigación en Proceso</t>
        </is>
      </c>
      <c r="E169" s="59" t="n"/>
      <c r="F169" s="59" t="n"/>
      <c r="G169" s="59" t="inlineStr">
        <is>
          <t>Yerko Jofré Araya (Ing. Ventas (Tech Contact))</t>
        </is>
      </c>
      <c r="H169" s="59" t="inlineStr">
        <is>
          <t>yjofre@rivet.cl</t>
        </is>
      </c>
      <c r="I169" s="63" t="n"/>
      <c r="J169" s="63" t="n"/>
      <c r="K169" s="59" t="n"/>
      <c r="L169" s="59" t="inlineStr">
        <is>
          <t>Ventas: GRANDE 3 (600.000 - 1.000.000 UF) | Empleados: 91</t>
        </is>
      </c>
      <c r="M169" s="61" t="n"/>
      <c r="N169" s="61" t="n"/>
      <c r="O169" s="61" t="n"/>
      <c r="P169" s="61" t="n"/>
      <c r="Q169" s="61" t="n"/>
      <c r="R169" s="62" t="n"/>
      <c r="S169" s="61" t="n"/>
      <c r="T169" s="59" t="inlineStr">
        <is>
          <t>95.151.000-9</t>
        </is>
      </c>
      <c r="U169" s="59" t="inlineStr">
        <is>
          <t>(56) 2 2489 1030</t>
        </is>
      </c>
    </row>
    <row r="170" ht="15.75" customHeight="1" s="38">
      <c r="A170" s="59" t="inlineStr">
        <is>
          <t>RockBlast</t>
        </is>
      </c>
      <c r="B170" s="59" t="inlineStr">
        <is>
          <t>Drones</t>
        </is>
      </c>
      <c r="C170" s="59" t="inlineStr">
        <is>
          <t>Santiago</t>
        </is>
      </c>
      <c r="D170" s="59" t="inlineStr">
        <is>
          <t>Investigación en Proceso</t>
        </is>
      </c>
      <c r="E170" s="59" t="n"/>
      <c r="F170" s="59" t="n"/>
      <c r="G170" s="59" t="inlineStr">
        <is>
          <t>Rodrigo Bascuñán (Network Engineer OT/IT)</t>
        </is>
      </c>
      <c r="H170" s="59" t="inlineStr">
        <is>
          <t>rbascunan@rockblast.cl</t>
        </is>
      </c>
      <c r="I170" s="63" t="n"/>
      <c r="J170" s="63" t="n"/>
      <c r="K170" s="59" t="n"/>
      <c r="L170" s="59" t="inlineStr">
        <is>
          <t>Ventas: GRANDE 3 (600.000 - 1.000.000 UF) | Empleados: 126</t>
        </is>
      </c>
      <c r="M170" s="61" t="n"/>
      <c r="N170" s="61" t="n"/>
      <c r="O170" s="61" t="n"/>
      <c r="P170" s="61" t="n"/>
      <c r="Q170" s="61" t="n"/>
      <c r="R170" s="62" t="n"/>
      <c r="S170" s="61" t="n"/>
      <c r="T170" s="59" t="inlineStr">
        <is>
          <t>76.096.364-K</t>
        </is>
      </c>
      <c r="U170" s="59" t="inlineStr">
        <is>
          <t>(56) 2 2951 9696</t>
        </is>
      </c>
    </row>
    <row r="171" ht="15.75" customHeight="1" s="38">
      <c r="A171" s="59" t="inlineStr">
        <is>
          <t>Rodac S.A.</t>
        </is>
      </c>
      <c r="B171" s="59" t="inlineStr">
        <is>
          <t>Repuestos para la Minería, Rodamientos</t>
        </is>
      </c>
      <c r="C171" s="59" t="inlineStr">
        <is>
          <t>Iquique</t>
        </is>
      </c>
      <c r="D171" s="59" t="inlineStr">
        <is>
          <t>Investigación en Proceso</t>
        </is>
      </c>
      <c r="E171" s="59" t="n"/>
      <c r="F171" s="59" t="n"/>
      <c r="G171" s="59" t="inlineStr">
        <is>
          <t>Augusto Kuwae (Gerente General)</t>
        </is>
      </c>
      <c r="H171" s="59" t="inlineStr">
        <is>
          <t>akuwae@rodac.cl</t>
        </is>
      </c>
      <c r="I171" s="63" t="n"/>
      <c r="J171" s="63" t="n"/>
      <c r="K171" s="59" t="n"/>
      <c r="L171" s="59" t="inlineStr">
        <is>
          <t>Ventas: GRANDE 3 (600.000 - 1.000.000 UF) | Empleados: 51</t>
        </is>
      </c>
      <c r="M171" s="61" t="n"/>
      <c r="N171" s="61" t="n"/>
      <c r="O171" s="61" t="n"/>
      <c r="P171" s="61" t="n"/>
      <c r="Q171" s="61" t="n"/>
      <c r="R171" s="62" t="n"/>
      <c r="S171" s="61" t="n"/>
      <c r="T171" s="59" t="inlineStr">
        <is>
          <t>96.522.800-4</t>
        </is>
      </c>
      <c r="U171" s="59" t="inlineStr">
        <is>
          <t>(56) 57 242 0343</t>
        </is>
      </c>
    </row>
    <row r="172" ht="15.75" customHeight="1" s="38">
      <c r="A172" s="59" t="inlineStr">
        <is>
          <t>Rodaméndez Ltda.</t>
        </is>
      </c>
      <c r="B172" s="59" t="inlineStr">
        <is>
          <t>Cadenas para Transmisión de Potencia, Correas para Transmisión de Potencia</t>
        </is>
      </c>
      <c r="C172" s="59" t="inlineStr">
        <is>
          <t>Chillán</t>
        </is>
      </c>
      <c r="D172" s="59" t="inlineStr">
        <is>
          <t>Investigación en Proceso</t>
        </is>
      </c>
      <c r="E172" s="59" t="n"/>
      <c r="F172" s="59" t="n"/>
      <c r="G172" s="59" t="inlineStr">
        <is>
          <t>Jaime Mendez (Gerente General)</t>
        </is>
      </c>
      <c r="H172" s="59" t="inlineStr">
        <is>
          <t>jmendez@rodamendez.cl</t>
        </is>
      </c>
      <c r="I172" s="63" t="n"/>
      <c r="J172" s="63" t="n"/>
      <c r="K172" s="59" t="n"/>
      <c r="L172" s="59" t="inlineStr">
        <is>
          <t>Ventas: GRANDE 3 (600.000 - 1.000.000 UF) | Empleados: 129</t>
        </is>
      </c>
      <c r="M172" s="61" t="n"/>
      <c r="N172" s="61" t="n"/>
      <c r="O172" s="61" t="n"/>
      <c r="P172" s="61" t="n"/>
      <c r="Q172" s="61" t="n"/>
      <c r="R172" s="62" t="n"/>
      <c r="S172" s="61" t="n"/>
      <c r="T172" s="59" t="inlineStr">
        <is>
          <t>89.515.900-K</t>
        </is>
      </c>
      <c r="U172" s="59" t="inlineStr">
        <is>
          <t>(56) 2 2444 1500</t>
        </is>
      </c>
    </row>
    <row r="173" ht="15.75" customHeight="1" s="38">
      <c r="A173" s="59" t="inlineStr">
        <is>
          <t>Rthö Elektrische</t>
        </is>
      </c>
      <c r="B173" s="59" t="inlineStr">
        <is>
          <t>Conductor de Alta Temperatura / Re-Potencionamiento, Equipamiento para SS/EE y LL/TT Alta Tensión</t>
        </is>
      </c>
      <c r="C173" s="59" t="inlineStr">
        <is>
          <t>Santiago</t>
        </is>
      </c>
      <c r="D173" s="59" t="inlineStr">
        <is>
          <t>Movilidad Eléctrica &amp; Infraestructura Eléctrica</t>
        </is>
      </c>
      <c r="E173" s="59" t="n"/>
      <c r="F173" s="59" t="inlineStr">
        <is>
          <t>https://www.google.com/search?q=Rth%C3%B6+Elektrische+Chile+LinkedIn</t>
        </is>
      </c>
      <c r="G173" s="59" t="inlineStr">
        <is>
          <t>Matías O'Shea L. (Gerente General)</t>
        </is>
      </c>
      <c r="H173" s="59" t="n"/>
      <c r="I173" s="63" t="n"/>
      <c r="J173" s="63" t="n"/>
      <c r="K173" s="59" t="n"/>
      <c r="L173" s="59" t="inlineStr">
        <is>
          <t>Ventas: GRANDE 2 (200.000 - 600.000 UF) | Empleados: 11</t>
        </is>
      </c>
      <c r="M173" s="61" t="n"/>
      <c r="N173" s="61" t="n"/>
      <c r="O173" s="61" t="n"/>
      <c r="P173" s="61" t="n"/>
      <c r="Q173" s="61" t="n"/>
      <c r="R173" s="62" t="n"/>
      <c r="S173" s="61" t="n"/>
      <c r="T173" s="59" t="inlineStr">
        <is>
          <t>78.404.720-2</t>
        </is>
      </c>
      <c r="U173" s="59" t="inlineStr">
        <is>
          <t>(56) 2 2264 7700</t>
        </is>
      </c>
    </row>
    <row r="174" ht="15.75" customHeight="1" s="38">
      <c r="A174" s="59" t="inlineStr">
        <is>
          <t>SKM Industrial Ltda.</t>
        </is>
      </c>
      <c r="B174" s="59" t="inlineStr">
        <is>
          <t>Construcción y Montaje de Estructuras Metálicas, Pasarelas, Barandas y Greatings, Electromecánica, Taller de Reparación y Fabricación de Poleas, Reductores y Componentes Mecánicos, Taller de Reparaciones de Motores Eléctricos Baja, Media y Alta Tensión</t>
        </is>
      </c>
      <c r="C174" s="59" t="inlineStr">
        <is>
          <t>Antofagasta</t>
        </is>
      </c>
      <c r="D174" s="59" t="inlineStr">
        <is>
          <t>Eficiencia Mantenimiento Industrial</t>
        </is>
      </c>
      <c r="E174" s="59" t="n"/>
      <c r="F174" s="59" t="inlineStr">
        <is>
          <t>https://skmindustrial.cl/</t>
        </is>
      </c>
      <c r="G174" s="59" t="inlineStr">
        <is>
          <t>Juan Pablo Bustamante Cataldo (Gerente Proyectos)</t>
        </is>
      </c>
      <c r="H174" s="59" t="n"/>
      <c r="I174" s="63" t="n"/>
      <c r="J174" s="63" t="n"/>
      <c r="K174" s="59" t="n"/>
      <c r="L174" s="59" t="inlineStr">
        <is>
          <t>Ventas: GRANDE 3 (600.000 - 1.000.000 UF) | Empleados: 98</t>
        </is>
      </c>
      <c r="M174" s="61" t="n"/>
      <c r="N174" s="61" t="n"/>
      <c r="O174" s="61" t="n"/>
      <c r="P174" s="61" t="n"/>
      <c r="Q174" s="61" t="n"/>
      <c r="R174" s="62" t="n"/>
      <c r="S174" s="61" t="n"/>
      <c r="T174" s="59" t="inlineStr">
        <is>
          <t>76.065.017-K</t>
        </is>
      </c>
      <c r="U174" s="59" t="inlineStr">
        <is>
          <t>(56) 55 276 0000</t>
        </is>
      </c>
    </row>
    <row r="175" ht="15.75" customHeight="1" s="38">
      <c r="A175" s="59" t="inlineStr">
        <is>
          <t>SKY Airline</t>
        </is>
      </c>
      <c r="B175" s="59" t="inlineStr">
        <is>
          <t>Transporte Aéreo de Carga, Transporte Aéreo de Pasajeros</t>
        </is>
      </c>
      <c r="C175" s="59" t="inlineStr">
        <is>
          <t>Santiago</t>
        </is>
      </c>
      <c r="D175" s="59" t="inlineStr">
        <is>
          <t>Sistemas Información Aérea</t>
        </is>
      </c>
      <c r="E175" s="59" t="inlineStr">
        <is>
          <t>LinkedIn</t>
        </is>
      </c>
      <c r="F175" s="59" t="inlineStr">
        <is>
          <t>https://cl.linkedin.com/in/iskunsaborido</t>
        </is>
      </c>
      <c r="G175" s="59" t="inlineStr">
        <is>
          <t>Iskun Saborido (CDO &amp; CIO)</t>
        </is>
      </c>
      <c r="H175" s="59" t="n"/>
      <c r="I175" s="63" t="n"/>
      <c r="J175" s="63" t="n"/>
      <c r="K175" s="59" t="n"/>
      <c r="L175" s="59" t="inlineStr">
        <is>
          <t>Ventas: GRANDE (Estimado por Empleados) | Empleados: 1820</t>
        </is>
      </c>
      <c r="M175" s="61" t="n"/>
      <c r="N175" s="61" t="n"/>
      <c r="O175" s="61" t="n"/>
      <c r="P175" s="61" t="n"/>
      <c r="Q175" s="61" t="n"/>
      <c r="R175" s="62" t="n"/>
      <c r="S175" s="61" t="n"/>
      <c r="T175" s="59" t="inlineStr">
        <is>
          <t>88.417.000-1</t>
        </is>
      </c>
      <c r="U175" s="59" t="inlineStr">
        <is>
          <t>(56) 2 2384 2991</t>
        </is>
      </c>
    </row>
    <row r="176" ht="15.75" customHeight="1" s="38">
      <c r="A176" s="59" t="inlineStr">
        <is>
          <t>Saam Extraportuarios</t>
        </is>
      </c>
      <c r="B176" s="59" t="inlineStr">
        <is>
          <t>Almacenamiento de Carga, Almacenamiento de Contenedores</t>
        </is>
      </c>
      <c r="C176" s="59" t="inlineStr">
        <is>
          <t>Valparaíso</t>
        </is>
      </c>
      <c r="D176" s="59" t="inlineStr">
        <is>
          <t>Sistemas Portuarios TOS</t>
        </is>
      </c>
      <c r="E176" s="59" t="inlineStr">
        <is>
          <t>Reporte Anual</t>
        </is>
      </c>
      <c r="F176" s="59" t="inlineStr">
        <is>
          <t>https://www.saam.com/sustentabilidad/reporte-integrado/</t>
        </is>
      </c>
      <c r="G176" s="59" t="inlineStr">
        <is>
          <t>Juan Carlos Montjoy (Group CIO)</t>
        </is>
      </c>
      <c r="H176" s="59" t="inlineStr">
        <is>
          <t>jmontjoy@saam.com</t>
        </is>
      </c>
      <c r="I176" s="63" t="n"/>
      <c r="J176" s="63" t="n"/>
      <c r="K176" s="59" t="n"/>
      <c r="L176" s="59" t="inlineStr">
        <is>
          <t>Ventas: GRANDE 4 (Mas de 1.000.000 UF) | Empleados: 159</t>
        </is>
      </c>
      <c r="M176" s="61" t="n"/>
      <c r="N176" s="61" t="n"/>
      <c r="O176" s="61" t="n"/>
      <c r="P176" s="61" t="n"/>
      <c r="Q176" s="61" t="n"/>
      <c r="R176" s="62" t="n"/>
      <c r="S176" s="61" t="n"/>
      <c r="T176" s="59" t="inlineStr">
        <is>
          <t>96.798.520-1</t>
        </is>
      </c>
      <c r="U176" s="59" t="inlineStr">
        <is>
          <t>(56) 32 232 4200</t>
        </is>
      </c>
    </row>
    <row r="177" ht="15.75" customHeight="1" s="38">
      <c r="A177" s="59" t="inlineStr">
        <is>
          <t>Saam S.A.</t>
        </is>
      </c>
      <c r="B177" s="59" t="inlineStr">
        <is>
          <t>Terminales Portuarios, Transferencia de Carga Marítima</t>
        </is>
      </c>
      <c r="C177" s="59" t="inlineStr">
        <is>
          <t>Santiago</t>
        </is>
      </c>
      <c r="D177" s="59" t="inlineStr">
        <is>
          <t>Sistemas Portuarios TOS</t>
        </is>
      </c>
      <c r="E177" s="59" t="inlineStr">
        <is>
          <t>Reporte Anual</t>
        </is>
      </c>
      <c r="F177" s="59" t="inlineStr">
        <is>
          <t>https://www.saam.com/sustentabilidad/reporte-integrado/</t>
        </is>
      </c>
      <c r="G177" s="59" t="inlineStr">
        <is>
          <t>Juan Carlos Montjoy (Group CIO)</t>
        </is>
      </c>
      <c r="H177" s="59" t="inlineStr">
        <is>
          <t>jmontjoy@saam.com</t>
        </is>
      </c>
      <c r="I177" s="63" t="n"/>
      <c r="J177" s="63" t="n"/>
      <c r="K177" s="59" t="n"/>
      <c r="L177" s="59" t="inlineStr">
        <is>
          <t>Ventas: MEDIANA (Estimado por Empleados) | Empleados: 151</t>
        </is>
      </c>
      <c r="M177" s="61" t="n"/>
      <c r="N177" s="61" t="n"/>
      <c r="O177" s="61" t="n"/>
      <c r="P177" s="61" t="n"/>
      <c r="Q177" s="61" t="n"/>
      <c r="R177" s="62" t="n"/>
      <c r="S177" s="61" t="n"/>
      <c r="T177" s="59" t="inlineStr">
        <is>
          <t>92.048.000-4</t>
        </is>
      </c>
      <c r="U177" s="59" t="inlineStr">
        <is>
          <t>(56) 2 3384 8530</t>
        </is>
      </c>
    </row>
    <row r="178" ht="15.75" customHeight="1" s="38">
      <c r="A178" s="59" t="inlineStr">
        <is>
          <t>Saavedra y Abalo M&amp;S Ltda.</t>
        </is>
      </c>
      <c r="B178" s="59" t="inlineStr">
        <is>
          <t>Reparación de Maquinaria para la Minería</t>
        </is>
      </c>
      <c r="C178" s="59" t="inlineStr">
        <is>
          <t>Santiago</t>
        </is>
      </c>
      <c r="D178" s="59" t="inlineStr">
        <is>
          <t>Investigación en Proceso</t>
        </is>
      </c>
      <c r="E178" s="59" t="n"/>
      <c r="F178" s="59" t="n"/>
      <c r="G178" s="59" t="inlineStr">
        <is>
          <t>Jorge Biernay (Jefe de Operaciones (IT Resp))</t>
        </is>
      </c>
      <c r="H178" s="59" t="inlineStr">
        <is>
          <t>jbiernay@sabalo.cl</t>
        </is>
      </c>
      <c r="I178" s="63" t="n"/>
      <c r="J178" s="63" t="n"/>
      <c r="K178" s="59" t="n"/>
      <c r="L178" s="59" t="inlineStr">
        <is>
          <t>Ventas: GRANDE 3 (600.000 - 1.000.000 UF) | Empleados: 22</t>
        </is>
      </c>
      <c r="M178" s="61" t="n"/>
      <c r="N178" s="61" t="n"/>
      <c r="O178" s="61" t="n"/>
      <c r="P178" s="61" t="n"/>
      <c r="Q178" s="61" t="n"/>
      <c r="R178" s="62" t="n"/>
      <c r="S178" s="61" t="n"/>
      <c r="T178" s="59" t="inlineStr">
        <is>
          <t>79.804.140-1</t>
        </is>
      </c>
      <c r="U178" s="59" t="inlineStr">
        <is>
          <t>(56) 2 2641 0144</t>
        </is>
      </c>
    </row>
    <row r="179" ht="15.75" customHeight="1" s="38">
      <c r="A179" s="59" t="inlineStr">
        <is>
          <t>Samtech S.A.</t>
        </is>
      </c>
      <c r="B179" s="59" t="inlineStr">
        <is>
          <t>Servicios de Telemetría, Sistemas Automáticos para Medición de Volumen de Material a Granel en Camiones</t>
        </is>
      </c>
      <c r="C179" s="59" t="inlineStr">
        <is>
          <t>Santiago</t>
        </is>
      </c>
      <c r="D179" s="59" t="inlineStr">
        <is>
          <t>Investigación en Proceso</t>
        </is>
      </c>
      <c r="E179" s="59" t="n"/>
      <c r="F179" s="59" t="n"/>
      <c r="G179" s="59" t="inlineStr">
        <is>
          <t>Claudio Palacios (Gerente de Infraestructura y Seguridad)</t>
        </is>
      </c>
      <c r="H179" s="59" t="inlineStr">
        <is>
          <t>claudio.palacios@samtech.cl</t>
        </is>
      </c>
      <c r="I179" s="63" t="n"/>
      <c r="J179" s="63" t="n"/>
      <c r="K179" s="59" t="n"/>
      <c r="L179" s="59" t="inlineStr">
        <is>
          <t>Ventas: GRANDE 3 (600.000 - 1.000.000 UF) | Empleados: 175</t>
        </is>
      </c>
      <c r="M179" s="61" t="n"/>
      <c r="N179" s="61" t="n"/>
      <c r="O179" s="61" t="n"/>
      <c r="P179" s="61" t="n"/>
      <c r="Q179" s="61" t="n"/>
      <c r="R179" s="62" t="n"/>
      <c r="S179" s="61" t="n"/>
      <c r="T179" s="59" t="inlineStr">
        <is>
          <t>76.962.510-0</t>
        </is>
      </c>
      <c r="U179" s="59" t="inlineStr">
        <is>
          <t>(56) 2 2898 8900</t>
        </is>
      </c>
    </row>
    <row r="180" ht="15.75" customHeight="1" s="38">
      <c r="A180" s="59" t="inlineStr">
        <is>
          <t>Sargent S.A.</t>
        </is>
      </c>
      <c r="B180" s="59" t="inlineStr">
        <is>
          <t>Automatización Industrial, Variadores de Frecuencia</t>
        </is>
      </c>
      <c r="C180" s="59" t="inlineStr">
        <is>
          <t>Santiago</t>
        </is>
      </c>
      <c r="D180" s="59" t="inlineStr">
        <is>
          <t>Investigación en Proceso</t>
        </is>
      </c>
      <c r="E180" s="59" t="n"/>
      <c r="F180" s="59" t="n"/>
      <c r="G180" s="59" t="inlineStr">
        <is>
          <t>Mario Pavez (Jefe de Sistemas)</t>
        </is>
      </c>
      <c r="H180" s="59" t="inlineStr">
        <is>
          <t>mpavez@sargent.cl</t>
        </is>
      </c>
      <c r="I180" s="63" t="n"/>
      <c r="J180" s="63" t="n"/>
      <c r="K180" s="59" t="n"/>
      <c r="L180" s="59" t="inlineStr">
        <is>
          <t>Ventas: GRANDE 3 (600.000 - 1.000.000 UF) | Empleados: 88</t>
        </is>
      </c>
      <c r="M180" s="61" t="n"/>
      <c r="N180" s="61" t="n"/>
      <c r="O180" s="61" t="n"/>
      <c r="P180" s="61" t="n"/>
      <c r="Q180" s="61" t="n"/>
      <c r="R180" s="62" t="n"/>
      <c r="S180" s="61" t="n"/>
      <c r="T180" s="59" t="inlineStr">
        <is>
          <t>92.357.000-4</t>
        </is>
      </c>
      <c r="U180" s="59" t="inlineStr">
        <is>
          <t>(56) 2 2583 2730</t>
        </is>
      </c>
    </row>
    <row r="181" ht="15.75" customHeight="1" s="38">
      <c r="A181" s="59" t="inlineStr">
        <is>
          <t>Sattel Chile Ltda.</t>
        </is>
      </c>
      <c r="B181" s="59" t="inlineStr">
        <is>
          <t>Servicios de Ingeniería, Torres de Iluminacion Solar</t>
        </is>
      </c>
      <c r="C181" s="59" t="inlineStr">
        <is>
          <t>Copiapó</t>
        </is>
      </c>
      <c r="D181" s="59" t="inlineStr">
        <is>
          <t>Automatización Monitoreo &amp; Seguridad Minera</t>
        </is>
      </c>
      <c r="E181" s="59" t="n"/>
      <c r="F181" s="59" t="inlineStr">
        <is>
          <t>https://sattelchile.cl/</t>
        </is>
      </c>
      <c r="G181" s="59" t="inlineStr">
        <is>
          <t>Jairo Sarmiento (Gerente Operaciones)</t>
        </is>
      </c>
      <c r="H181" s="59" t="n"/>
      <c r="I181" s="63" t="n"/>
      <c r="J181" s="63" t="n"/>
      <c r="K181" s="59" t="n"/>
      <c r="L181" s="59" t="inlineStr">
        <is>
          <t>Ventas: GRANDE 2 (200.000 - 600.000 UF) | Empleados: 103</t>
        </is>
      </c>
      <c r="M181" s="61" t="n"/>
      <c r="N181" s="61" t="n"/>
      <c r="O181" s="61" t="n"/>
      <c r="P181" s="61" t="n"/>
      <c r="Q181" s="61" t="n"/>
      <c r="R181" s="62" t="n"/>
      <c r="S181" s="61" t="n"/>
      <c r="T181" s="59" t="inlineStr">
        <is>
          <t>76.095.501-9</t>
        </is>
      </c>
      <c r="U181" s="59" t="inlineStr">
        <is>
          <t>(56) 52 235 2800</t>
        </is>
      </c>
    </row>
    <row r="182" ht="15.75" customHeight="1" s="38">
      <c r="A182" s="59" t="inlineStr">
        <is>
          <t>Scafom-Rux Chile SpA</t>
        </is>
      </c>
      <c r="B182" s="59" t="inlineStr">
        <is>
          <t>Alzaprimas, Andamios</t>
        </is>
      </c>
      <c r="C182" s="59" t="inlineStr">
        <is>
          <t>Santiago</t>
        </is>
      </c>
      <c r="D182" s="59" t="inlineStr">
        <is>
          <t>Andamiaje Gran Escala Infraestructura</t>
        </is>
      </c>
      <c r="E182" s="59" t="n"/>
      <c r="F182" s="59" t="inlineStr">
        <is>
          <t>https://cl.linkedin.com/in/cristian-rodriguez-b5a8b7</t>
        </is>
      </c>
      <c r="G182" s="59" t="inlineStr">
        <is>
          <t>Cristian Rodriguez (Operations Manager)</t>
        </is>
      </c>
      <c r="H182" s="59" t="n"/>
      <c r="I182" s="63" t="n"/>
      <c r="J182" s="63" t="n"/>
      <c r="K182" s="59" t="n"/>
      <c r="L182" s="59" t="inlineStr">
        <is>
          <t>Ventas: GRANDE 2 (200.000 - 600.000 UF) | Empleados: 32</t>
        </is>
      </c>
      <c r="M182" s="61" t="n"/>
      <c r="N182" s="61" t="n"/>
      <c r="O182" s="61" t="n"/>
      <c r="P182" s="61" t="n"/>
      <c r="Q182" s="61" t="n"/>
      <c r="R182" s="62" t="n"/>
      <c r="S182" s="61" t="n"/>
      <c r="T182" s="59" t="inlineStr">
        <is>
          <t>76.133.111-6</t>
        </is>
      </c>
      <c r="U182" s="59" t="inlineStr">
        <is>
          <t>(56) 9 7135 8585</t>
        </is>
      </c>
    </row>
    <row r="183" ht="15.75" customHeight="1" s="38">
      <c r="A183" s="59" t="inlineStr">
        <is>
          <t>Scan Global Logistics Chile S.A.</t>
        </is>
      </c>
      <c r="B183" s="59" t="inlineStr">
        <is>
          <t>Transporte Internacional</t>
        </is>
      </c>
      <c r="C183" s="59" t="inlineStr">
        <is>
          <t>Santiago</t>
        </is>
      </c>
      <c r="D183" s="59" t="inlineStr">
        <is>
          <t>Investigación en Proceso</t>
        </is>
      </c>
      <c r="E183" s="59" t="n"/>
      <c r="F183" s="59" t="n"/>
      <c r="G183" s="59" t="inlineStr">
        <is>
          <t>Eduardo Valenzuela (IT Manager Chile)</t>
        </is>
      </c>
      <c r="H183" s="59" t="inlineStr">
        <is>
          <t>edva@scangl.com</t>
        </is>
      </c>
      <c r="I183" s="63" t="n"/>
      <c r="J183" s="63" t="n"/>
      <c r="K183" s="59" t="n"/>
      <c r="L183" s="59" t="inlineStr">
        <is>
          <t>Ventas: GRANDE 3 (600.000 - 1.000.000 UF) | Empleados: 39</t>
        </is>
      </c>
      <c r="M183" s="61" t="n"/>
      <c r="N183" s="61" t="n"/>
      <c r="O183" s="61" t="n"/>
      <c r="P183" s="61" t="n"/>
      <c r="Q183" s="61" t="n"/>
      <c r="R183" s="62" t="n"/>
      <c r="S183" s="61" t="n"/>
      <c r="T183" s="59" t="inlineStr">
        <is>
          <t>76.041.117-5</t>
        </is>
      </c>
      <c r="U183" s="59" t="inlineStr">
        <is>
          <t>(56) 2 2938 3550</t>
        </is>
      </c>
    </row>
    <row r="184" ht="15.75" customHeight="1" s="38">
      <c r="A184" s="59" t="inlineStr">
        <is>
          <t>Scanavini S.A.</t>
        </is>
      </c>
      <c r="B184" s="59" t="inlineStr">
        <is>
          <t>Candados para Alta Seguridad</t>
        </is>
      </c>
      <c r="C184" s="59" t="inlineStr">
        <is>
          <t>Santiago</t>
        </is>
      </c>
      <c r="D184" s="59" t="inlineStr">
        <is>
          <t>Investigación en Proceso</t>
        </is>
      </c>
      <c r="E184" s="59" t="n"/>
      <c r="F184" s="59" t="n"/>
      <c r="G184" s="59" t="inlineStr">
        <is>
          <t>Manuel Garrido (Jefe de Sistemas)</t>
        </is>
      </c>
      <c r="H184" s="59" t="inlineStr">
        <is>
          <t>mgarrido@scanavini.cl</t>
        </is>
      </c>
      <c r="I184" s="63" t="n"/>
      <c r="J184" s="63" t="n"/>
      <c r="K184" s="59" t="n"/>
      <c r="L184" s="59" t="inlineStr">
        <is>
          <t>Ventas: GRANDE 3 (600.000 - 1.000.000 UF) | Empleados: 73</t>
        </is>
      </c>
      <c r="M184" s="61" t="n"/>
      <c r="N184" s="61" t="n"/>
      <c r="O184" s="61" t="n"/>
      <c r="P184" s="61" t="n"/>
      <c r="Q184" s="61" t="n"/>
      <c r="R184" s="62" t="n"/>
      <c r="S184" s="61" t="n"/>
      <c r="T184" s="59" t="inlineStr">
        <is>
          <t>79.831.880-2</t>
        </is>
      </c>
      <c r="U184" s="59" t="inlineStr">
        <is>
          <t>(56) 2 2829 0100</t>
        </is>
      </c>
    </row>
    <row r="185" ht="15.75" customHeight="1" s="38">
      <c r="A185" s="59" t="inlineStr">
        <is>
          <t>Scancontrols</t>
        </is>
      </c>
      <c r="B185" s="59" t="inlineStr">
        <is>
          <t>Reparación de Válvulas, Válvulas</t>
        </is>
      </c>
      <c r="C185" s="59" t="inlineStr">
        <is>
          <t>Santiago</t>
        </is>
      </c>
      <c r="D185" s="59" t="inlineStr">
        <is>
          <t>Investigación en Proceso</t>
        </is>
      </c>
      <c r="E185" s="59" t="n"/>
      <c r="F185" s="59" t="n"/>
      <c r="G185" s="59" t="inlineStr">
        <is>
          <t>Patricio Soto (Jefe de Informática)</t>
        </is>
      </c>
      <c r="H185" s="59" t="inlineStr">
        <is>
          <t>psoto@scancontrols.cl</t>
        </is>
      </c>
      <c r="I185" s="63" t="n"/>
      <c r="J185" s="63" t="n"/>
      <c r="K185" s="59" t="n"/>
      <c r="L185" s="59" t="inlineStr">
        <is>
          <t>Ventas: GRANDE 3 (600.000 - 1.000.000 UF) | Empleados: 92</t>
        </is>
      </c>
      <c r="M185" s="61" t="n"/>
      <c r="N185" s="61" t="n"/>
      <c r="O185" s="61" t="n"/>
      <c r="P185" s="61" t="n"/>
      <c r="Q185" s="61" t="n"/>
      <c r="R185" s="62" t="n"/>
      <c r="S185" s="61" t="n"/>
      <c r="T185" s="59" t="inlineStr">
        <is>
          <t>77.572.850-7</t>
        </is>
      </c>
      <c r="U185" s="59" t="inlineStr">
        <is>
          <t>(56) 9 5169 7887</t>
        </is>
      </c>
    </row>
    <row r="186" ht="15.75" customHeight="1" s="38">
      <c r="A186" s="59" t="inlineStr">
        <is>
          <t>Scharfstein S.A.</t>
        </is>
      </c>
      <c r="B186" s="59" t="inlineStr">
        <is>
          <t>Comunicaciones, Equipos para Seguridad, Sistemas de Control y Seguridad</t>
        </is>
      </c>
      <c r="C186" s="59" t="inlineStr">
        <is>
          <t>Santiago</t>
        </is>
      </c>
      <c r="D186" s="59" t="inlineStr">
        <is>
          <t>Investigación en Proceso</t>
        </is>
      </c>
      <c r="E186" s="59" t="n"/>
      <c r="F186" s="59" t="n"/>
      <c r="G186" s="59" t="inlineStr">
        <is>
          <t>Pablo San Martín Delgado (Encargado IT e Infraestructura)</t>
        </is>
      </c>
      <c r="H186" s="59" t="inlineStr">
        <is>
          <t>p.sanmartin@scharfstein.cl</t>
        </is>
      </c>
      <c r="I186" s="63" t="n"/>
      <c r="J186" s="63" t="n"/>
      <c r="K186" s="59" t="n"/>
      <c r="L186" s="59" t="inlineStr">
        <is>
          <t>Ventas: GRANDE 3 (600.000 - 1.000.000 UF) | Empleados: 138</t>
        </is>
      </c>
      <c r="M186" s="61" t="n"/>
      <c r="N186" s="61" t="n"/>
      <c r="O186" s="61" t="n"/>
      <c r="P186" s="61" t="n"/>
      <c r="Q186" s="61" t="n"/>
      <c r="R186" s="62" t="n"/>
      <c r="S186" s="61" t="n"/>
      <c r="T186" s="59" t="inlineStr">
        <is>
          <t>92.734.000-3</t>
        </is>
      </c>
      <c r="U186" s="59" t="inlineStr">
        <is>
          <t>(56) 2 2550 0000</t>
        </is>
      </c>
    </row>
    <row r="187" ht="15.75" customHeight="1" s="38">
      <c r="A187" s="59" t="inlineStr">
        <is>
          <t>Serpram S.A.</t>
        </is>
      </c>
      <c r="B187" s="59" t="inlineStr">
        <is>
          <t>Equipos para Mediciones Ambientales</t>
        </is>
      </c>
      <c r="C187" s="59" t="inlineStr">
        <is>
          <t>Santiago</t>
        </is>
      </c>
      <c r="D187" s="59" t="inlineStr">
        <is>
          <t>Investigación en Proceso</t>
        </is>
      </c>
      <c r="E187" s="59" t="n"/>
      <c r="F187" s="59" t="n"/>
      <c r="G187" s="59" t="inlineStr">
        <is>
          <t>Andrés Patricio Lagunas Andrade (TIC Manager)</t>
        </is>
      </c>
      <c r="H187" s="59" t="inlineStr">
        <is>
          <t>a.lagunas@serpram.cl</t>
        </is>
      </c>
      <c r="I187" s="63" t="n"/>
      <c r="J187" s="63" t="n"/>
      <c r="K187" s="59" t="n"/>
      <c r="L187" s="59" t="inlineStr">
        <is>
          <t>Ventas: GRANDE 3 (600.000 - 1.000.000 UF) | Empleados: 119</t>
        </is>
      </c>
      <c r="M187" s="61" t="n"/>
      <c r="N187" s="61" t="n"/>
      <c r="O187" s="61" t="n"/>
      <c r="P187" s="61" t="n"/>
      <c r="Q187" s="61" t="n"/>
      <c r="R187" s="62" t="n"/>
      <c r="S187" s="61" t="n"/>
      <c r="T187" s="59" t="inlineStr">
        <is>
          <t>96.799.790-0</t>
        </is>
      </c>
      <c r="U187" s="59" t="inlineStr">
        <is>
          <t>(56) 9 4469 6615</t>
        </is>
      </c>
    </row>
    <row r="188" ht="15.75" customHeight="1" s="38">
      <c r="A188" s="59" t="inlineStr">
        <is>
          <t>Shimin Ingeniería SpA</t>
        </is>
      </c>
      <c r="B188" s="59" t="inlineStr">
        <is>
          <t>Proyectos de Ingeniería, Transporte de Fluidos</t>
        </is>
      </c>
      <c r="C188" s="59" t="inlineStr">
        <is>
          <t>Santiago</t>
        </is>
      </c>
      <c r="D188" s="59" t="inlineStr">
        <is>
          <t>Ingeniería Minera &amp; Gestión Relaves</t>
        </is>
      </c>
      <c r="E188" s="59" t="n"/>
      <c r="F188" s="59" t="inlineStr">
        <is>
          <t>https://www.google.com/search?q=Shimin+Ingenier%C3%ADa+SpA+LinkedIn</t>
        </is>
      </c>
      <c r="G188" s="59" t="inlineStr">
        <is>
          <t>Luis Humberto Ilabarca (Gerente Proyectos)</t>
        </is>
      </c>
      <c r="H188" s="59" t="n"/>
      <c r="I188" s="63" t="n"/>
      <c r="J188" s="63" t="n"/>
      <c r="K188" s="59" t="n"/>
      <c r="L188" s="59" t="inlineStr">
        <is>
          <t>Ventas: GRANDE 2 (200.000 - 600.000 UF) | Empleados: 163</t>
        </is>
      </c>
      <c r="M188" s="61" t="n"/>
      <c r="N188" s="61" t="n"/>
      <c r="O188" s="61" t="n"/>
      <c r="P188" s="61" t="n"/>
      <c r="Q188" s="61" t="n"/>
      <c r="R188" s="62" t="n"/>
      <c r="S188" s="61" t="n"/>
      <c r="T188" s="59" t="inlineStr">
        <is>
          <t>76.257.428-4</t>
        </is>
      </c>
      <c r="U188" s="59" t="inlineStr">
        <is>
          <t>(56) 2 2449 0360</t>
        </is>
      </c>
    </row>
    <row r="189" ht="15.75" customHeight="1" s="38">
      <c r="A189" s="59" t="inlineStr">
        <is>
          <t>Sick SpA</t>
        </is>
      </c>
      <c r="B189" s="59" t="inlineStr">
        <is>
          <t>Electricidad y Electrónica Industrial, Equipos para Automatización y Control, Sistemas para Automatización</t>
        </is>
      </c>
      <c r="C189" s="59" t="inlineStr">
        <is>
          <t>Santiago</t>
        </is>
      </c>
      <c r="D189" s="59" t="inlineStr">
        <is>
          <t>Inteligencia Sensores &amp; IoT Industrial</t>
        </is>
      </c>
      <c r="E189" s="59" t="n"/>
      <c r="F189" s="59" t="inlineStr">
        <is>
          <t>https://www.google.com/search?q=Sick+SpA+Chile+LinkedIn</t>
        </is>
      </c>
      <c r="G189" s="59" t="inlineStr">
        <is>
          <t>Jared Alfaro (Head Product Management)</t>
        </is>
      </c>
      <c r="H189" s="59" t="n"/>
      <c r="I189" s="63" t="n"/>
      <c r="J189" s="63" t="n"/>
      <c r="K189" s="59" t="n"/>
      <c r="L189" s="59" t="inlineStr">
        <is>
          <t>Ventas: GRANDE 2 (200.000 - 600.000 UF) | Empleados: 50</t>
        </is>
      </c>
      <c r="M189" s="61" t="n"/>
      <c r="N189" s="61" t="n"/>
      <c r="O189" s="61" t="n"/>
      <c r="P189" s="61" t="n"/>
      <c r="Q189" s="61" t="n"/>
      <c r="R189" s="62" t="n"/>
      <c r="S189" s="61" t="n"/>
      <c r="T189" s="59" t="inlineStr">
        <is>
          <t>85.572.900-8</t>
        </is>
      </c>
      <c r="U189" s="59" t="inlineStr">
        <is>
          <t>(56) 2 2274 7430</t>
        </is>
      </c>
    </row>
    <row r="190" ht="15.75" customHeight="1" s="38">
      <c r="A190" s="59" t="inlineStr">
        <is>
          <t>Sitrans Ltda.</t>
        </is>
      </c>
      <c r="B190" s="59" t="inlineStr">
        <is>
          <t>Transporte de Carga, Transporte de Maquinaria Pesada</t>
        </is>
      </c>
      <c r="C190" s="59" t="inlineStr">
        <is>
          <t>Santiago</t>
        </is>
      </c>
      <c r="D190" s="59" t="inlineStr">
        <is>
          <t>Digitalización Servicios Logísticos</t>
        </is>
      </c>
      <c r="E190" s="59" t="inlineStr">
        <is>
          <t>LinkedIn</t>
        </is>
      </c>
      <c r="F190" s="59" t="inlineStr">
        <is>
          <t>https://cl.linkedin.com/in/ldelgadov</t>
        </is>
      </c>
      <c r="G190" s="59" t="inlineStr">
        <is>
          <t>Luis Delgado (Gerente Procesos y TI)</t>
        </is>
      </c>
      <c r="H190" s="59" t="n"/>
      <c r="I190" s="63" t="n"/>
      <c r="J190" s="63" t="n"/>
      <c r="K190" s="59" t="n"/>
      <c r="L190" s="59" t="inlineStr">
        <is>
          <t>Ventas: GRANDE (Estimado por Empleados) | Empleados: 763</t>
        </is>
      </c>
      <c r="M190" s="61" t="n"/>
      <c r="N190" s="61" t="n"/>
      <c r="O190" s="61" t="n"/>
      <c r="P190" s="61" t="n"/>
      <c r="Q190" s="61" t="n"/>
      <c r="R190" s="62" t="n"/>
      <c r="S190" s="61" t="n"/>
      <c r="T190" s="59" t="inlineStr">
        <is>
          <t>96.500.950-7</t>
        </is>
      </c>
      <c r="U190" s="59" t="inlineStr">
        <is>
          <t>(56) 2 2540 2100</t>
        </is>
      </c>
    </row>
    <row r="191" ht="15.75" customHeight="1" s="38">
      <c r="A191" s="59" t="inlineStr">
        <is>
          <t>Socadin</t>
        </is>
      </c>
      <c r="B191" s="59" t="inlineStr">
        <is>
          <t>Cadenas para la Nieve, Cadenas Protectoras para Maquinaria, Cuñas para Vehículos Mineros</t>
        </is>
      </c>
      <c r="C191" s="59" t="inlineStr">
        <is>
          <t>Santiago</t>
        </is>
      </c>
      <c r="D191" s="59" t="inlineStr">
        <is>
          <t>Logística Supply Chain Cadenas Minería</t>
        </is>
      </c>
      <c r="E191" s="59" t="n"/>
      <c r="F191" s="59" t="inlineStr">
        <is>
          <t>https://cl.linkedin.com/in/felipe-leyton-cuevas</t>
        </is>
      </c>
      <c r="G191" s="59" t="inlineStr">
        <is>
          <t>Felipe Leyton Cuevas (Jefe de Operaciones)</t>
        </is>
      </c>
      <c r="H191" s="59" t="n"/>
      <c r="I191" s="63" t="n"/>
      <c r="J191" s="63" t="n"/>
      <c r="K191" s="59" t="n"/>
      <c r="L191" s="59" t="inlineStr">
        <is>
          <t>Ventas: GRANDE 2 (200.000 - 600.000 UF) | Empleados: 28</t>
        </is>
      </c>
      <c r="M191" s="61" t="n"/>
      <c r="N191" s="61" t="n"/>
      <c r="O191" s="61" t="n"/>
      <c r="P191" s="61" t="n"/>
      <c r="Q191" s="61" t="n"/>
      <c r="R191" s="62" t="n"/>
      <c r="S191" s="61" t="n"/>
      <c r="T191" s="59" t="inlineStr">
        <is>
          <t>85.385.800-5</t>
        </is>
      </c>
      <c r="U191" s="59" t="inlineStr">
        <is>
          <t>(56) 2 2773 3726</t>
        </is>
      </c>
    </row>
    <row r="192" ht="15.75" customHeight="1" s="38">
      <c r="A192" s="59" t="inlineStr">
        <is>
          <t>Solarpack Chile Ltda.</t>
        </is>
      </c>
      <c r="B192" s="59" t="inlineStr">
        <is>
          <t>Energía Solar</t>
        </is>
      </c>
      <c r="C192" s="59" t="inlineStr">
        <is>
          <t>Santiago</t>
        </is>
      </c>
      <c r="D192" s="59" t="inlineStr">
        <is>
          <t>Nuevas Plantas Fotovoltaicas &amp; Almacenamiento</t>
        </is>
      </c>
      <c r="E192" s="59" t="n"/>
      <c r="F192" s="59" t="inlineStr">
        <is>
          <t>https://www.solarpack.com/paises/proyectos-solarpack-en-chile/</t>
        </is>
      </c>
      <c r="G192" s="59" t="inlineStr">
        <is>
          <t>Enrique M. Henríquez López (EPC Manager)</t>
        </is>
      </c>
      <c r="H192" s="59" t="n"/>
      <c r="I192" s="63" t="n"/>
      <c r="J192" s="63" t="n"/>
      <c r="K192" s="59" t="n"/>
      <c r="L192" s="59" t="inlineStr">
        <is>
          <t>Ventas: GRANDE 3 (600.000 - 1.000.000 UF) | Empleados: 70</t>
        </is>
      </c>
      <c r="M192" s="61" t="n"/>
      <c r="N192" s="61" t="n"/>
      <c r="O192" s="61" t="n"/>
      <c r="P192" s="61" t="n"/>
      <c r="Q192" s="61" t="n"/>
      <c r="R192" s="62" t="n"/>
      <c r="S192" s="61" t="n"/>
      <c r="T192" s="59" t="inlineStr">
        <is>
          <t>76.041.002-0</t>
        </is>
      </c>
      <c r="U192" s="59" t="inlineStr">
        <is>
          <t>(56) 2 2335 8452</t>
        </is>
      </c>
    </row>
    <row r="193" ht="15.75" customHeight="1" s="38">
      <c r="A193" s="59" t="inlineStr">
        <is>
          <t>Systec S.A.</t>
        </is>
      </c>
      <c r="B193" s="59" t="inlineStr">
        <is>
          <t>Equipamiento para Sistemas Ferroviarios: Trenes, Vías y Catenarias, Sistemas Eléctricos, Talleres y Maestranzas, Equipos Ferroviarios</t>
        </is>
      </c>
      <c r="C193" s="59" t="inlineStr">
        <is>
          <t>Santiago</t>
        </is>
      </c>
      <c r="D193" s="59" t="inlineStr">
        <is>
          <t>Transformación Digital Industrial</t>
        </is>
      </c>
      <c r="E193" s="59" t="inlineStr">
        <is>
          <t>LinkedIn</t>
        </is>
      </c>
      <c r="F193" s="59" t="inlineStr">
        <is>
          <t>https://cl.linkedin.com/in/luismondaca</t>
        </is>
      </c>
      <c r="G193" s="59" t="inlineStr">
        <is>
          <t>Luis Mondaca (Gerente TI / CDO)</t>
        </is>
      </c>
      <c r="H193" s="59" t="n"/>
      <c r="I193" s="63" t="n"/>
      <c r="J193" s="63" t="n"/>
      <c r="K193" s="59" t="n"/>
      <c r="L193" s="59" t="inlineStr">
        <is>
          <t>Ventas: GRANDE 2 (200.000 - 600.000 UF) | Empleados: 4</t>
        </is>
      </c>
      <c r="M193" s="61" t="n"/>
      <c r="N193" s="61" t="n"/>
      <c r="O193" s="61" t="n"/>
      <c r="P193" s="61" t="n"/>
      <c r="Q193" s="61" t="n"/>
      <c r="R193" s="62" t="n"/>
      <c r="S193" s="61" t="n"/>
      <c r="T193" s="59" t="inlineStr">
        <is>
          <t>96.877.190-6</t>
        </is>
      </c>
      <c r="U193" s="59" t="inlineStr">
        <is>
          <t>(56) 2 2263 0228</t>
        </is>
      </c>
    </row>
    <row r="194" ht="15.75" customHeight="1" s="38">
      <c r="A194" s="59" t="inlineStr">
        <is>
          <t>THC Chile S.A.</t>
        </is>
      </c>
      <c r="B194" s="59" t="inlineStr">
        <is>
          <t>Tuberías PPR y HDPE</t>
        </is>
      </c>
      <c r="C194" s="59" t="inlineStr">
        <is>
          <t>Santiago</t>
        </is>
      </c>
      <c r="D194" s="59" t="inlineStr">
        <is>
          <t>Investigación en Proceso</t>
        </is>
      </c>
      <c r="E194" s="59" t="n"/>
      <c r="F194" s="59" t="n"/>
      <c r="G194" s="59" t="inlineStr">
        <is>
          <t>Tech Lead (Tech Lead)</t>
        </is>
      </c>
      <c r="H194" s="59" t="inlineStr">
        <is>
          <t>sistemas@thcchile.cl</t>
        </is>
      </c>
      <c r="I194" s="63" t="n"/>
      <c r="J194" s="63" t="n"/>
      <c r="K194" s="59" t="n"/>
      <c r="L194" s="59" t="inlineStr">
        <is>
          <t>Ventas: GRANDE 3 (600.000 - 1.000.000 UF) | Empleados: 131</t>
        </is>
      </c>
      <c r="M194" s="61" t="n"/>
      <c r="N194" s="61" t="n"/>
      <c r="O194" s="61" t="n"/>
      <c r="P194" s="61" t="n"/>
      <c r="Q194" s="61" t="n"/>
      <c r="R194" s="62" t="n"/>
      <c r="S194" s="61" t="n"/>
      <c r="T194" s="59" t="inlineStr">
        <is>
          <t>96502050-0</t>
        </is>
      </c>
      <c r="U194" s="59" t="inlineStr">
        <is>
          <t>(56) 2 2889 4811</t>
        </is>
      </c>
    </row>
    <row r="195" ht="15.75" customHeight="1" s="38">
      <c r="A195" s="59" t="inlineStr">
        <is>
          <t>TIMining</t>
        </is>
      </c>
      <c r="B195" s="59" t="inlineStr">
        <is>
          <t>Digitalización de Minas, Software que Transforma Datos en Información</t>
        </is>
      </c>
      <c r="C195" s="59" t="inlineStr">
        <is>
          <t>Santiago</t>
        </is>
      </c>
      <c r="D195" s="59" t="inlineStr">
        <is>
          <t>Tecnología Digital Twin &amp; Monitoreo Operacional</t>
        </is>
      </c>
      <c r="E195" s="59" t="n"/>
      <c r="F195" s="59" t="inlineStr">
        <is>
          <t>https://pe.linkedin.com/company/timining</t>
        </is>
      </c>
      <c r="G195" s="59" t="inlineStr">
        <is>
          <t>Carlo Calderón Becerra (CTO)</t>
        </is>
      </c>
      <c r="H195" s="59" t="n"/>
      <c r="I195" s="63" t="n"/>
      <c r="J195" s="63" t="n"/>
      <c r="K195" s="59" t="n"/>
      <c r="L195" s="59" t="inlineStr">
        <is>
          <t>Ventas: GRANDE 2 (200.000 - 600.000 UF) | Empleados: 78</t>
        </is>
      </c>
      <c r="M195" s="61" t="n"/>
      <c r="N195" s="61" t="n"/>
      <c r="O195" s="61" t="n"/>
      <c r="P195" s="61" t="n"/>
      <c r="Q195" s="61" t="n"/>
      <c r="R195" s="62" t="n"/>
      <c r="S195" s="61" t="n"/>
      <c r="T195" s="59" t="inlineStr">
        <is>
          <t>76.144.006-3</t>
        </is>
      </c>
      <c r="U195" s="59" t="inlineStr">
        <is>
          <t>(56) 2 2953 9522</t>
        </is>
      </c>
    </row>
    <row r="196" ht="15.75" customHeight="1" s="38">
      <c r="A196" s="59" t="inlineStr">
        <is>
          <t>Technosteel</t>
        </is>
      </c>
      <c r="B196" s="59" t="inlineStr">
        <is>
          <t>Aceros para Perforación</t>
        </is>
      </c>
      <c r="C196" s="59" t="inlineStr">
        <is>
          <t>Santiago</t>
        </is>
      </c>
      <c r="D196" s="59" t="inlineStr">
        <is>
          <t>Mantenimiento Predictivo Minería 4.0</t>
        </is>
      </c>
      <c r="E196" s="59" t="n"/>
      <c r="F196" s="59" t="inlineStr">
        <is>
          <t>http://www.technosteel.cl/</t>
        </is>
      </c>
      <c r="G196" s="59" t="inlineStr">
        <is>
          <t>Ariel Severino Fuentes (Jefe de Planta)</t>
        </is>
      </c>
      <c r="H196" s="59" t="n"/>
      <c r="I196" s="63" t="n"/>
      <c r="J196" s="63" t="n"/>
      <c r="K196" s="59" t="n"/>
      <c r="L196" s="59" t="inlineStr">
        <is>
          <t>Ventas: GRANDE 3 (600.000 - 1.000.000 UF) | Empleados: 73</t>
        </is>
      </c>
      <c r="M196" s="61" t="n"/>
      <c r="N196" s="61" t="n"/>
      <c r="O196" s="61" t="n"/>
      <c r="P196" s="61" t="n"/>
      <c r="Q196" s="61" t="n"/>
      <c r="R196" s="62" t="n"/>
      <c r="S196" s="61" t="n"/>
      <c r="T196" s="59" t="inlineStr">
        <is>
          <t>96.889.610-5</t>
        </is>
      </c>
      <c r="U196" s="59" t="inlineStr">
        <is>
          <t>(56) 2 2378 1580</t>
        </is>
      </c>
    </row>
    <row r="197" ht="15.75" customHeight="1" s="38">
      <c r="A197" s="59" t="inlineStr">
        <is>
          <t>Terraservice S.A.</t>
        </is>
      </c>
      <c r="B197" s="59" t="inlineStr">
        <is>
          <t>Construcción de Chimeneas y Piques, Sondajes</t>
        </is>
      </c>
      <c r="C197" s="59" t="inlineStr">
        <is>
          <t>Santiago</t>
        </is>
      </c>
      <c r="D197" s="59" t="inlineStr">
        <is>
          <t>Investigación en Proceso</t>
        </is>
      </c>
      <c r="E197" s="59" t="n"/>
      <c r="F197" s="59" t="n"/>
      <c r="G197" s="59" t="inlineStr">
        <is>
          <t>Juan Carlos Morales (Jefe de TI)</t>
        </is>
      </c>
      <c r="H197" s="59" t="inlineStr">
        <is>
          <t>j.morales@terraservice.cl</t>
        </is>
      </c>
      <c r="I197" s="63" t="n"/>
      <c r="J197" s="63" t="n"/>
      <c r="K197" s="59" t="n"/>
      <c r="L197" s="59" t="inlineStr">
        <is>
          <t>Ventas: GRANDE 3 (600.000 - 1.000.000 UF) | Empleados: 256</t>
        </is>
      </c>
      <c r="M197" s="61" t="n"/>
      <c r="N197" s="61" t="n"/>
      <c r="O197" s="61" t="n"/>
      <c r="P197" s="61" t="n"/>
      <c r="Q197" s="61" t="n"/>
      <c r="R197" s="62" t="n"/>
      <c r="S197" s="61" t="n"/>
      <c r="T197" s="59" t="inlineStr">
        <is>
          <t>96.755.590-8</t>
        </is>
      </c>
      <c r="U197" s="59" t="inlineStr">
        <is>
          <t>(56) 2 2714 2100</t>
        </is>
      </c>
    </row>
    <row r="198" ht="15.75" customHeight="1" s="38">
      <c r="A198" s="59" t="inlineStr">
        <is>
          <t>Tesa Tape Chile S.A.</t>
        </is>
      </c>
      <c r="B198" s="59" t="inlineStr">
        <is>
          <t>Adhesivos, Cintas Adhesivas</t>
        </is>
      </c>
      <c r="C198" s="59" t="inlineStr">
        <is>
          <t>Santiago</t>
        </is>
      </c>
      <c r="D198" s="59" t="inlineStr">
        <is>
          <t>Investigación en Proceso</t>
        </is>
      </c>
      <c r="E198" s="59" t="n"/>
      <c r="F198" s="59" t="n"/>
      <c r="G198" s="59" t="inlineStr">
        <is>
          <t>Marcelo Rojas (IT Manager Chile)</t>
        </is>
      </c>
      <c r="H198" s="59" t="inlineStr">
        <is>
          <t>m.rojas@tesa.com</t>
        </is>
      </c>
      <c r="I198" s="63" t="n"/>
      <c r="J198" s="63" t="n"/>
      <c r="K198" s="59" t="n"/>
      <c r="L198" s="59" t="inlineStr">
        <is>
          <t>Ventas: GRANDE 3 (600.000 - 1.000.000 UF) | Empleados: 35</t>
        </is>
      </c>
      <c r="M198" s="61" t="n"/>
      <c r="N198" s="61" t="n"/>
      <c r="O198" s="61" t="n"/>
      <c r="P198" s="61" t="n"/>
      <c r="Q198" s="61" t="n"/>
      <c r="R198" s="62" t="n"/>
      <c r="S198" s="61" t="n"/>
      <c r="T198" s="59" t="inlineStr">
        <is>
          <t>96.996.330-2</t>
        </is>
      </c>
      <c r="U198" s="59" t="inlineStr">
        <is>
          <t>(56) 2 2369 3600</t>
        </is>
      </c>
    </row>
    <row r="199" ht="15.75" customHeight="1" s="38">
      <c r="A199" s="59" t="inlineStr">
        <is>
          <t>Tesacom</t>
        </is>
      </c>
      <c r="B199" s="59" t="inlineStr">
        <is>
          <t>Servicios de Telecomunicaciones</t>
        </is>
      </c>
      <c r="C199" s="59" t="inlineStr">
        <is>
          <t>Santiago</t>
        </is>
      </c>
      <c r="D199" s="59" t="inlineStr">
        <is>
          <t>Conectividad Satelital &amp; IIoT</t>
        </is>
      </c>
      <c r="E199" s="59" t="n"/>
      <c r="F199" s="59" t="inlineStr">
        <is>
          <t>https://www.google.com/search?q=Tesacom+Chile+LinkedIn</t>
        </is>
      </c>
      <c r="G199" s="59" t="inlineStr">
        <is>
          <t>Álvaro Stierling (Gerente Ingeniería/TI)</t>
        </is>
      </c>
      <c r="H199" s="59" t="n"/>
      <c r="I199" s="63" t="n"/>
      <c r="J199" s="63" t="n"/>
      <c r="K199" s="59" t="n"/>
      <c r="L199" s="59" t="inlineStr">
        <is>
          <t>Ventas: GRANDE 2 (200.000 - 600.000 UF) | Empleados: 20</t>
        </is>
      </c>
      <c r="M199" s="61" t="n"/>
      <c r="N199" s="61" t="n"/>
      <c r="O199" s="61" t="n"/>
      <c r="P199" s="61" t="n"/>
      <c r="Q199" s="61" t="n"/>
      <c r="R199" s="62" t="n"/>
      <c r="S199" s="61" t="n"/>
      <c r="T199" s="59" t="inlineStr">
        <is>
          <t>96.880.440-5</t>
        </is>
      </c>
      <c r="U199" s="59" t="inlineStr">
        <is>
          <t>(56) 2 2211 2667</t>
        </is>
      </c>
    </row>
    <row r="200" ht="15.75" customHeight="1" s="38">
      <c r="A200" s="59" t="inlineStr">
        <is>
          <t>Thermal Engineering Ltda.</t>
        </is>
      </c>
      <c r="B200" s="59" t="inlineStr">
        <is>
          <t>Calderas</t>
        </is>
      </c>
      <c r="C200" s="59" t="inlineStr">
        <is>
          <t>Santiago</t>
        </is>
      </c>
      <c r="D200" s="59" t="inlineStr">
        <is>
          <t>Investigación en Proceso</t>
        </is>
      </c>
      <c r="E200" s="59" t="n"/>
      <c r="F200" s="59" t="n"/>
      <c r="G200" s="59" t="inlineStr">
        <is>
          <t>Technical Lead (Technical Lead)</t>
        </is>
      </c>
      <c r="H200" s="59" t="inlineStr">
        <is>
          <t>sistemas@thermal.cl</t>
        </is>
      </c>
      <c r="I200" s="63" t="n"/>
      <c r="J200" s="63" t="n"/>
      <c r="K200" s="59" t="n"/>
      <c r="L200" s="59" t="inlineStr">
        <is>
          <t>Ventas: GRANDE 3 (600.000 - 1.000.000 UF) | Empleados: 62</t>
        </is>
      </c>
      <c r="M200" s="61" t="n"/>
      <c r="N200" s="61" t="n"/>
      <c r="O200" s="61" t="n"/>
      <c r="P200" s="61" t="n"/>
      <c r="Q200" s="61" t="n"/>
      <c r="R200" s="62" t="n"/>
      <c r="S200" s="61" t="n"/>
      <c r="T200" s="59" t="inlineStr">
        <is>
          <t>77.091.780-8</t>
        </is>
      </c>
      <c r="U200" s="59" t="inlineStr">
        <is>
          <t>(56) 2 2623 2852</t>
        </is>
      </c>
    </row>
    <row r="201" ht="15.75" customHeight="1" s="38">
      <c r="A201" s="59" t="inlineStr">
        <is>
          <t>Thermo Fisher Scientific</t>
        </is>
      </c>
      <c r="B201" s="59" t="inlineStr">
        <is>
          <t>Análisis de Laboratorio, Equipos para Análisis Químico</t>
        </is>
      </c>
      <c r="C201" s="59" t="inlineStr">
        <is>
          <t>Santiago</t>
        </is>
      </c>
      <c r="D201" s="59" t="inlineStr">
        <is>
          <t>Investigación en Proceso</t>
        </is>
      </c>
      <c r="E201" s="59" t="n"/>
      <c r="F201" s="59" t="n"/>
      <c r="G201" s="59" t="inlineStr">
        <is>
          <t>Joaquin Daniel Araya Adasme (Lead Desktop Support Analyst)</t>
        </is>
      </c>
      <c r="H201" s="59" t="inlineStr">
        <is>
          <t>j.araya@thermofisher.com</t>
        </is>
      </c>
      <c r="I201" s="63" t="n"/>
      <c r="J201" s="63" t="n"/>
      <c r="K201" s="59" t="n"/>
      <c r="L201" s="59" t="inlineStr">
        <is>
          <t>Ventas: GRANDE 3 (600.000 - 1.000.000 UF) | Empleados: 23</t>
        </is>
      </c>
      <c r="M201" s="61" t="n"/>
      <c r="N201" s="61" t="n"/>
      <c r="O201" s="61" t="n"/>
      <c r="P201" s="61" t="n"/>
      <c r="Q201" s="61" t="n"/>
      <c r="R201" s="62" t="n"/>
      <c r="S201" s="61" t="n"/>
      <c r="T201" s="59" t="inlineStr">
        <is>
          <t>96.834.950-3</t>
        </is>
      </c>
      <c r="U201" s="59" t="inlineStr">
        <is>
          <t>(56) 2 2378 5080</t>
        </is>
      </c>
    </row>
    <row r="202" ht="15.75" customHeight="1" s="38">
      <c r="A202" s="59" t="inlineStr">
        <is>
          <t>Tiar Ltda.</t>
        </is>
      </c>
      <c r="B202" s="59" t="inlineStr">
        <is>
          <t>Equipos para Análisis de Vibraciones</t>
        </is>
      </c>
      <c r="C202" s="59" t="inlineStr">
        <is>
          <t>Santiago</t>
        </is>
      </c>
      <c r="D202" s="59" t="inlineStr">
        <is>
          <t>Gestión Alimentación Automatizada Sitios</t>
        </is>
      </c>
      <c r="E202" s="59" t="n"/>
      <c r="F202" s="59" t="inlineStr">
        <is>
          <t>https://www.tiar.cl/</t>
        </is>
      </c>
      <c r="G202" s="59" t="inlineStr">
        <is>
          <t>Jose Antonio Sanchez (Gerente General)</t>
        </is>
      </c>
      <c r="H202" s="59" t="n"/>
      <c r="I202" s="63" t="n"/>
      <c r="J202" s="63" t="n"/>
      <c r="K202" s="59" t="n"/>
      <c r="L202" s="59" t="inlineStr">
        <is>
          <t>Ventas: GRANDE 2 (200.000 - 600.000 UF) | Empleados: 37</t>
        </is>
      </c>
      <c r="M202" s="61" t="n"/>
      <c r="N202" s="61" t="n"/>
      <c r="O202" s="61" t="n"/>
      <c r="P202" s="61" t="n"/>
      <c r="Q202" s="61" t="n"/>
      <c r="R202" s="62" t="n"/>
      <c r="S202" s="61" t="n"/>
      <c r="T202" s="59" t="inlineStr">
        <is>
          <t>78.183.900-0</t>
        </is>
      </c>
      <c r="U202" s="59" t="inlineStr">
        <is>
          <t>(56) 2 2233 7232</t>
        </is>
      </c>
    </row>
    <row r="203" ht="15.75" customHeight="1" s="38">
      <c r="A203" s="59" t="inlineStr">
        <is>
          <t>Tigre Chile S.A.</t>
        </is>
      </c>
      <c r="B203" s="59" t="inlineStr">
        <is>
          <t>Tubos de Polietileno de Alta Densidad (HDPE), Tubos de PVC y CPVC, Válvulas Termoplásticas</t>
        </is>
      </c>
      <c r="C203" s="59" t="inlineStr">
        <is>
          <t>Santiago</t>
        </is>
      </c>
      <c r="D203" s="59" t="inlineStr">
        <is>
          <t>Investigación en Proceso</t>
        </is>
      </c>
      <c r="E203" s="59" t="n"/>
      <c r="F203" s="59" t="n"/>
      <c r="G203" s="59" t="inlineStr">
        <is>
          <t>Rodrigo Tapia (IT &amp; Systems Manager Chile)</t>
        </is>
      </c>
      <c r="H203" s="59" t="inlineStr">
        <is>
          <t>rtapia@tigre.com</t>
        </is>
      </c>
      <c r="I203" s="63" t="n"/>
      <c r="J203" s="63" t="n"/>
      <c r="K203" s="59" t="n"/>
      <c r="L203" s="59" t="inlineStr">
        <is>
          <t>Ventas: GRANDE 3 (600.000 - 1.000.000 UF) | Empleados: 120</t>
        </is>
      </c>
      <c r="M203" s="61" t="n"/>
      <c r="N203" s="61" t="n"/>
      <c r="O203" s="61" t="n"/>
      <c r="P203" s="61" t="n"/>
      <c r="Q203" s="61" t="n"/>
      <c r="R203" s="62" t="n"/>
      <c r="S203" s="61" t="n"/>
      <c r="T203" s="59" t="inlineStr">
        <is>
          <t>77.032.200-6</t>
        </is>
      </c>
      <c r="U203" s="59" t="inlineStr">
        <is>
          <t>(56) 2 6465 5973</t>
        </is>
      </c>
    </row>
    <row r="204" ht="15.75" customHeight="1" s="38">
      <c r="A204" s="59" t="inlineStr">
        <is>
          <t>Todo Izaje</t>
        </is>
      </c>
      <c r="B204" s="59" t="inlineStr">
        <is>
          <t>Cadenas, Polipastos</t>
        </is>
      </c>
      <c r="C204" s="59" t="inlineStr">
        <is>
          <t>Iquique</t>
        </is>
      </c>
      <c r="D204" s="59" t="inlineStr">
        <is>
          <t>Digitalización Seguridad Izaje Pesado</t>
        </is>
      </c>
      <c r="E204" s="59" t="n"/>
      <c r="F204" s="59" t="inlineStr">
        <is>
          <t>https://www.todoizaje.cl/</t>
        </is>
      </c>
      <c r="G204" s="59" t="inlineStr">
        <is>
          <t>Gonzalo Lopez (Gerente Operaciones)</t>
        </is>
      </c>
      <c r="H204" s="59" t="n"/>
      <c r="I204" s="63" t="n"/>
      <c r="J204" s="63" t="n"/>
      <c r="K204" s="59" t="n"/>
      <c r="L204" s="59" t="inlineStr">
        <is>
          <t>Ventas: GRANDE 2 (200.000 - 600.000 UF) | Empleados: 66</t>
        </is>
      </c>
      <c r="M204" s="61" t="n"/>
      <c r="N204" s="61" t="n"/>
      <c r="O204" s="61" t="n"/>
      <c r="P204" s="61" t="n"/>
      <c r="Q204" s="61" t="n"/>
      <c r="R204" s="62" t="n"/>
      <c r="S204" s="61" t="n"/>
      <c r="T204" s="59" t="inlineStr">
        <is>
          <t>76192151-7</t>
        </is>
      </c>
      <c r="U204" s="59" t="inlineStr">
        <is>
          <t>600 3600 488</t>
        </is>
      </c>
    </row>
    <row r="205" ht="15.75" customHeight="1" s="38">
      <c r="A205" s="59" t="inlineStr">
        <is>
          <t>Tracktec Ltda.</t>
        </is>
      </c>
      <c r="B205" s="59" t="inlineStr">
        <is>
          <t>Servicios de Telemetría, Sistemas para Control de Flotas</t>
        </is>
      </c>
      <c r="C205" s="59" t="inlineStr">
        <is>
          <t>Santiago</t>
        </is>
      </c>
      <c r="D205" s="59" t="inlineStr">
        <is>
          <t>Innovación IoT &amp; Telemática Transporte</t>
        </is>
      </c>
      <c r="E205" s="59" t="n"/>
      <c r="F205" s="59" t="inlineStr">
        <is>
          <t>https://cl.linkedin.com/in/renato-ramirez-iglesias</t>
        </is>
      </c>
      <c r="G205" s="59" t="inlineStr">
        <is>
          <t>Renato Ramírez Iglesias (CEO | Transformación Digital)</t>
        </is>
      </c>
      <c r="H205" s="59" t="n"/>
      <c r="I205" s="63" t="n"/>
      <c r="J205" s="63" t="n"/>
      <c r="K205" s="59" t="n"/>
      <c r="L205" s="59" t="inlineStr">
        <is>
          <t>Ventas: GRANDE 2 (200.000 - 600.000 UF) | Empleados: 99</t>
        </is>
      </c>
      <c r="M205" s="61" t="n"/>
      <c r="N205" s="61" t="n"/>
      <c r="O205" s="61" t="n"/>
      <c r="P205" s="61" t="n"/>
      <c r="Q205" s="61" t="n"/>
      <c r="R205" s="62" t="n"/>
      <c r="S205" s="61" t="n"/>
      <c r="T205" s="59" t="inlineStr">
        <is>
          <t>76.032.475-2</t>
        </is>
      </c>
      <c r="U205" s="59" t="inlineStr">
        <is>
          <t>(56) 2 2706 0500</t>
        </is>
      </c>
    </row>
    <row r="206" ht="15.75" customHeight="1" s="38">
      <c r="A206" s="59" t="inlineStr">
        <is>
          <t>Tradecor S.A.</t>
        </is>
      </c>
      <c r="B206" s="59" t="inlineStr">
        <is>
          <t>Sacos</t>
        </is>
      </c>
      <c r="C206" s="59" t="inlineStr">
        <is>
          <t>Santiago</t>
        </is>
      </c>
      <c r="D206" s="59" t="inlineStr">
        <is>
          <t>Optimización Supply Chain Minera</t>
        </is>
      </c>
      <c r="E206" s="59" t="n"/>
      <c r="F206" s="59" t="inlineStr">
        <is>
          <t>https://cl.linkedin.com/in/carolina-rivero-mujica-163013b8</t>
        </is>
      </c>
      <c r="G206" s="59" t="inlineStr">
        <is>
          <t>Carolina Rivero Mujica (Key Account Manager)</t>
        </is>
      </c>
      <c r="H206" s="59" t="n"/>
      <c r="I206" s="63" t="n"/>
      <c r="J206" s="63" t="n"/>
      <c r="K206" s="59" t="n"/>
      <c r="L206" s="59" t="inlineStr">
        <is>
          <t>Ventas: GRANDE 2 (200.000 - 600.000 UF) | Empleados: 5</t>
        </is>
      </c>
      <c r="M206" s="61" t="n"/>
      <c r="N206" s="61" t="n"/>
      <c r="O206" s="61" t="n"/>
      <c r="P206" s="61" t="n"/>
      <c r="Q206" s="61" t="n"/>
      <c r="R206" s="62" t="n"/>
      <c r="S206" s="61" t="n"/>
      <c r="T206" s="59" t="inlineStr">
        <is>
          <t>76082255-8</t>
        </is>
      </c>
      <c r="U206" s="59" t="inlineStr">
        <is>
          <t>(56) 9 9841 9283</t>
        </is>
      </c>
    </row>
    <row r="207" ht="15.75" customHeight="1" s="38">
      <c r="A207" s="59" t="inlineStr">
        <is>
          <t>Trane de Chile S.A.</t>
        </is>
      </c>
      <c r="B207" s="59" t="inlineStr">
        <is>
          <t>Aire Acondicionado, Arriendo de Equipos de Aire Acondicionado, Automatización y Sistemas de Control, Climatización, Enfriadores, Refrigeración Industrial, Repuestos de Aire Acondicionado, Torres de Enfriamiento</t>
        </is>
      </c>
      <c r="C207" s="59" t="inlineStr">
        <is>
          <t>Santiago</t>
        </is>
      </c>
      <c r="D207" s="59" t="inlineStr">
        <is>
          <t>Investigación en Proceso</t>
        </is>
      </c>
      <c r="E207" s="59" t="n"/>
      <c r="F207" s="59" t="n"/>
      <c r="G207" s="59" t="inlineStr">
        <is>
          <t>Gonzalo Gonzalez (IT Manager Chile)</t>
        </is>
      </c>
      <c r="H207" s="59" t="inlineStr">
        <is>
          <t>gonzalo.gonzalez@trane.com</t>
        </is>
      </c>
      <c r="I207" s="63" t="n"/>
      <c r="J207" s="63" t="n"/>
      <c r="K207" s="59" t="inlineStr">
        <is>
          <t>http://www.trane.com</t>
        </is>
      </c>
      <c r="L207" s="59" t="inlineStr">
        <is>
          <t>Ventas: GRANDE 3 (600.000 - 1.000.000 UF) | Empleados: 140</t>
        </is>
      </c>
      <c r="M207" s="61" t="n"/>
      <c r="N207" s="61" t="n"/>
      <c r="O207" s="61" t="n"/>
      <c r="P207" s="61" t="n"/>
      <c r="Q207" s="61" t="n"/>
      <c r="R207" s="62" t="n"/>
      <c r="S207" s="61" t="n"/>
      <c r="T207" s="59" t="inlineStr">
        <is>
          <t>96.836.580-0</t>
        </is>
      </c>
      <c r="U207" s="59" t="inlineStr">
        <is>
          <t>(56) 2 2498 0100</t>
        </is>
      </c>
    </row>
    <row r="208" ht="15.75" customHeight="1" s="38">
      <c r="A208" s="59" t="inlineStr">
        <is>
          <t>Transagro S.A.</t>
        </is>
      </c>
      <c r="B208" s="59" t="inlineStr">
        <is>
          <t>Repuestos para Camiones, Repuestos para Maquinaria Pesada</t>
        </is>
      </c>
      <c r="C208" s="59" t="inlineStr">
        <is>
          <t>Santiago</t>
        </is>
      </c>
      <c r="D208" s="59" t="inlineStr">
        <is>
          <t>Modernización Envases Industriales</t>
        </is>
      </c>
      <c r="E208" s="59" t="n"/>
      <c r="F208" s="59" t="inlineStr">
        <is>
          <t>https://cl.linkedin.com/pub/dir/Carlos/Labbe/cl-0-Chile</t>
        </is>
      </c>
      <c r="G208" s="59" t="inlineStr">
        <is>
          <t>Carlos Labbé (Gerente Operaciones)</t>
        </is>
      </c>
      <c r="H208" s="59" t="n"/>
      <c r="I208" s="63" t="n"/>
      <c r="J208" s="63" t="n"/>
      <c r="K208" s="59" t="n"/>
      <c r="L208" s="59" t="inlineStr">
        <is>
          <t>Ventas: GRANDE 2 (200.000 - 600.000 UF) | Empleados: 84</t>
        </is>
      </c>
      <c r="M208" s="61" t="n"/>
      <c r="N208" s="61" t="n"/>
      <c r="O208" s="61" t="n"/>
      <c r="P208" s="61" t="n"/>
      <c r="Q208" s="61" t="n"/>
      <c r="R208" s="62" t="n"/>
      <c r="S208" s="61" t="n"/>
      <c r="T208" s="59" t="inlineStr">
        <is>
          <t>96.882.280-2</t>
        </is>
      </c>
      <c r="U208" s="59" t="inlineStr">
        <is>
          <t>(56) 2 2928 5800</t>
        </is>
      </c>
    </row>
    <row r="209" ht="15.75" customHeight="1" s="38">
      <c r="A209" s="59" t="inlineStr">
        <is>
          <t>Transap S.A.</t>
        </is>
      </c>
      <c r="B209" s="59" t="inlineStr">
        <is>
          <t>Transporte Ferroviario</t>
        </is>
      </c>
      <c r="C209" s="59" t="inlineStr">
        <is>
          <t>Santiago</t>
        </is>
      </c>
      <c r="D209" s="59" t="inlineStr">
        <is>
          <t>Modernización de Flota (Locomotoras Chinas 2025) &amp; Eficiencia Operacional</t>
        </is>
      </c>
      <c r="E209" s="59" t="inlineStr">
        <is>
          <t>Portal Portuario / Transap.cl</t>
        </is>
      </c>
      <c r="F209" s="59" t="inlineStr">
        <is>
          <t>https://portalportuario.cl/terminal-portuario-valparaiso-descarga-dos-locomotoras-nuevas-para-transap/</t>
        </is>
      </c>
      <c r="G209" s="59" t="inlineStr">
        <is>
          <t>Jorge Ignacio Muñoz (Jefe de TI)</t>
        </is>
      </c>
      <c r="H209" s="59" t="inlineStr">
        <is>
          <t>jmunoz@transap.cl</t>
        </is>
      </c>
      <c r="I209" s="63" t="n"/>
      <c r="J209" s="63" t="n"/>
      <c r="K209" s="59" t="n"/>
      <c r="L209" s="59" t="inlineStr">
        <is>
          <t>Ventas: GRANDE 4 (Mas de 1.000.000 UF) | Empleados: 191</t>
        </is>
      </c>
      <c r="M209" s="61" t="n"/>
      <c r="N209" s="61" t="n"/>
      <c r="O209" s="61" t="n"/>
      <c r="P209" s="61" t="n"/>
      <c r="Q209" s="61" t="n"/>
      <c r="R209" s="62" t="n"/>
      <c r="S209" s="61" t="n"/>
      <c r="T209" s="59" t="inlineStr">
        <is>
          <t>96.913.600-7</t>
        </is>
      </c>
      <c r="U209" s="59" t="inlineStr">
        <is>
          <t>(56) 2 2570 2690</t>
        </is>
      </c>
    </row>
    <row r="210" ht="15.75" customHeight="1" s="38">
      <c r="A210" s="59" t="inlineStr">
        <is>
          <t>Transelec S.A.</t>
        </is>
      </c>
      <c r="B210" s="59" t="inlineStr">
        <is>
          <t>Transmisión de Energía Eléctrica</t>
        </is>
      </c>
      <c r="C210" s="59" t="inlineStr">
        <is>
          <t>Santiago</t>
        </is>
      </c>
      <c r="D210" s="59" t="inlineStr">
        <is>
          <t>Red Eléctrica Digital</t>
        </is>
      </c>
      <c r="E210" s="59" t="inlineStr">
        <is>
          <t>LinkedIn</t>
        </is>
      </c>
      <c r="F210" s="59" t="inlineStr">
        <is>
          <t>https://cl.linkedin.com/in/alejandrorehbeinoroz</t>
        </is>
      </c>
      <c r="G210" s="59" t="inlineStr">
        <is>
          <t>Alejandro Rehbein (VP Innovación)</t>
        </is>
      </c>
      <c r="H210" s="59" t="n"/>
      <c r="I210" s="63" t="n"/>
      <c r="J210" s="63" t="n"/>
      <c r="K210" s="59" t="n"/>
      <c r="L210" s="59" t="inlineStr">
        <is>
          <t>Ventas: GRANDE (Estimado por Empleados) | Empleados: 694</t>
        </is>
      </c>
      <c r="M210" s="61" t="n"/>
      <c r="N210" s="61" t="n"/>
      <c r="O210" s="61" t="n"/>
      <c r="P210" s="61" t="n"/>
      <c r="Q210" s="61" t="n"/>
      <c r="R210" s="62" t="n"/>
      <c r="S210" s="61" t="n"/>
      <c r="T210" s="59" t="inlineStr">
        <is>
          <t>76.555.400-4</t>
        </is>
      </c>
      <c r="U210" s="59" t="inlineStr">
        <is>
          <t>(56) 2 2467 7000</t>
        </is>
      </c>
    </row>
    <row r="211" ht="15.75" customHeight="1" s="38">
      <c r="A211" s="59" t="inlineStr">
        <is>
          <t>Transformadores CH S.A.</t>
        </is>
      </c>
      <c r="B211" s="59" t="inlineStr">
        <is>
          <t>Subestaciones Eléctricas, Transformadores para Distribución</t>
        </is>
      </c>
      <c r="C211" s="59" t="inlineStr">
        <is>
          <t>Santiago</t>
        </is>
      </c>
      <c r="D211" s="59" t="inlineStr">
        <is>
          <t>Modernización Sostenible Plantas</t>
        </is>
      </c>
      <c r="E211" s="59" t="n"/>
      <c r="F211" s="59" t="inlineStr">
        <is>
          <t>https://www.transformadoresch.cl/</t>
        </is>
      </c>
      <c r="G211" s="59" t="inlineStr">
        <is>
          <t>Rodrigo Harrison (Gerente Operaciones)</t>
        </is>
      </c>
      <c r="H211" s="59" t="n"/>
      <c r="I211" s="63" t="n"/>
      <c r="J211" s="63" t="n"/>
      <c r="K211" s="59" t="n"/>
      <c r="L211" s="59" t="inlineStr">
        <is>
          <t>Ventas: GRANDE 2 (200.000 - 600.000 UF) | Empleados: 116</t>
        </is>
      </c>
      <c r="M211" s="61" t="n"/>
      <c r="N211" s="61" t="n"/>
      <c r="O211" s="61" t="n"/>
      <c r="P211" s="61" t="n"/>
      <c r="Q211" s="61" t="n"/>
      <c r="R211" s="62" t="n"/>
      <c r="S211" s="61" t="n"/>
      <c r="T211" s="59" t="inlineStr">
        <is>
          <t>96.943.670-1</t>
        </is>
      </c>
      <c r="U211" s="59" t="inlineStr">
        <is>
          <t>(56) 2 2899 4400</t>
        </is>
      </c>
    </row>
    <row r="212" ht="15.75" customHeight="1" s="38">
      <c r="A212" s="59" t="inlineStr">
        <is>
          <t>Transportes CVU</t>
        </is>
      </c>
      <c r="B212" s="59" t="inlineStr">
        <is>
          <t>Transporte de Personal</t>
        </is>
      </c>
      <c r="C212" s="59" t="inlineStr">
        <is>
          <t>Quillota</t>
        </is>
      </c>
      <c r="D212" s="59" t="inlineStr">
        <is>
          <t>Investigación en Proceso</t>
        </is>
      </c>
      <c r="E212" s="59" t="n"/>
      <c r="F212" s="59" t="n"/>
      <c r="G212" s="59" t="inlineStr">
        <is>
          <t>Victor Rubilar (Gerente de Proyectos (IT Decision Maker))</t>
        </is>
      </c>
      <c r="H212" s="59" t="inlineStr">
        <is>
          <t>victor.rubilar@cvu.cl</t>
        </is>
      </c>
      <c r="I212" s="63" t="n"/>
      <c r="J212" s="63" t="n"/>
      <c r="K212" s="59" t="n"/>
      <c r="L212" s="59" t="inlineStr">
        <is>
          <t>Ventas: GRANDE 3 (600.000 - 1.000.000 UF) | Empleados: 145</t>
        </is>
      </c>
      <c r="M212" s="61" t="n"/>
      <c r="N212" s="61" t="n"/>
      <c r="O212" s="61" t="n"/>
      <c r="P212" s="61" t="n"/>
      <c r="Q212" s="61" t="n"/>
      <c r="R212" s="62" t="n"/>
      <c r="S212" s="61" t="n"/>
      <c r="T212" s="59" t="inlineStr">
        <is>
          <t>76.031.431-5</t>
        </is>
      </c>
      <c r="U212" s="59" t="inlineStr">
        <is>
          <t>(56) 33 233 3522</t>
        </is>
      </c>
    </row>
    <row r="213" ht="15.75" customHeight="1" s="38">
      <c r="A213" s="59" t="inlineStr">
        <is>
          <t>Transworld Chile</t>
        </is>
      </c>
      <c r="B213" s="59" t="inlineStr">
        <is>
          <t>Cableado Estructurado, Redes de Comunicación</t>
        </is>
      </c>
      <c r="C213" s="59" t="inlineStr">
        <is>
          <t>Santiago</t>
        </is>
      </c>
      <c r="D213" s="59" t="inlineStr">
        <is>
          <t>Investigación en Proceso</t>
        </is>
      </c>
      <c r="E213" s="59" t="n"/>
      <c r="F213" s="59" t="n"/>
      <c r="G213" s="59" t="inlineStr">
        <is>
          <t>Williams Araya (Gerente de Tecnología)</t>
        </is>
      </c>
      <c r="H213" s="59" t="inlineStr">
        <is>
          <t>williams.araya@transworld.cl</t>
        </is>
      </c>
      <c r="I213" s="63" t="n"/>
      <c r="J213" s="63" t="n"/>
      <c r="K213" s="59" t="n"/>
      <c r="L213" s="59" t="inlineStr">
        <is>
          <t>Ventas: GRANDE 3 (600.000 - 1.000.000 UF) | Empleados: 62</t>
        </is>
      </c>
      <c r="M213" s="61" t="n"/>
      <c r="N213" s="61" t="n"/>
      <c r="O213" s="61" t="n"/>
      <c r="P213" s="61" t="n"/>
      <c r="Q213" s="61" t="n"/>
      <c r="R213" s="62" t="n"/>
      <c r="S213" s="61" t="n"/>
      <c r="T213" s="59" t="inlineStr">
        <is>
          <t>96.755.110-4</t>
        </is>
      </c>
      <c r="U213" s="59" t="inlineStr">
        <is>
          <t>(56) 2 2760 4100</t>
        </is>
      </c>
    </row>
    <row r="214" ht="15.75" customHeight="1" s="38">
      <c r="A214" s="59" t="inlineStr">
        <is>
          <t>Trefimet S.A.</t>
        </is>
      </c>
      <c r="B214" s="59" t="inlineStr">
        <is>
          <t>Tubos de Acero</t>
        </is>
      </c>
      <c r="C214" s="59" t="inlineStr">
        <is>
          <t>Santiago</t>
        </is>
      </c>
      <c r="D214" s="59" t="inlineStr">
        <is>
          <t>Digitalización Procesos Operacionales</t>
        </is>
      </c>
      <c r="E214" s="59" t="n"/>
      <c r="F214" s="59" t="inlineStr">
        <is>
          <t>https://cl.linkedin.com/in/sergioormeno</t>
        </is>
      </c>
      <c r="G214" s="59" t="inlineStr">
        <is>
          <t>Sergio Ormeño Muñoz (Subgerente Mejora Continua y TI)</t>
        </is>
      </c>
      <c r="H214" s="59" t="n"/>
      <c r="I214" s="63" t="n"/>
      <c r="J214" s="63" t="n"/>
      <c r="K214" s="59" t="n"/>
      <c r="L214" s="59" t="inlineStr">
        <is>
          <t>Ventas: GRANDE 2 (200.000 - 600.000 UF) | Empleados: 36</t>
        </is>
      </c>
      <c r="M214" s="61" t="n"/>
      <c r="N214" s="61" t="n"/>
      <c r="O214" s="61" t="n"/>
      <c r="P214" s="61" t="n"/>
      <c r="Q214" s="61" t="n"/>
      <c r="R214" s="62" t="n"/>
      <c r="S214" s="61" t="n"/>
      <c r="T214" s="59" t="inlineStr">
        <is>
          <t>79.536.120-0</t>
        </is>
      </c>
      <c r="U214" s="59" t="inlineStr">
        <is>
          <t>(56) 9 8195 2015</t>
        </is>
      </c>
    </row>
    <row r="215" ht="15.75" customHeight="1" s="38">
      <c r="A215" s="59" t="inlineStr">
        <is>
          <t>Truly Nolen Chile S.A.</t>
        </is>
      </c>
      <c r="B215" s="59" t="inlineStr">
        <is>
          <t>Control de Plagas</t>
        </is>
      </c>
      <c r="C215" s="59" t="inlineStr">
        <is>
          <t>Santiago</t>
        </is>
      </c>
      <c r="D215" s="59" t="inlineStr">
        <is>
          <t>Investigación en Proceso</t>
        </is>
      </c>
      <c r="E215" s="59" t="n"/>
      <c r="F215" s="59" t="n"/>
      <c r="G215" s="59" t="inlineStr">
        <is>
          <t>Claudio Sabelle (Gerente de Operaciones)</t>
        </is>
      </c>
      <c r="H215" s="59" t="inlineStr">
        <is>
          <t>csabelle@trulynolen.cl</t>
        </is>
      </c>
      <c r="I215" s="63" t="n"/>
      <c r="J215" s="63" t="n"/>
      <c r="K215" s="59" t="n"/>
      <c r="L215" s="59" t="inlineStr">
        <is>
          <t>Ventas: GRANDE 3 (600.000 - 1.000.000 UF) | Empleados: 362</t>
        </is>
      </c>
      <c r="M215" s="61" t="n"/>
      <c r="N215" s="61" t="n"/>
      <c r="O215" s="61" t="n"/>
      <c r="P215" s="61" t="n"/>
      <c r="Q215" s="61" t="n"/>
      <c r="R215" s="62" t="n"/>
      <c r="S215" s="61" t="n"/>
      <c r="T215" s="59" t="inlineStr">
        <is>
          <t>96.591.760-8</t>
        </is>
      </c>
      <c r="U215" s="59" t="inlineStr">
        <is>
          <t>(56) 2 2784 4400</t>
        </is>
      </c>
    </row>
    <row r="216" ht="15.75" customHeight="1" s="38">
      <c r="A216" s="59" t="inlineStr">
        <is>
          <t>Tunning Ingeniería Ltda.</t>
        </is>
      </c>
      <c r="B216" s="59" t="inlineStr">
        <is>
          <t>Automatización y Control</t>
        </is>
      </c>
      <c r="C216" s="59" t="inlineStr">
        <is>
          <t>Santiago</t>
        </is>
      </c>
      <c r="D216" s="59" t="inlineStr">
        <is>
          <t>Automatización &amp; Control Industrial Minería</t>
        </is>
      </c>
      <c r="E216" s="59" t="n"/>
      <c r="F216" s="59" t="inlineStr">
        <is>
          <t>https://www.google.com/search?q=Tunning+Ingenier%C3%ADa+Ltda.+LinkedIn</t>
        </is>
      </c>
      <c r="G216" s="59" t="inlineStr">
        <is>
          <t>Claudio Jara (Gerente General)</t>
        </is>
      </c>
      <c r="H216" s="59" t="n"/>
      <c r="I216" s="63" t="n"/>
      <c r="J216" s="63" t="n"/>
      <c r="K216" s="59" t="n"/>
      <c r="L216" s="59" t="inlineStr">
        <is>
          <t>Ventas: GRANDE 2 (200.000 - 600.000 UF) | Empleados: 101</t>
        </is>
      </c>
      <c r="M216" s="61" t="n"/>
      <c r="N216" s="61" t="n"/>
      <c r="O216" s="61" t="n"/>
      <c r="P216" s="61" t="n"/>
      <c r="Q216" s="61" t="n"/>
      <c r="R216" s="62" t="n"/>
      <c r="S216" s="61" t="n"/>
      <c r="T216" s="59" t="inlineStr">
        <is>
          <t>78.554.660-1</t>
        </is>
      </c>
      <c r="U216" s="59" t="inlineStr">
        <is>
          <t>(56) 2 2620 1300</t>
        </is>
      </c>
    </row>
    <row r="217" ht="15.75" customHeight="1" s="38">
      <c r="A217" s="59" t="inlineStr">
        <is>
          <t>Turbodal S.A.</t>
        </is>
      </c>
      <c r="B217" s="59" t="inlineStr">
        <is>
          <t>Turbocompresores, Turbocompresores para Vehículos</t>
        </is>
      </c>
      <c r="C217" s="59" t="inlineStr">
        <is>
          <t>Santiago</t>
        </is>
      </c>
      <c r="D217" s="59" t="inlineStr">
        <is>
          <t>Investigación en Proceso</t>
        </is>
      </c>
      <c r="E217" s="59" t="n"/>
      <c r="F217" s="59" t="n"/>
      <c r="G217" s="59" t="inlineStr">
        <is>
          <t>Juan Francisco Paris (Jefe de Operaciones TI)</t>
        </is>
      </c>
      <c r="H217" s="59" t="inlineStr">
        <is>
          <t>juan.paris@turbodal.cl</t>
        </is>
      </c>
      <c r="I217" s="63" t="n"/>
      <c r="J217" s="63" t="n"/>
      <c r="K217" s="59" t="n"/>
      <c r="L217" s="59" t="inlineStr">
        <is>
          <t>Ventas: GRANDE 3 (600.000 - 1.000.000 UF) | Empleados: 93</t>
        </is>
      </c>
      <c r="M217" s="61" t="n"/>
      <c r="N217" s="61" t="n"/>
      <c r="O217" s="61" t="n"/>
      <c r="P217" s="61" t="n"/>
      <c r="Q217" s="61" t="n"/>
      <c r="R217" s="62" t="n"/>
      <c r="S217" s="61" t="n"/>
      <c r="T217" s="59" t="inlineStr">
        <is>
          <t>86.771.700-5</t>
        </is>
      </c>
      <c r="U217" s="59" t="inlineStr">
        <is>
          <t>(56) 2 2641 7070</t>
        </is>
      </c>
    </row>
    <row r="218" ht="15.75" customHeight="1" s="38">
      <c r="A218" s="59" t="inlineStr">
        <is>
          <t>Turner &amp; Townsend Ltda.</t>
        </is>
      </c>
      <c r="B218" s="59" t="inlineStr">
        <is>
          <t>Consultoría</t>
        </is>
      </c>
      <c r="C218" s="59" t="inlineStr">
        <is>
          <t>Santiago</t>
        </is>
      </c>
      <c r="D218" s="59" t="inlineStr">
        <is>
          <t>Consultoría Proyectos Infraestructura &amp; Minería</t>
        </is>
      </c>
      <c r="E218" s="59" t="n"/>
      <c r="F218" s="59" t="inlineStr">
        <is>
          <t>https://www.google.com/search?q=Turner+%26+Townsend+Chile+LinkedIn</t>
        </is>
      </c>
      <c r="G218" s="59" t="inlineStr">
        <is>
          <t>Manuel Matamala (Associate Director)</t>
        </is>
      </c>
      <c r="H218" s="59" t="n"/>
      <c r="I218" s="63" t="n"/>
      <c r="J218" s="63" t="n"/>
      <c r="K218" s="59" t="n"/>
      <c r="L218" s="59" t="inlineStr">
        <is>
          <t>Ventas: GRANDE 2 (200.000 - 600.000 UF) | Empleados: 43</t>
        </is>
      </c>
      <c r="M218" s="61" t="n"/>
      <c r="N218" s="61" t="n"/>
      <c r="O218" s="61" t="n"/>
      <c r="P218" s="61" t="n"/>
      <c r="Q218" s="61" t="n"/>
      <c r="R218" s="62" t="n"/>
      <c r="S218" s="61" t="n"/>
      <c r="T218" s="59" t="inlineStr">
        <is>
          <t>76.079.335-3</t>
        </is>
      </c>
      <c r="U218" s="59" t="inlineStr">
        <is>
          <t>(56) 2 3245 4100</t>
        </is>
      </c>
    </row>
    <row r="219" ht="15.75" customHeight="1" s="38">
      <c r="A219" s="59" t="inlineStr">
        <is>
          <t>Tyco Fire &amp; Security</t>
        </is>
      </c>
      <c r="B219" s="59" t="inlineStr">
        <is>
          <t>Aire Acondicionado para Maquinaria Pesada y Minera, Sistemas CCTV Industriales, Sistemas para Detección de Incendios</t>
        </is>
      </c>
      <c r="C219" s="59" t="inlineStr">
        <is>
          <t>Santiago</t>
        </is>
      </c>
      <c r="D219" s="59" t="inlineStr">
        <is>
          <t>Investigación en Proceso</t>
        </is>
      </c>
      <c r="E219" s="59" t="n"/>
      <c r="F219" s="59" t="n"/>
      <c r="G219" s="59" t="inlineStr">
        <is>
          <t>Leopoldo Falconi (Business Unit Manager)</t>
        </is>
      </c>
      <c r="H219" s="59" t="inlineStr">
        <is>
          <t>leopoldo.falconi@jci.com</t>
        </is>
      </c>
      <c r="I219" s="63" t="n"/>
      <c r="J219" s="63" t="n"/>
      <c r="K219" s="59" t="n"/>
      <c r="L219" s="59" t="inlineStr">
        <is>
          <t>Ventas: GRANDE 3 (600.000 - 1.000.000 UF) | Empleados: 144</t>
        </is>
      </c>
      <c r="M219" s="61" t="n"/>
      <c r="N219" s="61" t="n"/>
      <c r="O219" s="61" t="n"/>
      <c r="P219" s="61" t="n"/>
      <c r="Q219" s="61" t="n"/>
      <c r="R219" s="62" t="n"/>
      <c r="S219" s="61" t="n"/>
      <c r="T219" s="59" t="inlineStr">
        <is>
          <t>83.157.200-0</t>
        </is>
      </c>
      <c r="U219" s="59" t="inlineStr">
        <is>
          <t>(56) 2 2472 4253</t>
        </is>
      </c>
    </row>
    <row r="220" ht="15.75" customHeight="1" s="38">
      <c r="A220" s="59" t="inlineStr">
        <is>
          <t>Ulog -Ultramar Logistic</t>
        </is>
      </c>
      <c r="B220" s="59" t="inlineStr">
        <is>
          <t>Transporte Nacional</t>
        </is>
      </c>
      <c r="C220" s="59" t="inlineStr">
        <is>
          <t>Valparaíso</t>
        </is>
      </c>
      <c r="D220" s="59" t="inlineStr">
        <is>
          <t>Liderazgo IT Multi-puerto</t>
        </is>
      </c>
      <c r="E220" s="59" t="inlineStr">
        <is>
          <t>LinkedIn</t>
        </is>
      </c>
      <c r="F220" s="59" t="inlineStr">
        <is>
          <t>https://cl.linkedin.com/in/fjramirez</t>
        </is>
      </c>
      <c r="G220" s="59" t="inlineStr">
        <is>
          <t>Francisco Javier Ramirez (Gerente TI)</t>
        </is>
      </c>
      <c r="H220" s="59" t="n"/>
      <c r="I220" s="63" t="n"/>
      <c r="J220" s="63" t="n"/>
      <c r="K220" s="59" t="n"/>
      <c r="L220" s="59" t="inlineStr">
        <is>
          <t>Ventas: GRANDE (Estimado por Empleados) | Empleados: 374</t>
        </is>
      </c>
      <c r="M220" s="61" t="n"/>
      <c r="N220" s="61" t="n"/>
      <c r="O220" s="61" t="n"/>
      <c r="P220" s="61" t="n"/>
      <c r="Q220" s="61" t="n"/>
      <c r="R220" s="62" t="n"/>
      <c r="S220" s="61" t="n"/>
      <c r="T220" s="59" t="inlineStr">
        <is>
          <t>80.992.000-3</t>
        </is>
      </c>
      <c r="U220" s="59" t="inlineStr">
        <is>
          <t>(56) 2 2630 1000</t>
        </is>
      </c>
    </row>
    <row r="221" ht="15.75" customHeight="1" s="38">
      <c r="A221" s="59" t="inlineStr">
        <is>
          <t>V-Max Latam</t>
        </is>
      </c>
      <c r="B221" s="59" t="inlineStr">
        <is>
          <t>Transporte de Fluidos, Tuberías HDPE</t>
        </is>
      </c>
      <c r="C221" s="59" t="inlineStr">
        <is>
          <t>Mejillones</t>
        </is>
      </c>
      <c r="D221" s="59" t="inlineStr">
        <is>
          <t>Investigación en Proceso</t>
        </is>
      </c>
      <c r="E221" s="59" t="n"/>
      <c r="F221" s="59" t="n"/>
      <c r="G221" s="59" t="inlineStr">
        <is>
          <t>Javier Walger (Gerente General)</t>
        </is>
      </c>
      <c r="H221" s="59" t="inlineStr">
        <is>
          <t>jwalger@v-max.cl</t>
        </is>
      </c>
      <c r="I221" s="63" t="n"/>
      <c r="J221" s="63" t="n"/>
      <c r="K221" s="59" t="n"/>
      <c r="L221" s="59" t="inlineStr">
        <is>
          <t>Ventas: GRANDE 3 (600.000 - 1.000.000 UF) | Empleados: 122</t>
        </is>
      </c>
      <c r="M221" s="61" t="n"/>
      <c r="N221" s="61" t="n"/>
      <c r="O221" s="61" t="n"/>
      <c r="P221" s="61" t="n"/>
      <c r="Q221" s="61" t="n"/>
      <c r="R221" s="62" t="n"/>
      <c r="S221" s="61" t="n"/>
      <c r="T221" s="59" t="inlineStr">
        <is>
          <t>76.133.595-2</t>
        </is>
      </c>
      <c r="U221" s="59" t="inlineStr">
        <is>
          <t>(56) 2 2862 9999</t>
        </is>
      </c>
    </row>
    <row r="222" ht="15.75" customHeight="1" s="38">
      <c r="A222" s="59" t="inlineStr">
        <is>
          <t>Vantaz Group</t>
        </is>
      </c>
      <c r="B222" s="59" t="inlineStr">
        <is>
          <t>Consultoría para la Minería, Diseño, Implementación y Apoyo a la Operación Minera</t>
        </is>
      </c>
      <c r="C222" s="59" t="inlineStr">
        <is>
          <t>Santiago</t>
        </is>
      </c>
      <c r="D222" s="59" t="inlineStr">
        <is>
          <t>Investigación en Proceso</t>
        </is>
      </c>
      <c r="E222" s="59" t="n"/>
      <c r="F222" s="59" t="n"/>
      <c r="G222" s="59" t="inlineStr">
        <is>
          <t>Mauro Mezzano (Partner (Digital Lead))</t>
        </is>
      </c>
      <c r="H222" s="59" t="inlineStr">
        <is>
          <t>mauro.mezzano@vantaz.com</t>
        </is>
      </c>
      <c r="I222" s="63" t="n"/>
      <c r="J222" s="63" t="n"/>
      <c r="K222" s="59" t="n"/>
      <c r="L222" s="59" t="inlineStr">
        <is>
          <t>Ventas: GRANDE 3 (600.000 - 1.000.000 UF) | Empleados: 172</t>
        </is>
      </c>
      <c r="M222" s="61" t="n"/>
      <c r="N222" s="61" t="n"/>
      <c r="O222" s="61" t="n"/>
      <c r="P222" s="61" t="n"/>
      <c r="Q222" s="61" t="n"/>
      <c r="R222" s="62" t="n"/>
      <c r="S222" s="61" t="n"/>
      <c r="T222" s="59" t="inlineStr">
        <is>
          <t>77.466.060-7</t>
        </is>
      </c>
      <c r="U222" s="59" t="inlineStr">
        <is>
          <t>(56) 2 2206 0290</t>
        </is>
      </c>
    </row>
    <row r="223" ht="15.75" customHeight="1" s="38">
      <c r="A223" s="59" t="inlineStr">
        <is>
          <t>Vega Industries Chile</t>
        </is>
      </c>
      <c r="B223" s="59" t="inlineStr">
        <is>
          <t>Plantas Concentradoras, Revestimiento de Molinos</t>
        </is>
      </c>
      <c r="C223" s="59" t="inlineStr">
        <is>
          <t>Santiago</t>
        </is>
      </c>
      <c r="D223" s="59" t="inlineStr">
        <is>
          <t>Mejora Plantas Producción Piezas Desgaste</t>
        </is>
      </c>
      <c r="E223" s="59" t="n"/>
      <c r="F223" s="59" t="inlineStr">
        <is>
          <t>https://cl.linkedin.com/in/neftal%C3%AD-rojas-reyes-94a86213</t>
        </is>
      </c>
      <c r="G223" s="59" t="inlineStr">
        <is>
          <t>Neftalí Rojas Reyes (Sales Manager)</t>
        </is>
      </c>
      <c r="H223" s="59" t="n"/>
      <c r="I223" s="63" t="n"/>
      <c r="J223" s="63" t="n"/>
      <c r="K223" s="59" t="n"/>
      <c r="L223" s="59" t="inlineStr">
        <is>
          <t>Ventas: GRANDE 2 (200.000 - 600.000 UF) | Empleados: 8</t>
        </is>
      </c>
      <c r="M223" s="61" t="n"/>
      <c r="N223" s="61" t="n"/>
      <c r="O223" s="61" t="n"/>
      <c r="P223" s="61" t="n"/>
      <c r="Q223" s="61" t="n"/>
      <c r="R223" s="62" t="n"/>
      <c r="S223" s="61" t="n"/>
      <c r="T223" s="59" t="inlineStr">
        <is>
          <t>76751831-5</t>
        </is>
      </c>
      <c r="U223" s="59" t="inlineStr">
        <is>
          <t>(56) 9 7678 0360</t>
        </is>
      </c>
    </row>
    <row r="224" ht="15.75" customHeight="1" s="38">
      <c r="A224" s="59" t="inlineStr">
        <is>
          <t>Vertex SpA</t>
        </is>
      </c>
      <c r="B224" s="59" t="inlineStr">
        <is>
          <t>Equipos de Perforación, Robots para Shotcrete</t>
        </is>
      </c>
      <c r="C224" s="59" t="inlineStr">
        <is>
          <t>Santiago</t>
        </is>
      </c>
      <c r="D224" s="59" t="inlineStr">
        <is>
          <t>Investigación en Proceso</t>
        </is>
      </c>
      <c r="E224" s="59" t="n"/>
      <c r="F224" s="59" t="n"/>
      <c r="G224" s="59" t="inlineStr">
        <is>
          <t>Claudio Arismendi (Gerente de Operaciones y TI)</t>
        </is>
      </c>
      <c r="H224" s="59" t="inlineStr">
        <is>
          <t>c.arismendi@vertex.cl</t>
        </is>
      </c>
      <c r="I224" s="63" t="n"/>
      <c r="J224" s="63" t="n"/>
      <c r="K224" s="59" t="n"/>
      <c r="L224" s="59" t="inlineStr">
        <is>
          <t>Ventas: GRANDE 3 (600.000 - 1.000.000 UF) | Empleados: 113</t>
        </is>
      </c>
      <c r="M224" s="61" t="n"/>
      <c r="N224" s="61" t="n"/>
      <c r="O224" s="61" t="n"/>
      <c r="P224" s="61" t="n"/>
      <c r="Q224" s="61" t="n"/>
      <c r="R224" s="62" t="n"/>
      <c r="S224" s="61" t="n"/>
      <c r="T224" s="59" t="inlineStr">
        <is>
          <t>77.261.318-0</t>
        </is>
      </c>
      <c r="U224" s="59" t="inlineStr">
        <is>
          <t>(56) 2 2394 6000</t>
        </is>
      </c>
    </row>
    <row r="225" ht="15.75" customHeight="1" s="38">
      <c r="A225" s="59" t="inlineStr">
        <is>
          <t>VialCorp</t>
        </is>
      </c>
      <c r="B225" s="59" t="inlineStr">
        <is>
          <t>Control de Polvo en Caminos</t>
        </is>
      </c>
      <c r="C225" s="59" t="inlineStr">
        <is>
          <t>Santiago</t>
        </is>
      </c>
      <c r="D225" s="59" t="inlineStr">
        <is>
          <t>Investigación en Proceso</t>
        </is>
      </c>
      <c r="E225" s="59" t="n"/>
      <c r="F225" s="59" t="n"/>
      <c r="G225" s="59" t="inlineStr">
        <is>
          <t>Rodrigo Castro (Jefe de IT)</t>
        </is>
      </c>
      <c r="H225" s="59" t="inlineStr">
        <is>
          <t>r.castro@vialcorp.cl</t>
        </is>
      </c>
      <c r="I225" s="63" t="n"/>
      <c r="J225" s="63" t="n"/>
      <c r="K225" s="59" t="n"/>
      <c r="L225" s="59" t="inlineStr">
        <is>
          <t>Ventas: GRANDE 3 (600.000 - 1.000.000 UF) | Empleados: 408</t>
        </is>
      </c>
      <c r="M225" s="61" t="n"/>
      <c r="N225" s="61" t="n"/>
      <c r="O225" s="61" t="n"/>
      <c r="P225" s="61" t="n"/>
      <c r="Q225" s="61" t="n"/>
      <c r="R225" s="62" t="n"/>
      <c r="S225" s="61" t="n"/>
      <c r="T225" s="59" t="inlineStr">
        <is>
          <t>76.149.673-5</t>
        </is>
      </c>
      <c r="U225" s="59" t="inlineStr">
        <is>
          <t>(56) 9 9219 4839</t>
        </is>
      </c>
    </row>
    <row r="226" ht="15.75" customHeight="1" s="38">
      <c r="A226" s="59" t="inlineStr">
        <is>
          <t>Vigaflow</t>
        </is>
      </c>
      <c r="B226" s="59" t="inlineStr">
        <is>
          <t>Ablandadores para Agua, Plantas Desaladoras</t>
        </is>
      </c>
      <c r="C226" s="59" t="inlineStr">
        <is>
          <t>Santiago</t>
        </is>
      </c>
      <c r="D226" s="59" t="inlineStr">
        <is>
          <t>Investigación en Proceso</t>
        </is>
      </c>
      <c r="E226" s="59" t="n"/>
      <c r="F226" s="59" t="n"/>
      <c r="G226" s="59" t="inlineStr">
        <is>
          <t>Rodrigo Silva (Jefe de TI)</t>
        </is>
      </c>
      <c r="H226" s="59" t="inlineStr">
        <is>
          <t>rsilva@vigaflow.com</t>
        </is>
      </c>
      <c r="I226" s="63" t="n"/>
      <c r="J226" s="63" t="n"/>
      <c r="K226" s="59" t="n"/>
      <c r="L226" s="59" t="inlineStr">
        <is>
          <t>Ventas: GRANDE 3 (600.000 - 1.000.000 UF) | Empleados: 112</t>
        </is>
      </c>
      <c r="M226" s="61" t="n"/>
      <c r="N226" s="61" t="n"/>
      <c r="O226" s="61" t="n"/>
      <c r="P226" s="61" t="n"/>
      <c r="Q226" s="61" t="n"/>
      <c r="R226" s="62" t="n"/>
      <c r="S226" s="61" t="n"/>
      <c r="T226" s="59" t="inlineStr">
        <is>
          <t>99515010-7</t>
        </is>
      </c>
      <c r="U226" s="59" t="inlineStr">
        <is>
          <t>(56) 2 2797 0350</t>
        </is>
      </c>
    </row>
    <row r="227" ht="15.75" customHeight="1" s="38">
      <c r="A227" s="59" t="inlineStr">
        <is>
          <t>Vignola S.A.</t>
        </is>
      </c>
      <c r="B227" s="59" t="inlineStr">
        <is>
          <t>Automatización, Bombas para Vacío</t>
        </is>
      </c>
      <c r="C227" s="59" t="inlineStr">
        <is>
          <t>Santiago</t>
        </is>
      </c>
      <c r="D227" s="59" t="inlineStr">
        <is>
          <t>Implementación RPA e IA Interna</t>
        </is>
      </c>
      <c r="E227" s="59" t="n"/>
      <c r="F227" s="59" t="inlineStr">
        <is>
          <t>https://cl.linkedin.com/in/pivignola</t>
        </is>
      </c>
      <c r="G227" s="59" t="inlineStr">
        <is>
          <t>Pedro Ignacio Vignola Araya (Ingeniero RPA/IA)</t>
        </is>
      </c>
      <c r="H227" s="59" t="n"/>
      <c r="I227" s="63" t="n"/>
      <c r="J227" s="63" t="n"/>
      <c r="K227" s="59" t="n"/>
      <c r="L227" s="59" t="inlineStr">
        <is>
          <t>Ventas: GRANDE 3 (600.000 - 1.000.000 UF) | Empleados: 41</t>
        </is>
      </c>
      <c r="M227" s="61" t="n"/>
      <c r="N227" s="61" t="n"/>
      <c r="O227" s="61" t="n"/>
      <c r="P227" s="61" t="n"/>
      <c r="Q227" s="61" t="n"/>
      <c r="R227" s="62" t="n"/>
      <c r="S227" s="61" t="n"/>
      <c r="T227" s="59" t="inlineStr">
        <is>
          <t>93.075.000-K</t>
        </is>
      </c>
      <c r="U227" s="59" t="inlineStr">
        <is>
          <t>(56) 2 2433 6200</t>
        </is>
      </c>
    </row>
    <row r="228" ht="15.75" customHeight="1" s="38">
      <c r="A228" s="59" t="inlineStr">
        <is>
          <t>WSP Chile</t>
        </is>
      </c>
      <c r="B228" s="59" t="inlineStr">
        <is>
          <t>Servicios de Inspección Técnica</t>
        </is>
      </c>
      <c r="C228" s="59" t="inlineStr">
        <is>
          <t>Santiago</t>
        </is>
      </c>
      <c r="D228" s="59" t="inlineStr">
        <is>
          <t>Gemelos Digitales (Digital Twins) &amp; Sustentabilidad Land iQ</t>
        </is>
      </c>
      <c r="E228" s="59" t="inlineStr">
        <is>
          <t>WSP.com</t>
        </is>
      </c>
      <c r="F228" s="59" t="inlineStr">
        <is>
          <t>https://www.wsp.com/es-cl/hubs/digital-solutions</t>
        </is>
      </c>
      <c r="G228" s="59" t="inlineStr">
        <is>
          <t>Marcos Alarcón (Director TI)</t>
        </is>
      </c>
      <c r="H228" s="59" t="inlineStr">
        <is>
          <t>marcos.alarcon@wsp.com</t>
        </is>
      </c>
      <c r="I228" s="63" t="n"/>
      <c r="J228" s="63" t="n"/>
      <c r="K228" s="59" t="n"/>
      <c r="L228" s="59" t="inlineStr">
        <is>
          <t>Ventas: GRANDE 4 (Mas de 1.000.000 UF) | Empleados: 533</t>
        </is>
      </c>
      <c r="M228" s="61" t="n"/>
      <c r="N228" s="61" t="n"/>
      <c r="O228" s="61" t="n"/>
      <c r="P228" s="61" t="n"/>
      <c r="Q228" s="61" t="n"/>
      <c r="R228" s="62" t="n"/>
      <c r="S228" s="61" t="n"/>
      <c r="T228" s="59" t="inlineStr">
        <is>
          <t>79.906.490-1</t>
        </is>
      </c>
      <c r="U228" s="59" t="inlineStr">
        <is>
          <t>(56) 2 2653 8000</t>
        </is>
      </c>
    </row>
    <row r="229" ht="15.75" customHeight="1" s="38">
      <c r="A229" s="59" t="inlineStr">
        <is>
          <t>Widefense S.A.</t>
        </is>
      </c>
      <c r="B229" s="59" t="inlineStr">
        <is>
          <t>Seguridad Computacional</t>
        </is>
      </c>
      <c r="C229" s="59" t="inlineStr">
        <is>
          <t>Santiago</t>
        </is>
      </c>
      <c r="D229" s="59" t="inlineStr">
        <is>
          <t>Transformación Ferroviaria Digital</t>
        </is>
      </c>
      <c r="E229" s="59" t="inlineStr">
        <is>
          <t>LinkedIn</t>
        </is>
      </c>
      <c r="F229" s="59" t="inlineStr">
        <is>
          <t>https://cl.linkedin.com/in/josearenaspizarro</t>
        </is>
      </c>
      <c r="G229" s="59" t="inlineStr">
        <is>
          <t>Jose Arenas Pizarro (Gte Tecnología)</t>
        </is>
      </c>
      <c r="H229" s="59" t="n"/>
      <c r="I229" s="63" t="n"/>
      <c r="J229" s="63" t="n"/>
      <c r="K229" s="59" t="n"/>
      <c r="L229" s="59" t="inlineStr">
        <is>
          <t>Ventas: MEDIANA 1 (25.000 - 50.000 UF) | Empleados: 26</t>
        </is>
      </c>
      <c r="M229" s="61" t="n"/>
      <c r="N229" s="61" t="n"/>
      <c r="O229" s="61" t="n"/>
      <c r="P229" s="61" t="n"/>
      <c r="Q229" s="61" t="n"/>
      <c r="R229" s="62" t="n"/>
      <c r="S229" s="61" t="n"/>
      <c r="T229" s="59" t="inlineStr">
        <is>
          <t>99.581.600-8</t>
        </is>
      </c>
      <c r="U229" s="59" t="inlineStr">
        <is>
          <t>(56) 2 2816 9000</t>
        </is>
      </c>
    </row>
    <row r="230" ht="15.75" customHeight="1" s="38">
      <c r="A230" s="59" t="inlineStr">
        <is>
          <t>WorkMate</t>
        </is>
      </c>
      <c r="B230" s="59" t="inlineStr">
        <is>
          <t>Selección de Personal</t>
        </is>
      </c>
      <c r="C230" s="59" t="inlineStr">
        <is>
          <t>Santiago</t>
        </is>
      </c>
      <c r="D230" s="59" t="inlineStr">
        <is>
          <t>Gestión Workforce Mobile</t>
        </is>
      </c>
      <c r="E230" s="59" t="inlineStr">
        <is>
          <t>LinkedIn</t>
        </is>
      </c>
      <c r="F230" s="59" t="n"/>
      <c r="G230" s="59" t="inlineStr">
        <is>
          <t>Claudio B. Collao Gómez (IT Manager)</t>
        </is>
      </c>
      <c r="H230" s="59" t="inlineStr">
        <is>
          <t>ccollao@workmate.cl</t>
        </is>
      </c>
      <c r="I230" s="63" t="n"/>
      <c r="J230" s="63" t="n"/>
      <c r="K230" s="59" t="n"/>
      <c r="L230" s="59" t="inlineStr">
        <is>
          <t>Ventas: GRANDE 3 (600.000 - 1.000.000 UF) | Empleados: 864</t>
        </is>
      </c>
      <c r="M230" s="61" t="n"/>
      <c r="N230" s="61" t="n"/>
      <c r="O230" s="61" t="n"/>
      <c r="P230" s="61" t="n"/>
      <c r="Q230" s="61" t="n"/>
      <c r="R230" s="62" t="n"/>
      <c r="S230" s="61" t="n"/>
      <c r="T230" s="59" t="inlineStr">
        <is>
          <t>77815160-K</t>
        </is>
      </c>
      <c r="U230" s="59" t="inlineStr">
        <is>
          <t>(56) 2 2862 9100</t>
        </is>
      </c>
    </row>
    <row r="231" ht="15.75" customHeight="1" s="38">
      <c r="A231" s="59" t="inlineStr">
        <is>
          <t>Worley</t>
        </is>
      </c>
      <c r="B231" s="59" t="inlineStr">
        <is>
          <t>Consultoría y Asesoramiento en Proyectos, Contratos EPC-EPCM</t>
        </is>
      </c>
      <c r="C231" s="59" t="inlineStr">
        <is>
          <t>Santiago</t>
        </is>
      </c>
      <c r="D231" s="59" t="inlineStr">
        <is>
          <t>Gemelo Digital Faenas</t>
        </is>
      </c>
      <c r="E231" s="59" t="inlineStr">
        <is>
          <t>LinkedIn Digital</t>
        </is>
      </c>
      <c r="F231" s="59" t="n"/>
      <c r="G231" s="59" t="inlineStr">
        <is>
          <t>Jorge Ellena Godoy (Digital Manager)</t>
        </is>
      </c>
      <c r="H231" s="59" t="inlineStr">
        <is>
          <t>jorge.ellena@worley.com</t>
        </is>
      </c>
      <c r="I231" s="63" t="n"/>
      <c r="J231" s="63" t="n"/>
      <c r="K231" s="59" t="n"/>
      <c r="L231" s="59" t="inlineStr">
        <is>
          <t>Ventas: GRANDE 3 (600.000 - 1.000.000 UF) | Empleados: 143</t>
        </is>
      </c>
      <c r="M231" s="61" t="n"/>
      <c r="N231" s="61" t="n"/>
      <c r="O231" s="61" t="n"/>
      <c r="P231" s="61" t="n"/>
      <c r="Q231" s="61" t="n"/>
      <c r="R231" s="62" t="n"/>
      <c r="S231" s="61" t="n"/>
      <c r="T231" s="59" t="inlineStr">
        <is>
          <t>96.539.000-6</t>
        </is>
      </c>
      <c r="U231" s="59" t="inlineStr">
        <is>
          <t>(56) 2 2336 3500</t>
        </is>
      </c>
    </row>
    <row r="232" ht="15.75" customHeight="1" s="38">
      <c r="A232" s="59" t="inlineStr">
        <is>
          <t>Xinerlink</t>
        </is>
      </c>
      <c r="B232" s="59" t="inlineStr">
        <is>
          <t>Selección y Reclutamiento de Ejecutivos y Personal, Servicios Transitorios</t>
        </is>
      </c>
      <c r="C232" s="59" t="inlineStr">
        <is>
          <t>Santiago</t>
        </is>
      </c>
      <c r="D232" s="59" t="inlineStr">
        <is>
          <t>Automatización Payroll (BPO) &amp; Selección Talento Digital</t>
        </is>
      </c>
      <c r="E232" s="59" t="inlineStr">
        <is>
          <t>Xinerlink.cl</t>
        </is>
      </c>
      <c r="F232" s="59" t="n"/>
      <c r="G232" s="59" t="inlineStr">
        <is>
          <t>Ricardo Villarreal Bruno (Gerente TI)</t>
        </is>
      </c>
      <c r="H232" s="59" t="inlineStr">
        <is>
          <t>rvillarreal@xinerlink.cl</t>
        </is>
      </c>
      <c r="I232" s="63" t="n"/>
      <c r="J232" s="63" t="n"/>
      <c r="K232" s="59" t="n"/>
      <c r="L232" s="59" t="inlineStr">
        <is>
          <t>Ventas: GRANDE 3 (600.000 - 1.000.000 UF) | Empleados: 277</t>
        </is>
      </c>
      <c r="M232" s="61" t="n"/>
      <c r="N232" s="61" t="n"/>
      <c r="O232" s="61" t="n"/>
      <c r="P232" s="61" t="n"/>
      <c r="Q232" s="61" t="n"/>
      <c r="R232" s="62" t="n"/>
      <c r="S232" s="61" t="n"/>
      <c r="T232" s="59" t="inlineStr">
        <is>
          <t>96.729.120-K</t>
        </is>
      </c>
      <c r="U232" s="59" t="inlineStr">
        <is>
          <t>600 588 6000</t>
        </is>
      </c>
    </row>
    <row r="233" ht="15.75" customHeight="1" s="38">
      <c r="A233" s="59" t="inlineStr">
        <is>
          <t>Zitrón Chile SpA</t>
        </is>
      </c>
      <c r="B233" s="59" t="inlineStr">
        <is>
          <t>Sistemas para Ventilación</t>
        </is>
      </c>
      <c r="C233" s="59" t="inlineStr">
        <is>
          <t>Santiago</t>
        </is>
      </c>
      <c r="D233" s="59" t="inlineStr">
        <is>
          <t>Sistemas Inteligentes de Gestión de Ventilación (Smart Mining)</t>
        </is>
      </c>
      <c r="E233" s="59" t="inlineStr">
        <is>
          <t>Zitron.com / MCH</t>
        </is>
      </c>
      <c r="F233" s="59" t="inlineStr">
        <is>
          <t>https://zitron.com/articulo-sobre-la-automatizacion-de-la-mina-innovacion-hacia-la-mineria-autonoma/?lang=es</t>
        </is>
      </c>
      <c r="G233" s="59" t="inlineStr">
        <is>
          <t>Nelson Cea Iraira (Subgerente TI)</t>
        </is>
      </c>
      <c r="H233" s="59" t="inlineStr">
        <is>
          <t>ncea@zitron.com</t>
        </is>
      </c>
      <c r="I233" s="63" t="n"/>
      <c r="J233" s="63" t="n"/>
      <c r="K233" s="59" t="n"/>
      <c r="L233" s="59" t="inlineStr">
        <is>
          <t>Ventas: GRANDE 3 (600.000 - 1.000.000 UF) | Empleados: 61</t>
        </is>
      </c>
      <c r="M233" s="61" t="n"/>
      <c r="N233" s="61" t="n"/>
      <c r="O233" s="61" t="n"/>
      <c r="P233" s="61" t="n"/>
      <c r="Q233" s="61" t="n"/>
      <c r="R233" s="62" t="n"/>
      <c r="S233" s="61" t="n"/>
      <c r="T233" s="59" t="inlineStr">
        <is>
          <t>76.900.150-6</t>
        </is>
      </c>
      <c r="U233" s="59" t="inlineStr">
        <is>
          <t>(56) 2 2949 3500</t>
        </is>
      </c>
    </row>
    <row r="234" ht="15.75" customHeight="1" s="38">
      <c r="Q234" s="37" t="n"/>
      <c r="R234" s="67" t="n"/>
      <c r="S234" s="61" t="n"/>
    </row>
    <row r="235" ht="15.75" customHeight="1" s="38">
      <c r="Q235" s="37" t="n"/>
      <c r="R235" s="67" t="n"/>
      <c r="S235" s="61" t="n"/>
    </row>
    <row r="236" ht="15.75" customHeight="1" s="38">
      <c r="Q236" s="37" t="n"/>
      <c r="R236" s="67" t="n"/>
      <c r="S236" s="61" t="n"/>
    </row>
    <row r="237" ht="15.75" customHeight="1" s="38">
      <c r="Q237" s="37" t="n"/>
      <c r="R237" s="67" t="n"/>
      <c r="S237" s="61" t="n"/>
    </row>
    <row r="238" ht="15.75" customHeight="1" s="38">
      <c r="Q238" s="37" t="n"/>
      <c r="R238" s="67" t="n"/>
      <c r="S238" s="61" t="n"/>
    </row>
    <row r="239" ht="15.75" customHeight="1" s="38">
      <c r="Q239" s="37" t="n"/>
      <c r="R239" s="67" t="n"/>
      <c r="S239" s="61" t="n"/>
    </row>
    <row r="240" ht="15.75" customHeight="1" s="38">
      <c r="Q240" s="37" t="n"/>
      <c r="R240" s="67" t="n"/>
      <c r="S240" s="61" t="n"/>
    </row>
    <row r="241" ht="15.75" customHeight="1" s="38">
      <c r="Q241" s="37" t="n"/>
      <c r="R241" s="67" t="n"/>
      <c r="S241" s="61" t="n"/>
    </row>
    <row r="242" ht="15.75" customHeight="1" s="38">
      <c r="Q242" s="37" t="n"/>
      <c r="R242" s="67" t="n"/>
      <c r="S242" s="61" t="n"/>
    </row>
    <row r="243" ht="15.75" customHeight="1" s="38">
      <c r="Q243" s="37" t="n"/>
      <c r="R243" s="67" t="n"/>
      <c r="S243" s="61" t="n"/>
    </row>
    <row r="244" ht="15.75" customHeight="1" s="38">
      <c r="Q244" s="37" t="n"/>
      <c r="R244" s="67" t="n"/>
      <c r="S244" s="61" t="n"/>
    </row>
    <row r="245" ht="15.75" customHeight="1" s="38">
      <c r="Q245" s="37" t="n"/>
      <c r="R245" s="67" t="n"/>
      <c r="S245" s="61" t="n"/>
    </row>
    <row r="246" ht="15.75" customHeight="1" s="38">
      <c r="Q246" s="37" t="n"/>
      <c r="R246" s="67" t="n"/>
      <c r="S246" s="61" t="n"/>
    </row>
    <row r="247" ht="15.75" customHeight="1" s="38">
      <c r="Q247" s="37" t="n"/>
      <c r="R247" s="67" t="n"/>
      <c r="S247" s="61" t="n"/>
    </row>
    <row r="248" ht="15.75" customHeight="1" s="38">
      <c r="Q248" s="37" t="n"/>
      <c r="R248" s="67" t="n"/>
      <c r="S248" s="61" t="n"/>
    </row>
    <row r="249" ht="15.75" customHeight="1" s="38">
      <c r="Q249" s="37" t="n"/>
      <c r="R249" s="67" t="n"/>
      <c r="S249" s="61" t="n"/>
    </row>
    <row r="250" ht="15.75" customHeight="1" s="38">
      <c r="Q250" s="37" t="n"/>
      <c r="R250" s="67" t="n"/>
      <c r="S250" s="61" t="n"/>
    </row>
    <row r="251" ht="15.75" customHeight="1" s="38">
      <c r="Q251" s="37" t="n"/>
      <c r="R251" s="67" t="n"/>
      <c r="S251" s="61" t="n"/>
    </row>
    <row r="252" ht="15.75" customHeight="1" s="38">
      <c r="Q252" s="37" t="n"/>
      <c r="R252" s="67" t="n"/>
      <c r="S252" s="61" t="n"/>
    </row>
    <row r="253" ht="15.75" customHeight="1" s="38">
      <c r="Q253" s="37" t="n"/>
      <c r="R253" s="67" t="n"/>
      <c r="S253" s="61" t="n"/>
    </row>
    <row r="254" ht="15.75" customHeight="1" s="38">
      <c r="Q254" s="37" t="n"/>
      <c r="R254" s="67" t="n"/>
      <c r="S254" s="61" t="n"/>
    </row>
    <row r="255" ht="15.75" customHeight="1" s="38">
      <c r="Q255" s="37" t="n"/>
      <c r="R255" s="67" t="n"/>
      <c r="S255" s="61" t="n"/>
    </row>
    <row r="256" ht="15.75" customHeight="1" s="38">
      <c r="Q256" s="37" t="n"/>
      <c r="R256" s="67" t="n"/>
      <c r="S256" s="61" t="n"/>
    </row>
    <row r="257" ht="15.75" customHeight="1" s="38">
      <c r="Q257" s="37" t="n"/>
      <c r="R257" s="67" t="n"/>
      <c r="S257" s="61" t="n"/>
    </row>
    <row r="258" ht="15.75" customHeight="1" s="38">
      <c r="Q258" s="37" t="n"/>
      <c r="R258" s="67" t="n"/>
      <c r="S258" s="61" t="n"/>
    </row>
    <row r="259" ht="15.75" customHeight="1" s="38">
      <c r="Q259" s="37" t="n"/>
      <c r="R259" s="67" t="n"/>
      <c r="S259" s="61" t="n"/>
    </row>
    <row r="260" ht="15.75" customHeight="1" s="38">
      <c r="Q260" s="37" t="n"/>
      <c r="R260" s="67" t="n"/>
      <c r="S260" s="61" t="n"/>
    </row>
    <row r="261" ht="15.75" customHeight="1" s="38">
      <c r="Q261" s="37" t="n"/>
      <c r="R261" s="67" t="n"/>
      <c r="S261" s="61" t="n"/>
    </row>
    <row r="262" ht="15.75" customHeight="1" s="38">
      <c r="Q262" s="37" t="n"/>
      <c r="R262" s="67" t="n"/>
      <c r="S262" s="61" t="n"/>
    </row>
    <row r="263" ht="15.75" customHeight="1" s="38">
      <c r="Q263" s="37" t="n"/>
      <c r="R263" s="67" t="n"/>
      <c r="S263" s="61" t="n"/>
    </row>
    <row r="264" ht="15.75" customHeight="1" s="38">
      <c r="Q264" s="37" t="n"/>
      <c r="R264" s="67" t="n"/>
      <c r="S264" s="61" t="n"/>
    </row>
    <row r="265" ht="15.75" customHeight="1" s="38">
      <c r="Q265" s="37" t="n"/>
      <c r="R265" s="67" t="n"/>
      <c r="S265" s="61" t="n"/>
    </row>
    <row r="266" ht="15.75" customHeight="1" s="38">
      <c r="Q266" s="37" t="n"/>
      <c r="R266" s="67" t="n"/>
      <c r="S266" s="61" t="n"/>
    </row>
    <row r="267" ht="15.75" customHeight="1" s="38">
      <c r="Q267" s="37" t="n"/>
      <c r="R267" s="67" t="n"/>
      <c r="S267" s="61" t="n"/>
    </row>
    <row r="268" ht="15.75" customHeight="1" s="38">
      <c r="Q268" s="37" t="n"/>
      <c r="R268" s="67" t="n"/>
      <c r="S268" s="61" t="n"/>
    </row>
    <row r="269" ht="15.75" customHeight="1" s="38">
      <c r="Q269" s="37" t="n"/>
      <c r="R269" s="67" t="n"/>
      <c r="S269" s="61" t="n"/>
    </row>
    <row r="270" ht="15.75" customHeight="1" s="38">
      <c r="Q270" s="37" t="n"/>
      <c r="R270" s="67" t="n"/>
      <c r="S270" s="61" t="n"/>
    </row>
    <row r="271" ht="15.75" customHeight="1" s="38">
      <c r="Q271" s="37" t="n"/>
      <c r="R271" s="67" t="n"/>
      <c r="S271" s="61" t="n"/>
    </row>
    <row r="272" ht="15.75" customHeight="1" s="38">
      <c r="Q272" s="37" t="n"/>
      <c r="R272" s="67" t="n"/>
      <c r="S272" s="61" t="n"/>
    </row>
    <row r="273" ht="15.75" customHeight="1" s="38">
      <c r="Q273" s="37" t="n"/>
      <c r="R273" s="67" t="n"/>
      <c r="S273" s="61" t="n"/>
    </row>
    <row r="274" ht="15.75" customHeight="1" s="38">
      <c r="Q274" s="37" t="n"/>
      <c r="R274" s="67" t="n"/>
      <c r="S274" s="61" t="n"/>
    </row>
    <row r="275" ht="15.75" customHeight="1" s="38">
      <c r="Q275" s="37" t="n"/>
      <c r="R275" s="67" t="n"/>
      <c r="S275" s="61" t="n"/>
    </row>
    <row r="276" ht="15.75" customHeight="1" s="38">
      <c r="Q276" s="37" t="n"/>
      <c r="R276" s="67" t="n"/>
      <c r="S276" s="61" t="n"/>
    </row>
    <row r="277" ht="15.75" customHeight="1" s="38">
      <c r="Q277" s="37" t="n"/>
      <c r="R277" s="67" t="n"/>
      <c r="S277" s="61" t="n"/>
    </row>
    <row r="278" ht="15.75" customHeight="1" s="38">
      <c r="Q278" s="37" t="n"/>
      <c r="R278" s="67" t="n"/>
      <c r="S278" s="61" t="n"/>
    </row>
    <row r="279" ht="15.75" customHeight="1" s="38">
      <c r="Q279" s="37" t="n"/>
      <c r="R279" s="67" t="n"/>
      <c r="S279" s="61" t="n"/>
    </row>
    <row r="280" ht="15.75" customHeight="1" s="38">
      <c r="Q280" s="37" t="n"/>
      <c r="R280" s="67" t="n"/>
      <c r="S280" s="61" t="n"/>
    </row>
    <row r="281" ht="15.75" customHeight="1" s="38">
      <c r="Q281" s="37" t="n"/>
      <c r="R281" s="67" t="n"/>
      <c r="S281" s="61" t="n"/>
    </row>
    <row r="282" ht="15.75" customHeight="1" s="38">
      <c r="Q282" s="37" t="n"/>
      <c r="R282" s="67" t="n"/>
      <c r="S282" s="61" t="n"/>
    </row>
    <row r="283" ht="15.75" customHeight="1" s="38">
      <c r="Q283" s="37" t="n"/>
      <c r="R283" s="67" t="n"/>
      <c r="S283" s="61" t="n"/>
    </row>
    <row r="284" ht="15.75" customHeight="1" s="38">
      <c r="Q284" s="37" t="n"/>
      <c r="R284" s="67" t="n"/>
      <c r="S284" s="61" t="n"/>
    </row>
    <row r="285" ht="15.75" customHeight="1" s="38">
      <c r="Q285" s="37" t="n"/>
      <c r="R285" s="67" t="n"/>
      <c r="S285" s="61" t="n"/>
    </row>
    <row r="286" ht="15.75" customHeight="1" s="38">
      <c r="Q286" s="37" t="n"/>
      <c r="R286" s="67" t="n"/>
      <c r="S286" s="61" t="n"/>
    </row>
    <row r="287" ht="15.75" customHeight="1" s="38">
      <c r="Q287" s="37" t="n"/>
      <c r="R287" s="67" t="n"/>
      <c r="S287" s="61" t="n"/>
    </row>
    <row r="288" ht="15.75" customHeight="1" s="38">
      <c r="Q288" s="37" t="n"/>
      <c r="R288" s="67" t="n"/>
      <c r="S288" s="61" t="n"/>
    </row>
    <row r="289" ht="15.75" customHeight="1" s="38">
      <c r="Q289" s="37" t="n"/>
      <c r="R289" s="67" t="n"/>
      <c r="S289" s="61" t="n"/>
    </row>
    <row r="290" ht="15.75" customHeight="1" s="38">
      <c r="Q290" s="37" t="n"/>
      <c r="R290" s="67" t="n"/>
      <c r="S290" s="61" t="n"/>
    </row>
    <row r="291" ht="15.75" customHeight="1" s="38">
      <c r="Q291" s="37" t="n"/>
      <c r="R291" s="67" t="n"/>
      <c r="S291" s="61" t="n"/>
    </row>
    <row r="292" ht="15.75" customHeight="1" s="38">
      <c r="Q292" s="37" t="n"/>
      <c r="R292" s="67" t="n"/>
      <c r="S292" s="61" t="n"/>
    </row>
    <row r="293" ht="15.75" customHeight="1" s="38">
      <c r="Q293" s="37" t="n"/>
      <c r="R293" s="67" t="n"/>
      <c r="S293" s="61" t="n"/>
    </row>
    <row r="294" ht="15.75" customHeight="1" s="38">
      <c r="Q294" s="37" t="n"/>
      <c r="R294" s="67" t="n"/>
      <c r="S294" s="61" t="n"/>
    </row>
    <row r="295" ht="15.75" customHeight="1" s="38">
      <c r="Q295" s="37" t="n"/>
      <c r="R295" s="67" t="n"/>
      <c r="S295" s="61" t="n"/>
    </row>
    <row r="296" ht="15.75" customHeight="1" s="38">
      <c r="Q296" s="37" t="n"/>
      <c r="R296" s="67" t="n"/>
      <c r="S296" s="61" t="n"/>
    </row>
    <row r="297" ht="15.75" customHeight="1" s="38">
      <c r="Q297" s="37" t="n"/>
      <c r="R297" s="67" t="n"/>
      <c r="S297" s="61" t="n"/>
    </row>
    <row r="298" ht="15.75" customHeight="1" s="38">
      <c r="Q298" s="37" t="n"/>
      <c r="R298" s="67" t="n"/>
      <c r="S298" s="61" t="n"/>
    </row>
    <row r="299" ht="15.75" customHeight="1" s="38">
      <c r="Q299" s="37" t="n"/>
      <c r="R299" s="67" t="n"/>
      <c r="S299" s="61" t="n"/>
    </row>
    <row r="300" ht="15.75" customHeight="1" s="38">
      <c r="Q300" s="37" t="n"/>
      <c r="R300" s="67" t="n"/>
      <c r="S300" s="61" t="n"/>
    </row>
    <row r="301" ht="15.75" customHeight="1" s="38">
      <c r="Q301" s="37" t="n"/>
      <c r="R301" s="67" t="n"/>
      <c r="S301" s="61" t="n"/>
    </row>
    <row r="302" ht="15.75" customHeight="1" s="38">
      <c r="Q302" s="37" t="n"/>
      <c r="R302" s="67" t="n"/>
      <c r="S302" s="61" t="n"/>
    </row>
    <row r="303" ht="15.75" customHeight="1" s="38">
      <c r="Q303" s="37" t="n"/>
      <c r="R303" s="67" t="n"/>
      <c r="S303" s="61" t="n"/>
    </row>
    <row r="304" ht="15.75" customHeight="1" s="38">
      <c r="Q304" s="37" t="n"/>
      <c r="R304" s="67" t="n"/>
      <c r="S304" s="61" t="n"/>
    </row>
    <row r="305" ht="15.75" customHeight="1" s="38">
      <c r="Q305" s="37" t="n"/>
      <c r="R305" s="67" t="n"/>
      <c r="S305" s="61" t="n"/>
    </row>
    <row r="306" ht="15.75" customHeight="1" s="38">
      <c r="Q306" s="37" t="n"/>
      <c r="R306" s="67" t="n"/>
      <c r="S306" s="61" t="n"/>
    </row>
    <row r="307" ht="15.75" customHeight="1" s="38">
      <c r="Q307" s="37" t="n"/>
      <c r="R307" s="67" t="n"/>
      <c r="S307" s="61" t="n"/>
    </row>
    <row r="308" ht="15.75" customHeight="1" s="38">
      <c r="Q308" s="37" t="n"/>
      <c r="R308" s="67" t="n"/>
      <c r="S308" s="61" t="n"/>
    </row>
    <row r="309" ht="15.75" customHeight="1" s="38">
      <c r="Q309" s="37" t="n"/>
      <c r="R309" s="67" t="n"/>
      <c r="S309" s="61" t="n"/>
    </row>
    <row r="310" ht="15.75" customHeight="1" s="38">
      <c r="Q310" s="37" t="n"/>
      <c r="R310" s="67" t="n"/>
      <c r="S310" s="61" t="n"/>
    </row>
    <row r="311" ht="15.75" customHeight="1" s="38">
      <c r="Q311" s="37" t="n"/>
      <c r="R311" s="67" t="n"/>
      <c r="S311" s="61" t="n"/>
    </row>
    <row r="312" ht="15.75" customHeight="1" s="38">
      <c r="Q312" s="37" t="n"/>
      <c r="R312" s="67" t="n"/>
      <c r="S312" s="61" t="n"/>
    </row>
    <row r="313" ht="15.75" customHeight="1" s="38">
      <c r="Q313" s="37" t="n"/>
      <c r="R313" s="67" t="n"/>
      <c r="S313" s="61" t="n"/>
    </row>
    <row r="314" ht="15.75" customHeight="1" s="38">
      <c r="Q314" s="37" t="n"/>
      <c r="R314" s="67" t="n"/>
      <c r="S314" s="61" t="n"/>
    </row>
    <row r="315" ht="15.75" customHeight="1" s="38">
      <c r="Q315" s="37" t="n"/>
      <c r="R315" s="67" t="n"/>
      <c r="S315" s="61" t="n"/>
    </row>
    <row r="316" ht="15.75" customHeight="1" s="38">
      <c r="Q316" s="37" t="n"/>
      <c r="R316" s="67" t="n"/>
      <c r="S316" s="61" t="n"/>
    </row>
    <row r="317" ht="15.75" customHeight="1" s="38">
      <c r="Q317" s="37" t="n"/>
      <c r="R317" s="67" t="n"/>
      <c r="S317" s="61" t="n"/>
    </row>
    <row r="318" ht="15.75" customHeight="1" s="38">
      <c r="Q318" s="37" t="n"/>
      <c r="R318" s="67" t="n"/>
      <c r="S318" s="61" t="n"/>
    </row>
    <row r="319" ht="15.75" customHeight="1" s="38">
      <c r="Q319" s="37" t="n"/>
      <c r="R319" s="67" t="n"/>
      <c r="S319" s="61" t="n"/>
    </row>
    <row r="320" ht="15.75" customHeight="1" s="38">
      <c r="Q320" s="37" t="n"/>
      <c r="R320" s="67" t="n"/>
      <c r="S320" s="61" t="n"/>
    </row>
    <row r="321" ht="15.75" customHeight="1" s="38">
      <c r="Q321" s="37" t="n"/>
      <c r="R321" s="67" t="n"/>
      <c r="S321" s="61" t="n"/>
    </row>
    <row r="322" ht="15.75" customHeight="1" s="38">
      <c r="Q322" s="37" t="n"/>
      <c r="R322" s="67" t="n"/>
      <c r="S322" s="61" t="n"/>
    </row>
    <row r="323" ht="15.75" customHeight="1" s="38">
      <c r="Q323" s="37" t="n"/>
      <c r="R323" s="67" t="n"/>
      <c r="S323" s="61" t="n"/>
    </row>
    <row r="324" ht="15.75" customHeight="1" s="38">
      <c r="Q324" s="37" t="n"/>
      <c r="R324" s="67" t="n"/>
      <c r="S324" s="61" t="n"/>
    </row>
    <row r="325" ht="15.75" customHeight="1" s="38">
      <c r="Q325" s="37" t="n"/>
      <c r="R325" s="67" t="n"/>
      <c r="S325" s="61" t="n"/>
    </row>
    <row r="326" ht="15.75" customHeight="1" s="38">
      <c r="Q326" s="37" t="n"/>
      <c r="R326" s="67" t="n"/>
      <c r="S326" s="61" t="n"/>
    </row>
    <row r="327" ht="15.75" customHeight="1" s="38">
      <c r="Q327" s="37" t="n"/>
      <c r="R327" s="67" t="n"/>
      <c r="S327" s="61" t="n"/>
    </row>
    <row r="328" ht="15.75" customHeight="1" s="38">
      <c r="Q328" s="37" t="n"/>
      <c r="R328" s="67" t="n"/>
      <c r="S328" s="61" t="n"/>
    </row>
    <row r="329" ht="15.75" customHeight="1" s="38">
      <c r="Q329" s="37" t="n"/>
      <c r="R329" s="67" t="n"/>
      <c r="S329" s="61" t="n"/>
    </row>
    <row r="330" ht="15.75" customHeight="1" s="38">
      <c r="Q330" s="37" t="n"/>
      <c r="R330" s="67" t="n"/>
      <c r="S330" s="61" t="n"/>
    </row>
    <row r="331" ht="15.75" customHeight="1" s="38">
      <c r="Q331" s="37" t="n"/>
      <c r="R331" s="67" t="n"/>
      <c r="S331" s="61" t="n"/>
    </row>
    <row r="332" ht="15.75" customHeight="1" s="38">
      <c r="Q332" s="37" t="n"/>
      <c r="R332" s="67" t="n"/>
      <c r="S332" s="61" t="n"/>
    </row>
    <row r="333" ht="15.75" customHeight="1" s="38">
      <c r="Q333" s="37" t="n"/>
      <c r="R333" s="67" t="n"/>
      <c r="S333" s="61" t="n"/>
    </row>
    <row r="334" ht="15.75" customHeight="1" s="38">
      <c r="Q334" s="37" t="n"/>
      <c r="R334" s="67" t="n"/>
      <c r="S334" s="61" t="n"/>
    </row>
    <row r="335" ht="15.75" customHeight="1" s="38">
      <c r="Q335" s="37" t="n"/>
      <c r="R335" s="67" t="n"/>
      <c r="S335" s="61" t="n"/>
    </row>
    <row r="336" ht="15.75" customHeight="1" s="38">
      <c r="Q336" s="37" t="n"/>
      <c r="R336" s="67" t="n"/>
      <c r="S336" s="61" t="n"/>
    </row>
    <row r="337" ht="15.75" customHeight="1" s="38">
      <c r="Q337" s="37" t="n"/>
      <c r="R337" s="67" t="n"/>
      <c r="S337" s="61" t="n"/>
    </row>
    <row r="338" ht="15.75" customHeight="1" s="38">
      <c r="Q338" s="37" t="n"/>
      <c r="R338" s="67" t="n"/>
      <c r="S338" s="61" t="n"/>
    </row>
    <row r="339" ht="15.75" customHeight="1" s="38">
      <c r="Q339" s="37" t="n"/>
      <c r="R339" s="67" t="n"/>
      <c r="S339" s="61" t="n"/>
    </row>
    <row r="340" ht="15.75" customHeight="1" s="38">
      <c r="Q340" s="37" t="n"/>
      <c r="R340" s="67" t="n"/>
      <c r="S340" s="61" t="n"/>
    </row>
    <row r="341" ht="15.75" customHeight="1" s="38">
      <c r="Q341" s="37" t="n"/>
      <c r="R341" s="67" t="n"/>
      <c r="S341" s="61" t="n"/>
    </row>
    <row r="342" ht="15.75" customHeight="1" s="38">
      <c r="Q342" s="37" t="n"/>
      <c r="R342" s="67" t="n"/>
      <c r="S342" s="61" t="n"/>
    </row>
    <row r="343" ht="15.75" customHeight="1" s="38">
      <c r="Q343" s="37" t="n"/>
      <c r="R343" s="67" t="n"/>
      <c r="S343" s="61" t="n"/>
    </row>
    <row r="344" ht="15.75" customHeight="1" s="38">
      <c r="Q344" s="37" t="n"/>
      <c r="R344" s="67" t="n"/>
      <c r="S344" s="61" t="n"/>
    </row>
    <row r="345" ht="15.75" customHeight="1" s="38">
      <c r="Q345" s="37" t="n"/>
      <c r="R345" s="67" t="n"/>
      <c r="S345" s="61" t="n"/>
    </row>
    <row r="346" ht="15.75" customHeight="1" s="38">
      <c r="Q346" s="37" t="n"/>
      <c r="R346" s="67" t="n"/>
      <c r="S346" s="61" t="n"/>
    </row>
    <row r="347" ht="15.75" customHeight="1" s="38">
      <c r="Q347" s="37" t="n"/>
      <c r="R347" s="67" t="n"/>
      <c r="S347" s="61" t="n"/>
    </row>
    <row r="348" ht="15.75" customHeight="1" s="38">
      <c r="Q348" s="37" t="n"/>
      <c r="R348" s="67" t="n"/>
      <c r="S348" s="61" t="n"/>
    </row>
    <row r="349" ht="15.75" customHeight="1" s="38">
      <c r="Q349" s="37" t="n"/>
      <c r="R349" s="67" t="n"/>
      <c r="S349" s="61" t="n"/>
    </row>
    <row r="350" ht="15.75" customHeight="1" s="38">
      <c r="Q350" s="37" t="n"/>
      <c r="R350" s="67" t="n"/>
      <c r="S350" s="61" t="n"/>
    </row>
    <row r="351" ht="15.75" customHeight="1" s="38">
      <c r="Q351" s="37" t="n"/>
      <c r="R351" s="67" t="n"/>
      <c r="S351" s="61" t="n"/>
    </row>
    <row r="352" ht="15.75" customHeight="1" s="38">
      <c r="Q352" s="37" t="n"/>
      <c r="R352" s="67" t="n"/>
      <c r="S352" s="61" t="n"/>
    </row>
    <row r="353" ht="15.75" customHeight="1" s="38">
      <c r="Q353" s="37" t="n"/>
      <c r="R353" s="67" t="n"/>
      <c r="S353" s="61" t="n"/>
    </row>
    <row r="354" ht="15.75" customHeight="1" s="38">
      <c r="Q354" s="37" t="n"/>
      <c r="R354" s="67" t="n"/>
      <c r="S354" s="61" t="n"/>
    </row>
    <row r="355" ht="15.75" customHeight="1" s="38">
      <c r="Q355" s="37" t="n"/>
      <c r="R355" s="67" t="n"/>
      <c r="S355" s="61" t="n"/>
    </row>
    <row r="356" ht="15.75" customHeight="1" s="38">
      <c r="Q356" s="37" t="n"/>
      <c r="R356" s="67" t="n"/>
      <c r="S356" s="61" t="n"/>
    </row>
    <row r="357" ht="15.75" customHeight="1" s="38">
      <c r="Q357" s="37" t="n"/>
      <c r="R357" s="67" t="n"/>
      <c r="S357" s="61" t="n"/>
    </row>
    <row r="358" ht="15.75" customHeight="1" s="38">
      <c r="Q358" s="37" t="n"/>
      <c r="R358" s="67" t="n"/>
      <c r="S358" s="61" t="n"/>
    </row>
    <row r="359" ht="15.75" customHeight="1" s="38">
      <c r="Q359" s="37" t="n"/>
      <c r="R359" s="67" t="n"/>
      <c r="S359" s="61" t="n"/>
    </row>
    <row r="360" ht="15.75" customHeight="1" s="38">
      <c r="Q360" s="37" t="n"/>
      <c r="R360" s="67" t="n"/>
      <c r="S360" s="61" t="n"/>
    </row>
    <row r="361" ht="15.75" customHeight="1" s="38">
      <c r="Q361" s="37" t="n"/>
      <c r="R361" s="67" t="n"/>
      <c r="S361" s="61" t="n"/>
    </row>
    <row r="362" ht="15.75" customHeight="1" s="38">
      <c r="Q362" s="37" t="n"/>
      <c r="R362" s="67" t="n"/>
      <c r="S362" s="61" t="n"/>
    </row>
    <row r="363" ht="15.75" customHeight="1" s="38">
      <c r="Q363" s="37" t="n"/>
      <c r="R363" s="67" t="n"/>
      <c r="S363" s="61" t="n"/>
    </row>
    <row r="364" ht="15.75" customHeight="1" s="38">
      <c r="Q364" s="37" t="n"/>
      <c r="R364" s="67" t="n"/>
      <c r="S364" s="61" t="n"/>
    </row>
    <row r="365" ht="15.75" customHeight="1" s="38">
      <c r="Q365" s="37" t="n"/>
      <c r="R365" s="67" t="n"/>
      <c r="S365" s="61" t="n"/>
    </row>
    <row r="366" ht="15.75" customHeight="1" s="38">
      <c r="Q366" s="37" t="n"/>
      <c r="R366" s="67" t="n"/>
      <c r="S366" s="61" t="n"/>
    </row>
    <row r="367" ht="15.75" customHeight="1" s="38">
      <c r="Q367" s="37" t="n"/>
      <c r="R367" s="67" t="n"/>
      <c r="S367" s="61" t="n"/>
    </row>
    <row r="368" ht="15.75" customHeight="1" s="38">
      <c r="Q368" s="37" t="n"/>
      <c r="R368" s="67" t="n"/>
      <c r="S368" s="61" t="n"/>
    </row>
    <row r="369" ht="15.75" customHeight="1" s="38">
      <c r="Q369" s="37" t="n"/>
      <c r="R369" s="67" t="n"/>
      <c r="S369" s="61" t="n"/>
    </row>
    <row r="370" ht="15.75" customHeight="1" s="38">
      <c r="Q370" s="37" t="n"/>
      <c r="R370" s="67" t="n"/>
      <c r="S370" s="61" t="n"/>
    </row>
    <row r="371" ht="15.75" customHeight="1" s="38">
      <c r="Q371" s="37" t="n"/>
      <c r="R371" s="67" t="n"/>
      <c r="S371" s="61" t="n"/>
    </row>
    <row r="372" ht="15.75" customHeight="1" s="38">
      <c r="Q372" s="37" t="n"/>
      <c r="R372" s="67" t="n"/>
      <c r="S372" s="61" t="n"/>
    </row>
    <row r="373" ht="15.75" customHeight="1" s="38">
      <c r="Q373" s="37" t="n"/>
      <c r="R373" s="67" t="n"/>
      <c r="S373" s="61" t="n"/>
    </row>
    <row r="374" ht="15.75" customHeight="1" s="38">
      <c r="Q374" s="37" t="n"/>
      <c r="R374" s="67" t="n"/>
      <c r="S374" s="61" t="n"/>
    </row>
    <row r="375" ht="15.75" customHeight="1" s="38">
      <c r="Q375" s="37" t="n"/>
      <c r="R375" s="67" t="n"/>
      <c r="S375" s="61" t="n"/>
    </row>
    <row r="376" ht="15.75" customHeight="1" s="38">
      <c r="Q376" s="37" t="n"/>
      <c r="R376" s="67" t="n"/>
      <c r="S376" s="61" t="n"/>
    </row>
    <row r="377" ht="15.75" customHeight="1" s="38">
      <c r="Q377" s="37" t="n"/>
      <c r="R377" s="67" t="n"/>
      <c r="S377" s="61" t="n"/>
    </row>
    <row r="378" ht="15.75" customHeight="1" s="38">
      <c r="Q378" s="37" t="n"/>
      <c r="R378" s="67" t="n"/>
      <c r="S378" s="61" t="n"/>
    </row>
    <row r="379" ht="15.75" customHeight="1" s="38">
      <c r="Q379" s="37" t="n"/>
      <c r="R379" s="67" t="n"/>
      <c r="S379" s="61" t="n"/>
    </row>
    <row r="380" ht="15.75" customHeight="1" s="38">
      <c r="Q380" s="37" t="n"/>
      <c r="R380" s="67" t="n"/>
      <c r="S380" s="61" t="n"/>
    </row>
    <row r="381" ht="15.75" customHeight="1" s="38">
      <c r="Q381" s="37" t="n"/>
      <c r="R381" s="67" t="n"/>
      <c r="S381" s="61" t="n"/>
    </row>
    <row r="382" ht="15.75" customHeight="1" s="38">
      <c r="Q382" s="37" t="n"/>
      <c r="R382" s="67" t="n"/>
      <c r="S382" s="61" t="n"/>
    </row>
    <row r="383" ht="15.75" customHeight="1" s="38">
      <c r="Q383" s="37" t="n"/>
      <c r="R383" s="67" t="n"/>
      <c r="S383" s="61" t="n"/>
    </row>
    <row r="384" ht="15.75" customHeight="1" s="38">
      <c r="Q384" s="37" t="n"/>
      <c r="R384" s="67" t="n"/>
      <c r="S384" s="61" t="n"/>
    </row>
    <row r="385" ht="15.75" customHeight="1" s="38">
      <c r="Q385" s="37" t="n"/>
      <c r="R385" s="67" t="n"/>
      <c r="S385" s="61" t="n"/>
    </row>
    <row r="386" ht="15.75" customHeight="1" s="38">
      <c r="Q386" s="37" t="n"/>
      <c r="R386" s="67" t="n"/>
      <c r="S386" s="61" t="n"/>
    </row>
    <row r="387" ht="15.75" customHeight="1" s="38">
      <c r="Q387" s="37" t="n"/>
      <c r="R387" s="67" t="n"/>
      <c r="S387" s="61" t="n"/>
    </row>
    <row r="388" ht="15.75" customHeight="1" s="38">
      <c r="Q388" s="37" t="n"/>
      <c r="R388" s="67" t="n"/>
      <c r="S388" s="61" t="n"/>
    </row>
    <row r="389" ht="15.75" customHeight="1" s="38">
      <c r="Q389" s="37" t="n"/>
      <c r="R389" s="67" t="n"/>
      <c r="S389" s="61" t="n"/>
    </row>
    <row r="390" ht="15.75" customHeight="1" s="38">
      <c r="Q390" s="37" t="n"/>
      <c r="R390" s="67" t="n"/>
      <c r="S390" s="61" t="n"/>
    </row>
    <row r="391" ht="15.75" customHeight="1" s="38">
      <c r="Q391" s="37" t="n"/>
      <c r="R391" s="67" t="n"/>
      <c r="S391" s="61" t="n"/>
    </row>
    <row r="392" ht="15.75" customHeight="1" s="38">
      <c r="Q392" s="37" t="n"/>
      <c r="R392" s="67" t="n"/>
      <c r="S392" s="61" t="n"/>
    </row>
    <row r="393" ht="15.75" customHeight="1" s="38">
      <c r="Q393" s="37" t="n"/>
      <c r="R393" s="67" t="n"/>
      <c r="S393" s="61" t="n"/>
    </row>
    <row r="394" ht="15.75" customHeight="1" s="38">
      <c r="Q394" s="37" t="n"/>
      <c r="R394" s="67" t="n"/>
      <c r="S394" s="61" t="n"/>
    </row>
    <row r="395" ht="15.75" customHeight="1" s="38">
      <c r="Q395" s="37" t="n"/>
      <c r="R395" s="67" t="n"/>
      <c r="S395" s="61" t="n"/>
    </row>
    <row r="396" ht="15.75" customHeight="1" s="38">
      <c r="Q396" s="37" t="n"/>
      <c r="R396" s="67" t="n"/>
      <c r="S396" s="61" t="n"/>
    </row>
    <row r="397" ht="15.75" customHeight="1" s="38">
      <c r="Q397" s="37" t="n"/>
      <c r="R397" s="67" t="n"/>
      <c r="S397" s="61" t="n"/>
    </row>
    <row r="398" ht="15.75" customHeight="1" s="38">
      <c r="Q398" s="37" t="n"/>
      <c r="R398" s="67" t="n"/>
      <c r="S398" s="61" t="n"/>
    </row>
    <row r="399" ht="15.75" customHeight="1" s="38">
      <c r="Q399" s="37" t="n"/>
      <c r="R399" s="67" t="n"/>
      <c r="S399" s="61" t="n"/>
    </row>
    <row r="400" ht="15.75" customHeight="1" s="38">
      <c r="Q400" s="37" t="n"/>
      <c r="R400" s="67" t="n"/>
      <c r="S400" s="61" t="n"/>
    </row>
    <row r="401" ht="15.75" customHeight="1" s="38">
      <c r="Q401" s="37" t="n"/>
      <c r="R401" s="67" t="n"/>
      <c r="S401" s="61" t="n"/>
    </row>
    <row r="402" ht="15.75" customHeight="1" s="38">
      <c r="Q402" s="37" t="n"/>
      <c r="R402" s="67" t="n"/>
      <c r="S402" s="61" t="n"/>
    </row>
    <row r="403" ht="15.75" customHeight="1" s="38">
      <c r="Q403" s="37" t="n"/>
      <c r="R403" s="67" t="n"/>
      <c r="S403" s="61" t="n"/>
    </row>
    <row r="404" ht="15.75" customHeight="1" s="38">
      <c r="Q404" s="37" t="n"/>
      <c r="R404" s="67" t="n"/>
      <c r="S404" s="61" t="n"/>
    </row>
    <row r="405" ht="15.75" customHeight="1" s="38">
      <c r="Q405" s="37" t="n"/>
      <c r="R405" s="67" t="n"/>
      <c r="S405" s="61" t="n"/>
    </row>
    <row r="406" ht="15.75" customHeight="1" s="38">
      <c r="Q406" s="37" t="n"/>
      <c r="R406" s="67" t="n"/>
      <c r="S406" s="61" t="n"/>
    </row>
    <row r="407" ht="15.75" customHeight="1" s="38">
      <c r="Q407" s="37" t="n"/>
      <c r="R407" s="67" t="n"/>
      <c r="S407" s="61" t="n"/>
    </row>
    <row r="408" ht="15.75" customHeight="1" s="38">
      <c r="Q408" s="37" t="n"/>
      <c r="R408" s="67" t="n"/>
      <c r="S408" s="61" t="n"/>
    </row>
    <row r="409" ht="15.75" customHeight="1" s="38">
      <c r="Q409" s="37" t="n"/>
      <c r="R409" s="67" t="n"/>
      <c r="S409" s="61" t="n"/>
    </row>
    <row r="410" ht="15.75" customHeight="1" s="38">
      <c r="Q410" s="37" t="n"/>
      <c r="R410" s="67" t="n"/>
      <c r="S410" s="61" t="n"/>
    </row>
    <row r="411" ht="15.75" customHeight="1" s="38">
      <c r="Q411" s="37" t="n"/>
      <c r="R411" s="67" t="n"/>
      <c r="S411" s="61" t="n"/>
    </row>
    <row r="412" ht="15.75" customHeight="1" s="38">
      <c r="Q412" s="37" t="n"/>
      <c r="R412" s="67" t="n"/>
      <c r="S412" s="61" t="n"/>
    </row>
    <row r="413" ht="15.75" customHeight="1" s="38">
      <c r="Q413" s="37" t="n"/>
      <c r="R413" s="67" t="n"/>
      <c r="S413" s="61" t="n"/>
    </row>
    <row r="414" ht="15.75" customHeight="1" s="38">
      <c r="Q414" s="37" t="n"/>
      <c r="R414" s="67" t="n"/>
      <c r="S414" s="61" t="n"/>
    </row>
    <row r="415" ht="15.75" customHeight="1" s="38">
      <c r="Q415" s="37" t="n"/>
      <c r="R415" s="67" t="n"/>
      <c r="S415" s="61" t="n"/>
    </row>
    <row r="416" ht="15.75" customHeight="1" s="38">
      <c r="Q416" s="37" t="n"/>
      <c r="R416" s="67" t="n"/>
      <c r="S416" s="61" t="n"/>
    </row>
    <row r="417" ht="15.75" customHeight="1" s="38">
      <c r="Q417" s="37" t="n"/>
      <c r="R417" s="67" t="n"/>
      <c r="S417" s="61" t="n"/>
    </row>
    <row r="418" ht="15.75" customHeight="1" s="38">
      <c r="Q418" s="37" t="n"/>
      <c r="R418" s="67" t="n"/>
      <c r="S418" s="61" t="n"/>
    </row>
    <row r="419" ht="15.75" customHeight="1" s="38">
      <c r="Q419" s="37" t="n"/>
      <c r="R419" s="67" t="n"/>
      <c r="S419" s="61" t="n"/>
    </row>
    <row r="420" ht="15.75" customHeight="1" s="38">
      <c r="Q420" s="37" t="n"/>
      <c r="R420" s="67" t="n"/>
      <c r="S420" s="61" t="n"/>
    </row>
    <row r="421" ht="15.75" customHeight="1" s="38">
      <c r="Q421" s="37" t="n"/>
      <c r="R421" s="67" t="n"/>
      <c r="S421" s="61" t="n"/>
    </row>
    <row r="422" ht="15.75" customHeight="1" s="38">
      <c r="Q422" s="37" t="n"/>
      <c r="R422" s="67" t="n"/>
      <c r="S422" s="61" t="n"/>
    </row>
    <row r="423" ht="15.75" customHeight="1" s="38">
      <c r="Q423" s="37" t="n"/>
      <c r="R423" s="67" t="n"/>
      <c r="S423" s="61" t="n"/>
    </row>
    <row r="424" ht="15.75" customHeight="1" s="38">
      <c r="Q424" s="37" t="n"/>
      <c r="R424" s="67" t="n"/>
      <c r="S424" s="61" t="n"/>
    </row>
    <row r="425" ht="15.75" customHeight="1" s="38">
      <c r="Q425" s="37" t="n"/>
      <c r="R425" s="67" t="n"/>
      <c r="S425" s="61" t="n"/>
    </row>
    <row r="426" ht="15.75" customHeight="1" s="38">
      <c r="Q426" s="37" t="n"/>
      <c r="R426" s="67" t="n"/>
      <c r="S426" s="61" t="n"/>
    </row>
    <row r="427" ht="15.75" customHeight="1" s="38">
      <c r="Q427" s="37" t="n"/>
      <c r="R427" s="67" t="n"/>
      <c r="S427" s="61" t="n"/>
    </row>
    <row r="428" ht="15.75" customHeight="1" s="38">
      <c r="Q428" s="37" t="n"/>
      <c r="R428" s="67" t="n"/>
      <c r="S428" s="61" t="n"/>
    </row>
    <row r="429" ht="15.75" customHeight="1" s="38">
      <c r="Q429" s="37" t="n"/>
      <c r="R429" s="67" t="n"/>
      <c r="S429" s="61" t="n"/>
    </row>
    <row r="430" ht="15.75" customHeight="1" s="38">
      <c r="Q430" s="37" t="n"/>
      <c r="R430" s="67" t="n"/>
      <c r="S430" s="61" t="n"/>
    </row>
    <row r="431" ht="15.75" customHeight="1" s="38">
      <c r="Q431" s="37" t="n"/>
      <c r="R431" s="67" t="n"/>
      <c r="S431" s="61" t="n"/>
    </row>
    <row r="432" ht="15.75" customHeight="1" s="38">
      <c r="Q432" s="37" t="n"/>
      <c r="R432" s="67" t="n"/>
      <c r="S432" s="61" t="n"/>
    </row>
    <row r="433" ht="15.75" customHeight="1" s="38">
      <c r="Q433" s="37" t="n"/>
      <c r="R433" s="67" t="n"/>
      <c r="S433" s="61" t="n"/>
    </row>
    <row r="434" ht="15.75" customHeight="1" s="38">
      <c r="Q434" s="37" t="n"/>
      <c r="S434" s="37" t="n"/>
    </row>
    <row r="435" ht="15.75" customHeight="1" s="38">
      <c r="Q435" s="37" t="n"/>
      <c r="S435" s="37" t="n"/>
    </row>
    <row r="436" ht="15.75" customHeight="1" s="38">
      <c r="Q436" s="37" t="n"/>
      <c r="S436" s="37" t="n"/>
    </row>
    <row r="437" ht="15.75" customHeight="1" s="38">
      <c r="Q437" s="37" t="n"/>
      <c r="S437" s="37" t="n"/>
    </row>
    <row r="438" ht="15.75" customHeight="1" s="38">
      <c r="Q438" s="37" t="n"/>
      <c r="S438" s="37" t="n"/>
    </row>
    <row r="439" ht="15.75" customHeight="1" s="38">
      <c r="Q439" s="37" t="n"/>
      <c r="S439" s="37" t="n"/>
    </row>
    <row r="440" ht="15.75" customHeight="1" s="38">
      <c r="Q440" s="37" t="n"/>
      <c r="S440" s="37" t="n"/>
    </row>
    <row r="441" ht="15.75" customHeight="1" s="38">
      <c r="Q441" s="37" t="n"/>
      <c r="S441" s="37" t="n"/>
    </row>
    <row r="442" ht="15.75" customHeight="1" s="38">
      <c r="Q442" s="37" t="n"/>
      <c r="S442" s="37" t="n"/>
    </row>
    <row r="443" ht="15.75" customHeight="1" s="38">
      <c r="Q443" s="37" t="n"/>
      <c r="S443" s="37" t="n"/>
    </row>
    <row r="444" ht="15.75" customHeight="1" s="38">
      <c r="Q444" s="37" t="n"/>
      <c r="S444" s="37" t="n"/>
    </row>
    <row r="445" ht="15.75" customHeight="1" s="38">
      <c r="Q445" s="37" t="n"/>
      <c r="S445" s="37" t="n"/>
    </row>
    <row r="446" ht="15.75" customHeight="1" s="38">
      <c r="Q446" s="37" t="n"/>
      <c r="S446" s="37" t="n"/>
    </row>
    <row r="447" ht="15.75" customHeight="1" s="38">
      <c r="Q447" s="37" t="n"/>
      <c r="S447" s="37" t="n"/>
    </row>
    <row r="448" ht="15.75" customHeight="1" s="38">
      <c r="Q448" s="37" t="n"/>
      <c r="S448" s="37" t="n"/>
    </row>
    <row r="449" ht="15.75" customHeight="1" s="38">
      <c r="Q449" s="37" t="n"/>
      <c r="S449" s="37" t="n"/>
    </row>
    <row r="450" ht="15.75" customHeight="1" s="38">
      <c r="Q450" s="37" t="n"/>
      <c r="S450" s="37" t="n"/>
    </row>
    <row r="451" ht="15.75" customHeight="1" s="38">
      <c r="Q451" s="37" t="n"/>
      <c r="S451" s="37" t="n"/>
    </row>
    <row r="452" ht="15.75" customHeight="1" s="38">
      <c r="Q452" s="37" t="n"/>
      <c r="S452" s="37" t="n"/>
    </row>
    <row r="453" ht="15.75" customHeight="1" s="38">
      <c r="Q453" s="37" t="n"/>
      <c r="S453" s="37" t="n"/>
    </row>
    <row r="454" ht="15.75" customHeight="1" s="38">
      <c r="Q454" s="37" t="n"/>
      <c r="S454" s="37" t="n"/>
    </row>
    <row r="455" ht="15.75" customHeight="1" s="38">
      <c r="Q455" s="37" t="n"/>
      <c r="S455" s="37" t="n"/>
    </row>
    <row r="456" ht="15.75" customHeight="1" s="38">
      <c r="Q456" s="37" t="n"/>
      <c r="S456" s="37" t="n"/>
    </row>
    <row r="457" ht="15.75" customHeight="1" s="38">
      <c r="Q457" s="37" t="n"/>
      <c r="S457" s="37" t="n"/>
    </row>
    <row r="458" ht="15.75" customHeight="1" s="38">
      <c r="Q458" s="37" t="n"/>
      <c r="S458" s="37" t="n"/>
    </row>
    <row r="459" ht="15.75" customHeight="1" s="38">
      <c r="Q459" s="37" t="n"/>
      <c r="S459" s="37" t="n"/>
    </row>
    <row r="460" ht="15.75" customHeight="1" s="38">
      <c r="Q460" s="37" t="n"/>
      <c r="S460" s="37" t="n"/>
    </row>
    <row r="461" ht="15.75" customHeight="1" s="38">
      <c r="Q461" s="37" t="n"/>
      <c r="S461" s="37" t="n"/>
    </row>
    <row r="462" ht="15.75" customHeight="1" s="38">
      <c r="Q462" s="37" t="n"/>
      <c r="S462" s="37" t="n"/>
    </row>
    <row r="463" ht="15.75" customHeight="1" s="38">
      <c r="Q463" s="37" t="n"/>
      <c r="S463" s="37" t="n"/>
    </row>
    <row r="464" ht="15.75" customHeight="1" s="38">
      <c r="Q464" s="37" t="n"/>
      <c r="S464" s="37" t="n"/>
    </row>
    <row r="465" ht="15.75" customHeight="1" s="38">
      <c r="Q465" s="37" t="n"/>
      <c r="S465" s="37" t="n"/>
    </row>
    <row r="466" ht="15.75" customHeight="1" s="38">
      <c r="Q466" s="37" t="n"/>
      <c r="S466" s="37" t="n"/>
    </row>
    <row r="467" ht="15.75" customHeight="1" s="38">
      <c r="Q467" s="37" t="n"/>
      <c r="S467" s="37" t="n"/>
    </row>
    <row r="468" ht="15.75" customHeight="1" s="38">
      <c r="Q468" s="37" t="n"/>
      <c r="S468" s="37" t="n"/>
    </row>
    <row r="469" ht="15.75" customHeight="1" s="38">
      <c r="Q469" s="37" t="n"/>
      <c r="S469" s="37" t="n"/>
    </row>
    <row r="470" ht="15.75" customHeight="1" s="38">
      <c r="Q470" s="37" t="n"/>
      <c r="S470" s="37" t="n"/>
    </row>
    <row r="471" ht="15.75" customHeight="1" s="38">
      <c r="Q471" s="37" t="n"/>
      <c r="S471" s="37" t="n"/>
    </row>
    <row r="472" ht="15.75" customHeight="1" s="38">
      <c r="Q472" s="37" t="n"/>
      <c r="S472" s="37" t="n"/>
    </row>
    <row r="473" ht="15.75" customHeight="1" s="38">
      <c r="Q473" s="37" t="n"/>
      <c r="S473" s="37" t="n"/>
    </row>
    <row r="474" ht="15.75" customHeight="1" s="38">
      <c r="Q474" s="37" t="n"/>
      <c r="S474" s="37" t="n"/>
    </row>
    <row r="475" ht="15.75" customHeight="1" s="38">
      <c r="Q475" s="37" t="n"/>
      <c r="S475" s="37" t="n"/>
    </row>
    <row r="476" ht="15.75" customHeight="1" s="38">
      <c r="Q476" s="37" t="n"/>
      <c r="S476" s="37" t="n"/>
    </row>
    <row r="477" ht="15.75" customHeight="1" s="38">
      <c r="Q477" s="37" t="n"/>
      <c r="S477" s="37" t="n"/>
    </row>
    <row r="478" ht="15.75" customHeight="1" s="38">
      <c r="Q478" s="37" t="n"/>
      <c r="S478" s="37" t="n"/>
    </row>
    <row r="479" ht="15.75" customHeight="1" s="38">
      <c r="Q479" s="37" t="n"/>
      <c r="S479" s="37" t="n"/>
    </row>
    <row r="480" ht="15.75" customHeight="1" s="38">
      <c r="Q480" s="37" t="n"/>
      <c r="S480" s="37" t="n"/>
    </row>
    <row r="481" ht="15.75" customHeight="1" s="38">
      <c r="Q481" s="37" t="n"/>
      <c r="S481" s="37" t="n"/>
    </row>
    <row r="482" ht="15.75" customHeight="1" s="38">
      <c r="Q482" s="37" t="n"/>
      <c r="S482" s="37" t="n"/>
    </row>
    <row r="483" ht="15.75" customHeight="1" s="38">
      <c r="Q483" s="37" t="n"/>
      <c r="S483" s="37" t="n"/>
    </row>
    <row r="484" ht="15.75" customHeight="1" s="38">
      <c r="Q484" s="37" t="n"/>
      <c r="S484" s="37" t="n"/>
    </row>
    <row r="485" ht="15.75" customHeight="1" s="38">
      <c r="Q485" s="37" t="n"/>
      <c r="S485" s="37" t="n"/>
    </row>
    <row r="486" ht="15.75" customHeight="1" s="38">
      <c r="Q486" s="37" t="n"/>
      <c r="S486" s="37" t="n"/>
    </row>
    <row r="487" ht="15.75" customHeight="1" s="38">
      <c r="Q487" s="37" t="n"/>
      <c r="S487" s="37" t="n"/>
    </row>
    <row r="488" ht="15.75" customHeight="1" s="38">
      <c r="Q488" s="37" t="n"/>
      <c r="S488" s="37" t="n"/>
    </row>
    <row r="489" ht="15.75" customHeight="1" s="38">
      <c r="Q489" s="37" t="n"/>
      <c r="S489" s="37" t="n"/>
    </row>
    <row r="490" ht="15.75" customHeight="1" s="38">
      <c r="Q490" s="37" t="n"/>
      <c r="S490" s="37" t="n"/>
    </row>
    <row r="491" ht="15.75" customHeight="1" s="38">
      <c r="Q491" s="37" t="n"/>
      <c r="S491" s="37" t="n"/>
    </row>
    <row r="492" ht="15.75" customHeight="1" s="38">
      <c r="Q492" s="37" t="n"/>
      <c r="S492" s="37" t="n"/>
    </row>
    <row r="493" ht="15.75" customHeight="1" s="38">
      <c r="Q493" s="37" t="n"/>
      <c r="S493" s="37" t="n"/>
    </row>
    <row r="494" ht="15.75" customHeight="1" s="38">
      <c r="Q494" s="37" t="n"/>
      <c r="S494" s="37" t="n"/>
    </row>
    <row r="495" ht="15.75" customHeight="1" s="38">
      <c r="Q495" s="37" t="n"/>
      <c r="S495" s="37" t="n"/>
    </row>
    <row r="496" ht="15.75" customHeight="1" s="38">
      <c r="Q496" s="37" t="n"/>
      <c r="S496" s="37" t="n"/>
    </row>
    <row r="497" ht="15.75" customHeight="1" s="38">
      <c r="Q497" s="37" t="n"/>
      <c r="S497" s="37" t="n"/>
    </row>
    <row r="498" ht="15.75" customHeight="1" s="38">
      <c r="Q498" s="37" t="n"/>
      <c r="S498" s="37" t="n"/>
    </row>
    <row r="499" ht="15.75" customHeight="1" s="38">
      <c r="Q499" s="37" t="n"/>
      <c r="S499" s="37" t="n"/>
    </row>
    <row r="500" ht="15.75" customHeight="1" s="38">
      <c r="Q500" s="37" t="n"/>
      <c r="S500" s="37" t="n"/>
    </row>
    <row r="501" ht="15.75" customHeight="1" s="38">
      <c r="Q501" s="37" t="n"/>
      <c r="S501" s="37" t="n"/>
    </row>
    <row r="502" ht="15.75" customHeight="1" s="38">
      <c r="Q502" s="37" t="n"/>
      <c r="S502" s="37" t="n"/>
    </row>
    <row r="503" ht="15.75" customHeight="1" s="38">
      <c r="Q503" s="37" t="n"/>
      <c r="S503" s="37" t="n"/>
    </row>
    <row r="504" ht="15.75" customHeight="1" s="38">
      <c r="Q504" s="37" t="n"/>
      <c r="S504" s="37" t="n"/>
    </row>
    <row r="505" ht="15.75" customHeight="1" s="38">
      <c r="Q505" s="37" t="n"/>
      <c r="S505" s="37" t="n"/>
    </row>
    <row r="506" ht="15.75" customHeight="1" s="38">
      <c r="Q506" s="37" t="n"/>
      <c r="S506" s="37" t="n"/>
    </row>
    <row r="507" ht="15.75" customHeight="1" s="38">
      <c r="Q507" s="37" t="n"/>
      <c r="S507" s="37" t="n"/>
    </row>
    <row r="508" ht="15.75" customHeight="1" s="38">
      <c r="Q508" s="37" t="n"/>
      <c r="S508" s="37" t="n"/>
    </row>
    <row r="509" ht="15.75" customHeight="1" s="38">
      <c r="Q509" s="37" t="n"/>
      <c r="S509" s="37" t="n"/>
    </row>
    <row r="510" ht="15.75" customHeight="1" s="38">
      <c r="Q510" s="37" t="n"/>
      <c r="S510" s="37" t="n"/>
    </row>
    <row r="511" ht="15.75" customHeight="1" s="38">
      <c r="Q511" s="37" t="n"/>
      <c r="S511" s="37" t="n"/>
    </row>
    <row r="512" ht="15.75" customHeight="1" s="38">
      <c r="Q512" s="37" t="n"/>
      <c r="S512" s="37" t="n"/>
    </row>
    <row r="513" ht="15.75" customHeight="1" s="38">
      <c r="Q513" s="37" t="n"/>
      <c r="S513" s="37" t="n"/>
    </row>
    <row r="514" ht="15.75" customHeight="1" s="38">
      <c r="Q514" s="37" t="n"/>
      <c r="S514" s="37" t="n"/>
    </row>
    <row r="515" ht="15.75" customHeight="1" s="38">
      <c r="Q515" s="37" t="n"/>
      <c r="S515" s="37" t="n"/>
    </row>
    <row r="516" ht="15.75" customHeight="1" s="38">
      <c r="Q516" s="37" t="n"/>
      <c r="S516" s="37" t="n"/>
    </row>
    <row r="517" ht="15.75" customHeight="1" s="38">
      <c r="Q517" s="37" t="n"/>
      <c r="S517" s="37" t="n"/>
    </row>
    <row r="518" ht="15.75" customHeight="1" s="38">
      <c r="Q518" s="37" t="n"/>
      <c r="S518" s="37" t="n"/>
    </row>
    <row r="519" ht="15.75" customHeight="1" s="38">
      <c r="Q519" s="37" t="n"/>
      <c r="S519" s="37" t="n"/>
    </row>
    <row r="520" ht="15.75" customHeight="1" s="38">
      <c r="Q520" s="37" t="n"/>
      <c r="S520" s="37" t="n"/>
    </row>
    <row r="521" ht="15.75" customHeight="1" s="38">
      <c r="Q521" s="37" t="n"/>
      <c r="S521" s="37" t="n"/>
    </row>
    <row r="522" ht="15.75" customHeight="1" s="38">
      <c r="Q522" s="37" t="n"/>
      <c r="S522" s="37" t="n"/>
    </row>
    <row r="523" ht="15.75" customHeight="1" s="38">
      <c r="Q523" s="37" t="n"/>
      <c r="S523" s="37" t="n"/>
    </row>
    <row r="524" ht="15.75" customHeight="1" s="38">
      <c r="Q524" s="37" t="n"/>
      <c r="S524" s="37" t="n"/>
    </row>
    <row r="525" ht="15.75" customHeight="1" s="38">
      <c r="Q525" s="37" t="n"/>
      <c r="S525" s="37" t="n"/>
    </row>
    <row r="526" ht="15.75" customHeight="1" s="38">
      <c r="Q526" s="37" t="n"/>
      <c r="S526" s="37" t="n"/>
    </row>
    <row r="527" ht="15.75" customHeight="1" s="38">
      <c r="Q527" s="37" t="n"/>
      <c r="S527" s="37" t="n"/>
    </row>
    <row r="528" ht="15.75" customHeight="1" s="38">
      <c r="Q528" s="37" t="n"/>
      <c r="S528" s="37" t="n"/>
    </row>
    <row r="529" ht="15.75" customHeight="1" s="38">
      <c r="Q529" s="37" t="n"/>
      <c r="S529" s="37" t="n"/>
    </row>
    <row r="530" ht="15.75" customHeight="1" s="38">
      <c r="Q530" s="37" t="n"/>
      <c r="S530" s="37" t="n"/>
    </row>
    <row r="531" ht="15.75" customHeight="1" s="38">
      <c r="Q531" s="37" t="n"/>
      <c r="S531" s="37" t="n"/>
    </row>
    <row r="532" ht="15.75" customHeight="1" s="38">
      <c r="Q532" s="37" t="n"/>
      <c r="S532" s="37" t="n"/>
    </row>
    <row r="533" ht="15.75" customHeight="1" s="38">
      <c r="Q533" s="37" t="n"/>
      <c r="S533" s="37" t="n"/>
    </row>
    <row r="534" ht="15.75" customHeight="1" s="38">
      <c r="Q534" s="37" t="n"/>
      <c r="S534" s="37" t="n"/>
    </row>
    <row r="535" ht="15.75" customHeight="1" s="38">
      <c r="Q535" s="37" t="n"/>
      <c r="S535" s="37" t="n"/>
    </row>
    <row r="536" ht="15.75" customHeight="1" s="38">
      <c r="Q536" s="37" t="n"/>
      <c r="S536" s="37" t="n"/>
    </row>
    <row r="537" ht="15.75" customHeight="1" s="38">
      <c r="Q537" s="37" t="n"/>
      <c r="S537" s="37" t="n"/>
    </row>
    <row r="538" ht="15.75" customHeight="1" s="38">
      <c r="Q538" s="37" t="n"/>
      <c r="S538" s="37" t="n"/>
    </row>
    <row r="539" ht="15.75" customHeight="1" s="38">
      <c r="Q539" s="37" t="n"/>
      <c r="S539" s="37" t="n"/>
    </row>
    <row r="540" ht="15.75" customHeight="1" s="38">
      <c r="Q540" s="37" t="n"/>
      <c r="S540" s="37" t="n"/>
    </row>
    <row r="541" ht="15.75" customHeight="1" s="38">
      <c r="Q541" s="37" t="n"/>
      <c r="S541" s="37" t="n"/>
    </row>
    <row r="542" ht="15.75" customHeight="1" s="38">
      <c r="Q542" s="37" t="n"/>
      <c r="S542" s="37" t="n"/>
    </row>
    <row r="543" ht="15.75" customHeight="1" s="38">
      <c r="Q543" s="37" t="n"/>
      <c r="S543" s="37" t="n"/>
    </row>
    <row r="544" ht="15.75" customHeight="1" s="38">
      <c r="Q544" s="37" t="n"/>
      <c r="S544" s="37" t="n"/>
    </row>
    <row r="545" ht="15.75" customHeight="1" s="38">
      <c r="Q545" s="37" t="n"/>
      <c r="S545" s="37" t="n"/>
    </row>
    <row r="546" ht="15.75" customHeight="1" s="38">
      <c r="Q546" s="37" t="n"/>
      <c r="S546" s="37" t="n"/>
    </row>
    <row r="547" ht="15.75" customHeight="1" s="38">
      <c r="Q547" s="37" t="n"/>
      <c r="S547" s="37" t="n"/>
    </row>
    <row r="548" ht="15.75" customHeight="1" s="38">
      <c r="Q548" s="37" t="n"/>
      <c r="S548" s="37" t="n"/>
    </row>
    <row r="549" ht="15.75" customHeight="1" s="38">
      <c r="Q549" s="37" t="n"/>
      <c r="S549" s="37" t="n"/>
    </row>
    <row r="550" ht="15.75" customHeight="1" s="38">
      <c r="Q550" s="37" t="n"/>
      <c r="S550" s="37" t="n"/>
    </row>
    <row r="551" ht="15.75" customHeight="1" s="38">
      <c r="Q551" s="37" t="n"/>
      <c r="S551" s="37" t="n"/>
    </row>
    <row r="552" ht="15.75" customHeight="1" s="38">
      <c r="Q552" s="37" t="n"/>
      <c r="S552" s="37" t="n"/>
    </row>
    <row r="553" ht="15.75" customHeight="1" s="38">
      <c r="Q553" s="37" t="n"/>
      <c r="S553" s="37" t="n"/>
    </row>
    <row r="554" ht="15.75" customHeight="1" s="38">
      <c r="Q554" s="37" t="n"/>
      <c r="S554" s="37" t="n"/>
    </row>
    <row r="555" ht="15.75" customHeight="1" s="38">
      <c r="Q555" s="37" t="n"/>
      <c r="S555" s="37" t="n"/>
    </row>
    <row r="556" ht="15.75" customHeight="1" s="38">
      <c r="Q556" s="37" t="n"/>
      <c r="S556" s="37" t="n"/>
    </row>
    <row r="557" ht="15.75" customHeight="1" s="38">
      <c r="Q557" s="37" t="n"/>
      <c r="S557" s="37" t="n"/>
    </row>
    <row r="558" ht="15.75" customHeight="1" s="38">
      <c r="Q558" s="37" t="n"/>
      <c r="S558" s="37" t="n"/>
    </row>
    <row r="559" ht="15.75" customHeight="1" s="38">
      <c r="Q559" s="37" t="n"/>
      <c r="S559" s="37" t="n"/>
    </row>
    <row r="560" ht="15.75" customHeight="1" s="38">
      <c r="Q560" s="37" t="n"/>
      <c r="S560" s="37" t="n"/>
    </row>
    <row r="561" ht="15.75" customHeight="1" s="38">
      <c r="Q561" s="37" t="n"/>
      <c r="S561" s="37" t="n"/>
    </row>
    <row r="562" ht="15.75" customHeight="1" s="38">
      <c r="Q562" s="37" t="n"/>
      <c r="S562" s="37" t="n"/>
    </row>
    <row r="563" ht="15.75" customHeight="1" s="38">
      <c r="Q563" s="37" t="n"/>
      <c r="S563" s="37" t="n"/>
    </row>
    <row r="564" ht="15.75" customHeight="1" s="38">
      <c r="Q564" s="37" t="n"/>
      <c r="S564" s="37" t="n"/>
    </row>
    <row r="565" ht="15.75" customHeight="1" s="38">
      <c r="Q565" s="37" t="n"/>
      <c r="S565" s="37" t="n"/>
    </row>
    <row r="566" ht="15.75" customHeight="1" s="38">
      <c r="Q566" s="37" t="n"/>
      <c r="S566" s="37" t="n"/>
    </row>
    <row r="567" ht="15.75" customHeight="1" s="38">
      <c r="Q567" s="37" t="n"/>
      <c r="S567" s="37" t="n"/>
    </row>
    <row r="568" ht="15.75" customHeight="1" s="38">
      <c r="Q568" s="37" t="n"/>
      <c r="S568" s="37" t="n"/>
    </row>
    <row r="569" ht="15.75" customHeight="1" s="38">
      <c r="Q569" s="37" t="n"/>
      <c r="S569" s="37" t="n"/>
    </row>
    <row r="570" ht="15.75" customHeight="1" s="38">
      <c r="Q570" s="37" t="n"/>
      <c r="S570" s="37" t="n"/>
    </row>
    <row r="571" ht="15.75" customHeight="1" s="38">
      <c r="Q571" s="37" t="n"/>
      <c r="S571" s="37" t="n"/>
    </row>
    <row r="572" ht="15.75" customHeight="1" s="38">
      <c r="Q572" s="37" t="n"/>
      <c r="S572" s="37" t="n"/>
    </row>
    <row r="573" ht="15.75" customHeight="1" s="38">
      <c r="Q573" s="37" t="n"/>
      <c r="S573" s="37" t="n"/>
    </row>
    <row r="574" ht="15.75" customHeight="1" s="38">
      <c r="Q574" s="37" t="n"/>
      <c r="S574" s="37" t="n"/>
    </row>
    <row r="575" ht="15.75" customHeight="1" s="38">
      <c r="Q575" s="37" t="n"/>
      <c r="S575" s="37" t="n"/>
    </row>
    <row r="576" ht="15.75" customHeight="1" s="38">
      <c r="Q576" s="37" t="n"/>
      <c r="S576" s="37" t="n"/>
    </row>
    <row r="577" ht="15.75" customHeight="1" s="38">
      <c r="Q577" s="37" t="n"/>
      <c r="S577" s="37" t="n"/>
    </row>
    <row r="578" ht="15.75" customHeight="1" s="38">
      <c r="Q578" s="37" t="n"/>
      <c r="S578" s="37" t="n"/>
    </row>
    <row r="579" ht="15.75" customHeight="1" s="38">
      <c r="Q579" s="37" t="n"/>
      <c r="S579" s="37" t="n"/>
    </row>
    <row r="580" ht="15.75" customHeight="1" s="38">
      <c r="Q580" s="37" t="n"/>
      <c r="S580" s="37" t="n"/>
    </row>
    <row r="581" ht="15.75" customHeight="1" s="38">
      <c r="Q581" s="37" t="n"/>
      <c r="S581" s="37" t="n"/>
    </row>
    <row r="582" ht="15.75" customHeight="1" s="38">
      <c r="Q582" s="37" t="n"/>
      <c r="S582" s="37" t="n"/>
    </row>
    <row r="583" ht="15.75" customHeight="1" s="38">
      <c r="Q583" s="37" t="n"/>
      <c r="S583" s="37" t="n"/>
    </row>
    <row r="584" ht="15.75" customHeight="1" s="38">
      <c r="Q584" s="37" t="n"/>
      <c r="S584" s="37" t="n"/>
    </row>
    <row r="585" ht="15.75" customHeight="1" s="38">
      <c r="Q585" s="37" t="n"/>
      <c r="S585" s="37" t="n"/>
    </row>
    <row r="586" ht="15.75" customHeight="1" s="38">
      <c r="Q586" s="37" t="n"/>
      <c r="S586" s="37" t="n"/>
    </row>
    <row r="587" ht="15.75" customHeight="1" s="38">
      <c r="Q587" s="37" t="n"/>
      <c r="S587" s="37" t="n"/>
    </row>
    <row r="588" ht="15.75" customHeight="1" s="38">
      <c r="Q588" s="37" t="n"/>
      <c r="S588" s="37" t="n"/>
    </row>
    <row r="589" ht="15.75" customHeight="1" s="38">
      <c r="Q589" s="37" t="n"/>
      <c r="S589" s="37" t="n"/>
    </row>
    <row r="590" ht="15.75" customHeight="1" s="38">
      <c r="Q590" s="37" t="n"/>
      <c r="S590" s="37" t="n"/>
    </row>
    <row r="591" ht="15.75" customHeight="1" s="38">
      <c r="Q591" s="37" t="n"/>
      <c r="S591" s="37" t="n"/>
    </row>
    <row r="592" ht="15.75" customHeight="1" s="38">
      <c r="Q592" s="37" t="n"/>
      <c r="S592" s="37" t="n"/>
    </row>
    <row r="593" ht="15.75" customHeight="1" s="38">
      <c r="Q593" s="37" t="n"/>
      <c r="S593" s="37" t="n"/>
    </row>
    <row r="594" ht="15.75" customHeight="1" s="38">
      <c r="Q594" s="37" t="n"/>
      <c r="S594" s="37" t="n"/>
    </row>
    <row r="595" ht="15.75" customHeight="1" s="38">
      <c r="Q595" s="37" t="n"/>
      <c r="S595" s="37" t="n"/>
    </row>
    <row r="596" ht="15.75" customHeight="1" s="38">
      <c r="Q596" s="37" t="n"/>
      <c r="S596" s="37" t="n"/>
    </row>
    <row r="597" ht="15.75" customHeight="1" s="38">
      <c r="Q597" s="37" t="n"/>
      <c r="S597" s="37" t="n"/>
    </row>
    <row r="598" ht="15.75" customHeight="1" s="38">
      <c r="Q598" s="37" t="n"/>
      <c r="S598" s="37" t="n"/>
    </row>
    <row r="599" ht="15.75" customHeight="1" s="38">
      <c r="Q599" s="37" t="n"/>
      <c r="S599" s="37" t="n"/>
    </row>
    <row r="600" ht="15.75" customHeight="1" s="38">
      <c r="Q600" s="37" t="n"/>
      <c r="S600" s="37" t="n"/>
    </row>
    <row r="601" ht="15.75" customHeight="1" s="38">
      <c r="Q601" s="37" t="n"/>
      <c r="S601" s="37" t="n"/>
    </row>
    <row r="602" ht="15.75" customHeight="1" s="38">
      <c r="Q602" s="37" t="n"/>
      <c r="S602" s="37" t="n"/>
    </row>
    <row r="603" ht="15.75" customHeight="1" s="38">
      <c r="Q603" s="37" t="n"/>
      <c r="S603" s="37" t="n"/>
    </row>
    <row r="604" ht="15.75" customHeight="1" s="38">
      <c r="Q604" s="37" t="n"/>
      <c r="S604" s="37" t="n"/>
    </row>
    <row r="605" ht="15.75" customHeight="1" s="38">
      <c r="Q605" s="37" t="n"/>
      <c r="S605" s="37" t="n"/>
    </row>
    <row r="606" ht="15.75" customHeight="1" s="38">
      <c r="Q606" s="37" t="n"/>
      <c r="S606" s="37" t="n"/>
    </row>
    <row r="607" ht="15.75" customHeight="1" s="38">
      <c r="Q607" s="37" t="n"/>
      <c r="S607" s="37" t="n"/>
    </row>
    <row r="608" ht="15.75" customHeight="1" s="38">
      <c r="Q608" s="37" t="n"/>
      <c r="S608" s="37" t="n"/>
    </row>
    <row r="609" ht="15.75" customHeight="1" s="38">
      <c r="Q609" s="37" t="n"/>
      <c r="S609" s="37" t="n"/>
    </row>
    <row r="610" ht="15.75" customHeight="1" s="38">
      <c r="Q610" s="37" t="n"/>
      <c r="S610" s="37" t="n"/>
    </row>
    <row r="611" ht="15.75" customHeight="1" s="38">
      <c r="Q611" s="37" t="n"/>
      <c r="S611" s="37" t="n"/>
    </row>
    <row r="612" ht="15.75" customHeight="1" s="38">
      <c r="Q612" s="37" t="n"/>
      <c r="S612" s="37" t="n"/>
    </row>
    <row r="613" ht="15.75" customHeight="1" s="38">
      <c r="Q613" s="37" t="n"/>
      <c r="S613" s="37" t="n"/>
    </row>
    <row r="614" ht="15.75" customHeight="1" s="38">
      <c r="Q614" s="37" t="n"/>
      <c r="S614" s="37" t="n"/>
    </row>
    <row r="615" ht="15.75" customHeight="1" s="38">
      <c r="Q615" s="37" t="n"/>
      <c r="S615" s="37" t="n"/>
    </row>
    <row r="616" ht="15.75" customHeight="1" s="38">
      <c r="Q616" s="37" t="n"/>
      <c r="S616" s="37" t="n"/>
    </row>
    <row r="617" ht="15.75" customHeight="1" s="38">
      <c r="Q617" s="37" t="n"/>
      <c r="S617" s="37" t="n"/>
    </row>
    <row r="618" ht="15.75" customHeight="1" s="38">
      <c r="Q618" s="37" t="n"/>
      <c r="S618" s="37" t="n"/>
    </row>
    <row r="619" ht="15.75" customHeight="1" s="38">
      <c r="Q619" s="37" t="n"/>
      <c r="S619" s="37" t="n"/>
    </row>
    <row r="620" ht="15.75" customHeight="1" s="38">
      <c r="Q620" s="37" t="n"/>
      <c r="S620" s="37" t="n"/>
    </row>
    <row r="621" ht="15.75" customHeight="1" s="38">
      <c r="Q621" s="37" t="n"/>
      <c r="S621" s="37" t="n"/>
    </row>
    <row r="622" ht="15.75" customHeight="1" s="38">
      <c r="Q622" s="37" t="n"/>
      <c r="S622" s="37" t="n"/>
    </row>
    <row r="623" ht="15.75" customHeight="1" s="38">
      <c r="Q623" s="37" t="n"/>
      <c r="S623" s="37" t="n"/>
    </row>
    <row r="624" ht="15.75" customHeight="1" s="38">
      <c r="Q624" s="37" t="n"/>
      <c r="S624" s="37" t="n"/>
    </row>
    <row r="625" ht="15.75" customHeight="1" s="38">
      <c r="Q625" s="37" t="n"/>
      <c r="S625" s="37" t="n"/>
    </row>
    <row r="626" ht="15.75" customHeight="1" s="38">
      <c r="Q626" s="37" t="n"/>
      <c r="S626" s="37" t="n"/>
    </row>
    <row r="627" ht="15.75" customHeight="1" s="38">
      <c r="Q627" s="37" t="n"/>
      <c r="S627" s="37" t="n"/>
    </row>
    <row r="628" ht="15.75" customHeight="1" s="38">
      <c r="Q628" s="37" t="n"/>
      <c r="S628" s="37" t="n"/>
    </row>
    <row r="629" ht="15.75" customHeight="1" s="38">
      <c r="Q629" s="37" t="n"/>
      <c r="S629" s="37" t="n"/>
    </row>
    <row r="630" ht="15.75" customHeight="1" s="38">
      <c r="Q630" s="37" t="n"/>
      <c r="S630" s="37" t="n"/>
    </row>
    <row r="631" ht="15.75" customHeight="1" s="38">
      <c r="Q631" s="37" t="n"/>
      <c r="S631" s="37" t="n"/>
    </row>
    <row r="632" ht="15.75" customHeight="1" s="38">
      <c r="Q632" s="37" t="n"/>
      <c r="S632" s="37" t="n"/>
    </row>
    <row r="633" ht="15.75" customHeight="1" s="38">
      <c r="Q633" s="37" t="n"/>
      <c r="S633" s="37" t="n"/>
    </row>
    <row r="634" ht="15.75" customHeight="1" s="38">
      <c r="Q634" s="37" t="n"/>
      <c r="S634" s="37" t="n"/>
    </row>
    <row r="635" ht="15.75" customHeight="1" s="38">
      <c r="Q635" s="37" t="n"/>
      <c r="S635" s="37" t="n"/>
    </row>
    <row r="636" ht="15.75" customHeight="1" s="38">
      <c r="Q636" s="37" t="n"/>
      <c r="S636" s="37" t="n"/>
    </row>
    <row r="637" ht="15.75" customHeight="1" s="38">
      <c r="Q637" s="37" t="n"/>
      <c r="S637" s="37" t="n"/>
    </row>
    <row r="638" ht="15.75" customHeight="1" s="38">
      <c r="Q638" s="37" t="n"/>
      <c r="S638" s="37" t="n"/>
    </row>
    <row r="639" ht="15.75" customHeight="1" s="38">
      <c r="Q639" s="37" t="n"/>
      <c r="S639" s="37" t="n"/>
    </row>
    <row r="640" ht="15.75" customHeight="1" s="38">
      <c r="Q640" s="37" t="n"/>
      <c r="S640" s="37" t="n"/>
    </row>
    <row r="641" ht="15.75" customHeight="1" s="38">
      <c r="Q641" s="37" t="n"/>
      <c r="S641" s="37" t="n"/>
    </row>
    <row r="642" ht="15.75" customHeight="1" s="38">
      <c r="Q642" s="37" t="n"/>
      <c r="S642" s="37" t="n"/>
    </row>
    <row r="643" ht="15.75" customHeight="1" s="38">
      <c r="Q643" s="37" t="n"/>
      <c r="S643" s="37" t="n"/>
    </row>
    <row r="644" ht="15.75" customHeight="1" s="38">
      <c r="Q644" s="37" t="n"/>
      <c r="S644" s="37" t="n"/>
    </row>
    <row r="645" ht="15.75" customHeight="1" s="38">
      <c r="Q645" s="37" t="n"/>
      <c r="S645" s="37" t="n"/>
    </row>
    <row r="646" ht="15.75" customHeight="1" s="38">
      <c r="Q646" s="37" t="n"/>
      <c r="S646" s="37" t="n"/>
    </row>
    <row r="647" ht="15.75" customHeight="1" s="38">
      <c r="Q647" s="37" t="n"/>
      <c r="S647" s="37" t="n"/>
    </row>
    <row r="648" ht="15.75" customHeight="1" s="38">
      <c r="Q648" s="37" t="n"/>
      <c r="S648" s="37" t="n"/>
    </row>
    <row r="649" ht="15.75" customHeight="1" s="38">
      <c r="Q649" s="37" t="n"/>
      <c r="S649" s="37" t="n"/>
    </row>
    <row r="650" ht="15.75" customHeight="1" s="38">
      <c r="Q650" s="37" t="n"/>
      <c r="S650" s="37" t="n"/>
    </row>
    <row r="651" ht="15.75" customHeight="1" s="38">
      <c r="Q651" s="37" t="n"/>
      <c r="S651" s="37" t="n"/>
    </row>
    <row r="652" ht="15.75" customHeight="1" s="38">
      <c r="Q652" s="37" t="n"/>
      <c r="S652" s="37" t="n"/>
    </row>
    <row r="653" ht="15.75" customHeight="1" s="38">
      <c r="Q653" s="37" t="n"/>
      <c r="S653" s="37" t="n"/>
    </row>
    <row r="654" ht="15.75" customHeight="1" s="38">
      <c r="Q654" s="37" t="n"/>
      <c r="S654" s="37" t="n"/>
    </row>
    <row r="655" ht="15.75" customHeight="1" s="38">
      <c r="Q655" s="37" t="n"/>
      <c r="S655" s="37" t="n"/>
    </row>
    <row r="656" ht="15.75" customHeight="1" s="38">
      <c r="Q656" s="37" t="n"/>
      <c r="S656" s="37" t="n"/>
    </row>
    <row r="657" ht="15.75" customHeight="1" s="38">
      <c r="Q657" s="37" t="n"/>
      <c r="S657" s="37" t="n"/>
    </row>
    <row r="658" ht="15.75" customHeight="1" s="38">
      <c r="Q658" s="37" t="n"/>
      <c r="S658" s="37" t="n"/>
    </row>
    <row r="659" ht="15.75" customHeight="1" s="38">
      <c r="Q659" s="37" t="n"/>
      <c r="S659" s="37" t="n"/>
    </row>
    <row r="660" ht="15.75" customHeight="1" s="38">
      <c r="Q660" s="37" t="n"/>
      <c r="S660" s="37" t="n"/>
    </row>
    <row r="661" ht="15.75" customHeight="1" s="38">
      <c r="Q661" s="37" t="n"/>
      <c r="S661" s="37" t="n"/>
    </row>
    <row r="662" ht="15.75" customHeight="1" s="38">
      <c r="Q662" s="37" t="n"/>
      <c r="S662" s="37" t="n"/>
    </row>
    <row r="663" ht="15.75" customHeight="1" s="38">
      <c r="Q663" s="37" t="n"/>
      <c r="S663" s="37" t="n"/>
    </row>
    <row r="664" ht="15.75" customHeight="1" s="38">
      <c r="Q664" s="37" t="n"/>
      <c r="S664" s="37" t="n"/>
    </row>
    <row r="665" ht="15.75" customHeight="1" s="38">
      <c r="Q665" s="37" t="n"/>
      <c r="S665" s="37" t="n"/>
    </row>
    <row r="666" ht="15.75" customHeight="1" s="38">
      <c r="Q666" s="37" t="n"/>
      <c r="S666" s="37" t="n"/>
    </row>
    <row r="667" ht="15.75" customHeight="1" s="38">
      <c r="Q667" s="37" t="n"/>
      <c r="S667" s="37" t="n"/>
    </row>
    <row r="668" ht="15.75" customHeight="1" s="38">
      <c r="Q668" s="37" t="n"/>
      <c r="S668" s="37" t="n"/>
    </row>
    <row r="669" ht="15.75" customHeight="1" s="38">
      <c r="Q669" s="37" t="n"/>
      <c r="S669" s="37" t="n"/>
    </row>
    <row r="670" ht="15.75" customHeight="1" s="38">
      <c r="Q670" s="37" t="n"/>
      <c r="S670" s="37" t="n"/>
    </row>
    <row r="671" ht="15.75" customHeight="1" s="38">
      <c r="Q671" s="37" t="n"/>
      <c r="S671" s="37" t="n"/>
    </row>
    <row r="672" ht="15.75" customHeight="1" s="38">
      <c r="Q672" s="37" t="n"/>
      <c r="S672" s="37" t="n"/>
    </row>
    <row r="673" ht="15.75" customHeight="1" s="38">
      <c r="Q673" s="37" t="n"/>
      <c r="S673" s="37" t="n"/>
    </row>
    <row r="674" ht="15.75" customHeight="1" s="38">
      <c r="Q674" s="37" t="n"/>
      <c r="S674" s="37" t="n"/>
    </row>
    <row r="675" ht="15.75" customHeight="1" s="38">
      <c r="Q675" s="37" t="n"/>
      <c r="S675" s="37" t="n"/>
    </row>
    <row r="676" ht="15.75" customHeight="1" s="38">
      <c r="Q676" s="37" t="n"/>
      <c r="S676" s="37" t="n"/>
    </row>
    <row r="677" ht="15.75" customHeight="1" s="38">
      <c r="Q677" s="37" t="n"/>
      <c r="S677" s="37" t="n"/>
    </row>
    <row r="678" ht="15.75" customHeight="1" s="38">
      <c r="Q678" s="37" t="n"/>
      <c r="S678" s="37" t="n"/>
    </row>
    <row r="679" ht="15.75" customHeight="1" s="38">
      <c r="Q679" s="37" t="n"/>
      <c r="S679" s="37" t="n"/>
    </row>
    <row r="680" ht="15.75" customHeight="1" s="38">
      <c r="Q680" s="37" t="n"/>
      <c r="S680" s="37" t="n"/>
    </row>
    <row r="681" ht="15.75" customHeight="1" s="38">
      <c r="Q681" s="37" t="n"/>
      <c r="S681" s="37" t="n"/>
    </row>
    <row r="682" ht="15.75" customHeight="1" s="38">
      <c r="Q682" s="37" t="n"/>
      <c r="S682" s="37" t="n"/>
    </row>
    <row r="683" ht="15.75" customHeight="1" s="38">
      <c r="Q683" s="37" t="n"/>
      <c r="S683" s="37" t="n"/>
    </row>
    <row r="684" ht="15.75" customHeight="1" s="38">
      <c r="Q684" s="37" t="n"/>
      <c r="S684" s="37" t="n"/>
    </row>
    <row r="685" ht="15.75" customHeight="1" s="38">
      <c r="Q685" s="37" t="n"/>
      <c r="S685" s="37" t="n"/>
    </row>
    <row r="686" ht="15.75" customHeight="1" s="38">
      <c r="Q686" s="37" t="n"/>
      <c r="S686" s="37" t="n"/>
    </row>
    <row r="687" ht="15.75" customHeight="1" s="38">
      <c r="Q687" s="37" t="n"/>
      <c r="S687" s="37" t="n"/>
    </row>
    <row r="688" ht="15.75" customHeight="1" s="38">
      <c r="Q688" s="37" t="n"/>
      <c r="S688" s="37" t="n"/>
    </row>
    <row r="689" ht="15.75" customHeight="1" s="38">
      <c r="Q689" s="37" t="n"/>
      <c r="S689" s="37" t="n"/>
    </row>
    <row r="690" ht="15.75" customHeight="1" s="38">
      <c r="Q690" s="37" t="n"/>
      <c r="S690" s="37" t="n"/>
    </row>
    <row r="691" ht="15.75" customHeight="1" s="38">
      <c r="Q691" s="37" t="n"/>
      <c r="S691" s="37" t="n"/>
    </row>
    <row r="692" ht="15.75" customHeight="1" s="38">
      <c r="Q692" s="37" t="n"/>
      <c r="S692" s="37" t="n"/>
    </row>
    <row r="693" ht="15.75" customHeight="1" s="38">
      <c r="Q693" s="37" t="n"/>
      <c r="S693" s="37" t="n"/>
    </row>
    <row r="694" ht="15.75" customHeight="1" s="38">
      <c r="Q694" s="37" t="n"/>
      <c r="S694" s="37" t="n"/>
    </row>
    <row r="695" ht="15.75" customHeight="1" s="38">
      <c r="Q695" s="37" t="n"/>
      <c r="S695" s="37" t="n"/>
    </row>
    <row r="696" ht="15.75" customHeight="1" s="38">
      <c r="Q696" s="37" t="n"/>
      <c r="S696" s="37" t="n"/>
    </row>
    <row r="697" ht="15.75" customHeight="1" s="38">
      <c r="Q697" s="37" t="n"/>
      <c r="S697" s="37" t="n"/>
    </row>
    <row r="698" ht="15.75" customHeight="1" s="38">
      <c r="Q698" s="37" t="n"/>
      <c r="S698" s="37" t="n"/>
    </row>
    <row r="699" ht="15.75" customHeight="1" s="38">
      <c r="Q699" s="37" t="n"/>
      <c r="S699" s="37" t="n"/>
    </row>
    <row r="700" ht="15.75" customHeight="1" s="38">
      <c r="Q700" s="37" t="n"/>
      <c r="S700" s="37" t="n"/>
    </row>
    <row r="701" ht="15.75" customHeight="1" s="38">
      <c r="Q701" s="37" t="n"/>
      <c r="S701" s="37" t="n"/>
    </row>
    <row r="702" ht="15.75" customHeight="1" s="38">
      <c r="Q702" s="37" t="n"/>
      <c r="S702" s="37" t="n"/>
    </row>
    <row r="703" ht="15.75" customHeight="1" s="38">
      <c r="Q703" s="37" t="n"/>
      <c r="S703" s="37" t="n"/>
    </row>
    <row r="704" ht="15.75" customHeight="1" s="38">
      <c r="Q704" s="37" t="n"/>
      <c r="S704" s="37" t="n"/>
    </row>
    <row r="705" ht="15.75" customHeight="1" s="38">
      <c r="Q705" s="37" t="n"/>
      <c r="S705" s="37" t="n"/>
    </row>
    <row r="706" ht="15.75" customHeight="1" s="38">
      <c r="Q706" s="37" t="n"/>
      <c r="S706" s="37" t="n"/>
    </row>
    <row r="707" ht="15.75" customHeight="1" s="38">
      <c r="Q707" s="37" t="n"/>
      <c r="S707" s="37" t="n"/>
    </row>
    <row r="708" ht="15.75" customHeight="1" s="38">
      <c r="Q708" s="37" t="n"/>
      <c r="S708" s="37" t="n"/>
    </row>
    <row r="709" ht="15.75" customHeight="1" s="38">
      <c r="Q709" s="37" t="n"/>
      <c r="S709" s="37" t="n"/>
    </row>
    <row r="710" ht="15.75" customHeight="1" s="38">
      <c r="Q710" s="37" t="n"/>
      <c r="S710" s="37" t="n"/>
    </row>
    <row r="711" ht="15.75" customHeight="1" s="38">
      <c r="Q711" s="37" t="n"/>
      <c r="S711" s="37" t="n"/>
    </row>
    <row r="712" ht="15.75" customHeight="1" s="38">
      <c r="Q712" s="37" t="n"/>
      <c r="S712" s="37" t="n"/>
    </row>
    <row r="713" ht="15.75" customHeight="1" s="38">
      <c r="Q713" s="37" t="n"/>
      <c r="S713" s="37" t="n"/>
    </row>
    <row r="714" ht="15.75" customHeight="1" s="38">
      <c r="Q714" s="37" t="n"/>
      <c r="S714" s="37" t="n"/>
    </row>
    <row r="715" ht="15.75" customHeight="1" s="38">
      <c r="Q715" s="37" t="n"/>
      <c r="S715" s="37" t="n"/>
    </row>
    <row r="716" ht="15.75" customHeight="1" s="38">
      <c r="Q716" s="37" t="n"/>
      <c r="S716" s="37" t="n"/>
    </row>
    <row r="717" ht="15.75" customHeight="1" s="38">
      <c r="Q717" s="37" t="n"/>
      <c r="S717" s="37" t="n"/>
    </row>
    <row r="718" ht="15.75" customHeight="1" s="38">
      <c r="Q718" s="37" t="n"/>
      <c r="S718" s="37" t="n"/>
    </row>
    <row r="719" ht="15.75" customHeight="1" s="38">
      <c r="Q719" s="37" t="n"/>
      <c r="S719" s="37" t="n"/>
    </row>
    <row r="720" ht="15.75" customHeight="1" s="38">
      <c r="Q720" s="37" t="n"/>
      <c r="S720" s="37" t="n"/>
    </row>
    <row r="721" ht="15.75" customHeight="1" s="38">
      <c r="Q721" s="37" t="n"/>
      <c r="S721" s="37" t="n"/>
    </row>
    <row r="722" ht="15.75" customHeight="1" s="38">
      <c r="Q722" s="37" t="n"/>
      <c r="S722" s="37" t="n"/>
    </row>
    <row r="723" ht="15.75" customHeight="1" s="38">
      <c r="Q723" s="37" t="n"/>
      <c r="S723" s="37" t="n"/>
    </row>
    <row r="724" ht="15.75" customHeight="1" s="38">
      <c r="Q724" s="37" t="n"/>
      <c r="S724" s="37" t="n"/>
    </row>
    <row r="725" ht="15.75" customHeight="1" s="38">
      <c r="Q725" s="37" t="n"/>
      <c r="S725" s="37" t="n"/>
    </row>
    <row r="726" ht="15.75" customHeight="1" s="38">
      <c r="Q726" s="37" t="n"/>
      <c r="S726" s="37" t="n"/>
    </row>
    <row r="727" ht="15.75" customHeight="1" s="38">
      <c r="Q727" s="37" t="n"/>
      <c r="S727" s="37" t="n"/>
    </row>
    <row r="728" ht="15.75" customHeight="1" s="38">
      <c r="Q728" s="37" t="n"/>
      <c r="S728" s="37" t="n"/>
    </row>
    <row r="729" ht="15.75" customHeight="1" s="38">
      <c r="Q729" s="37" t="n"/>
      <c r="S729" s="37" t="n"/>
    </row>
    <row r="730" ht="15.75" customHeight="1" s="38">
      <c r="Q730" s="37" t="n"/>
      <c r="S730" s="37" t="n"/>
    </row>
    <row r="731" ht="15.75" customHeight="1" s="38">
      <c r="Q731" s="37" t="n"/>
      <c r="S731" s="37" t="n"/>
    </row>
    <row r="732" ht="15.75" customHeight="1" s="38">
      <c r="Q732" s="37" t="n"/>
      <c r="S732" s="37" t="n"/>
    </row>
    <row r="733" ht="15.75" customHeight="1" s="38">
      <c r="Q733" s="37" t="n"/>
      <c r="S733" s="37" t="n"/>
    </row>
    <row r="734" ht="15.75" customHeight="1" s="38">
      <c r="Q734" s="37" t="n"/>
      <c r="S734" s="37" t="n"/>
    </row>
    <row r="735" ht="15.75" customHeight="1" s="38">
      <c r="Q735" s="37" t="n"/>
      <c r="S735" s="37" t="n"/>
    </row>
    <row r="736" ht="15.75" customHeight="1" s="38">
      <c r="Q736" s="37" t="n"/>
      <c r="S736" s="37" t="n"/>
    </row>
    <row r="737" ht="15.75" customHeight="1" s="38">
      <c r="Q737" s="37" t="n"/>
      <c r="S737" s="37" t="n"/>
    </row>
    <row r="738" ht="15.75" customHeight="1" s="38">
      <c r="Q738" s="37" t="n"/>
      <c r="S738" s="37" t="n"/>
    </row>
    <row r="739" ht="15.75" customHeight="1" s="38">
      <c r="Q739" s="37" t="n"/>
      <c r="S739" s="37" t="n"/>
    </row>
    <row r="740" ht="15.75" customHeight="1" s="38">
      <c r="Q740" s="37" t="n"/>
      <c r="S740" s="37" t="n"/>
    </row>
    <row r="741" ht="15.75" customHeight="1" s="38">
      <c r="Q741" s="37" t="n"/>
      <c r="S741" s="37" t="n"/>
    </row>
    <row r="742" ht="15.75" customHeight="1" s="38">
      <c r="Q742" s="37" t="n"/>
      <c r="S742" s="37" t="n"/>
    </row>
    <row r="743" ht="15.75" customHeight="1" s="38">
      <c r="Q743" s="37" t="n"/>
      <c r="S743" s="37" t="n"/>
    </row>
    <row r="744" ht="15.75" customHeight="1" s="38">
      <c r="Q744" s="37" t="n"/>
      <c r="S744" s="37" t="n"/>
    </row>
    <row r="745" ht="15.75" customHeight="1" s="38">
      <c r="Q745" s="37" t="n"/>
      <c r="S745" s="37" t="n"/>
    </row>
    <row r="746" ht="15.75" customHeight="1" s="38">
      <c r="Q746" s="37" t="n"/>
      <c r="S746" s="37" t="n"/>
    </row>
    <row r="747" ht="15.75" customHeight="1" s="38">
      <c r="Q747" s="37" t="n"/>
      <c r="S747" s="37" t="n"/>
    </row>
    <row r="748" ht="15.75" customHeight="1" s="38">
      <c r="Q748" s="37" t="n"/>
      <c r="S748" s="37" t="n"/>
    </row>
    <row r="749" ht="15.75" customHeight="1" s="38">
      <c r="Q749" s="37" t="n"/>
      <c r="S749" s="37" t="n"/>
    </row>
    <row r="750" ht="15.75" customHeight="1" s="38">
      <c r="Q750" s="37" t="n"/>
      <c r="S750" s="37" t="n"/>
    </row>
    <row r="751" ht="15.75" customHeight="1" s="38">
      <c r="Q751" s="37" t="n"/>
      <c r="S751" s="37" t="n"/>
    </row>
    <row r="752" ht="15.75" customHeight="1" s="38">
      <c r="Q752" s="37" t="n"/>
      <c r="S752" s="37" t="n"/>
    </row>
    <row r="753" ht="15.75" customHeight="1" s="38">
      <c r="Q753" s="37" t="n"/>
      <c r="S753" s="37" t="n"/>
    </row>
    <row r="754" ht="15.75" customHeight="1" s="38">
      <c r="Q754" s="37" t="n"/>
      <c r="S754" s="37" t="n"/>
    </row>
    <row r="755" ht="15.75" customHeight="1" s="38">
      <c r="Q755" s="37" t="n"/>
      <c r="S755" s="37" t="n"/>
    </row>
    <row r="756" ht="15.75" customHeight="1" s="38">
      <c r="Q756" s="37" t="n"/>
      <c r="S756" s="37" t="n"/>
    </row>
    <row r="757" ht="15.75" customHeight="1" s="38">
      <c r="Q757" s="37" t="n"/>
      <c r="S757" s="37" t="n"/>
    </row>
    <row r="758" ht="15.75" customHeight="1" s="38">
      <c r="Q758" s="37" t="n"/>
      <c r="S758" s="37" t="n"/>
    </row>
    <row r="759" ht="15.75" customHeight="1" s="38">
      <c r="Q759" s="37" t="n"/>
      <c r="S759" s="37" t="n"/>
    </row>
    <row r="760" ht="15.75" customHeight="1" s="38">
      <c r="Q760" s="37" t="n"/>
      <c r="S760" s="37" t="n"/>
    </row>
    <row r="761" ht="15.75" customHeight="1" s="38">
      <c r="Q761" s="37" t="n"/>
      <c r="S761" s="37" t="n"/>
    </row>
    <row r="762" ht="15.75" customHeight="1" s="38">
      <c r="Q762" s="37" t="n"/>
      <c r="S762" s="37" t="n"/>
    </row>
    <row r="763" ht="15.75" customHeight="1" s="38">
      <c r="Q763" s="37" t="n"/>
      <c r="S763" s="37" t="n"/>
    </row>
    <row r="764" ht="15.75" customHeight="1" s="38">
      <c r="Q764" s="37" t="n"/>
      <c r="S764" s="37" t="n"/>
    </row>
    <row r="765" ht="15.75" customHeight="1" s="38">
      <c r="Q765" s="37" t="n"/>
      <c r="S765" s="37" t="n"/>
    </row>
    <row r="766" ht="15.75" customHeight="1" s="38">
      <c r="Q766" s="37" t="n"/>
      <c r="S766" s="37" t="n"/>
    </row>
    <row r="767" ht="15.75" customHeight="1" s="38">
      <c r="Q767" s="37" t="n"/>
      <c r="S767" s="37" t="n"/>
    </row>
    <row r="768" ht="15.75" customHeight="1" s="38">
      <c r="Q768" s="37" t="n"/>
      <c r="S768" s="37" t="n"/>
    </row>
    <row r="769" ht="15.75" customHeight="1" s="38">
      <c r="Q769" s="37" t="n"/>
      <c r="S769" s="37" t="n"/>
    </row>
    <row r="770" ht="15.75" customHeight="1" s="38">
      <c r="Q770" s="37" t="n"/>
      <c r="S770" s="37" t="n"/>
    </row>
    <row r="771" ht="15.75" customHeight="1" s="38">
      <c r="Q771" s="37" t="n"/>
      <c r="S771" s="37" t="n"/>
    </row>
    <row r="772" ht="15.75" customHeight="1" s="38">
      <c r="Q772" s="37" t="n"/>
      <c r="S772" s="37" t="n"/>
    </row>
    <row r="773" ht="15.75" customHeight="1" s="38">
      <c r="Q773" s="37" t="n"/>
      <c r="S773" s="37" t="n"/>
    </row>
    <row r="774" ht="15.75" customHeight="1" s="38">
      <c r="Q774" s="37" t="n"/>
      <c r="S774" s="37" t="n"/>
    </row>
    <row r="775" ht="15.75" customHeight="1" s="38">
      <c r="Q775" s="37" t="n"/>
      <c r="S775" s="37" t="n"/>
    </row>
    <row r="776" ht="15.75" customHeight="1" s="38">
      <c r="Q776" s="37" t="n"/>
      <c r="S776" s="37" t="n"/>
    </row>
    <row r="777" ht="15.75" customHeight="1" s="38">
      <c r="Q777" s="37" t="n"/>
      <c r="S777" s="37" t="n"/>
    </row>
    <row r="778" ht="15.75" customHeight="1" s="38">
      <c r="Q778" s="37" t="n"/>
      <c r="S778" s="37" t="n"/>
    </row>
    <row r="779" ht="15.75" customHeight="1" s="38">
      <c r="Q779" s="37" t="n"/>
      <c r="S779" s="37" t="n"/>
    </row>
    <row r="780" ht="15.75" customHeight="1" s="38">
      <c r="Q780" s="37" t="n"/>
      <c r="S780" s="37" t="n"/>
    </row>
    <row r="781" ht="15.75" customHeight="1" s="38">
      <c r="Q781" s="37" t="n"/>
      <c r="S781" s="37" t="n"/>
    </row>
    <row r="782" ht="15.75" customHeight="1" s="38">
      <c r="Q782" s="37" t="n"/>
      <c r="S782" s="37" t="n"/>
    </row>
    <row r="783" ht="15.75" customHeight="1" s="38">
      <c r="Q783" s="37" t="n"/>
      <c r="S783" s="37" t="n"/>
    </row>
    <row r="784" ht="15.75" customHeight="1" s="38">
      <c r="Q784" s="37" t="n"/>
      <c r="S784" s="37" t="n"/>
    </row>
    <row r="785" ht="15.75" customHeight="1" s="38">
      <c r="Q785" s="37" t="n"/>
      <c r="S785" s="37" t="n"/>
    </row>
    <row r="786" ht="15.75" customHeight="1" s="38">
      <c r="Q786" s="37" t="n"/>
      <c r="S786" s="37" t="n"/>
    </row>
    <row r="787" ht="15.75" customHeight="1" s="38">
      <c r="Q787" s="37" t="n"/>
      <c r="S787" s="37" t="n"/>
    </row>
    <row r="788" ht="15.75" customHeight="1" s="38">
      <c r="Q788" s="37" t="n"/>
      <c r="S788" s="37" t="n"/>
    </row>
    <row r="789" ht="15.75" customHeight="1" s="38">
      <c r="Q789" s="37" t="n"/>
      <c r="S789" s="37" t="n"/>
    </row>
    <row r="790" ht="15.75" customHeight="1" s="38">
      <c r="Q790" s="37" t="n"/>
      <c r="S790" s="37" t="n"/>
    </row>
    <row r="791" ht="15.75" customHeight="1" s="38">
      <c r="Q791" s="37" t="n"/>
      <c r="S791" s="37" t="n"/>
    </row>
    <row r="792" ht="15.75" customHeight="1" s="38">
      <c r="Q792" s="37" t="n"/>
      <c r="S792" s="37" t="n"/>
    </row>
    <row r="793" ht="15.75" customHeight="1" s="38">
      <c r="Q793" s="37" t="n"/>
      <c r="S793" s="37" t="n"/>
    </row>
    <row r="794" ht="15.75" customHeight="1" s="38">
      <c r="Q794" s="37" t="n"/>
      <c r="S794" s="37" t="n"/>
    </row>
    <row r="795" ht="15.75" customHeight="1" s="38">
      <c r="Q795" s="37" t="n"/>
      <c r="S795" s="37" t="n"/>
    </row>
    <row r="796" ht="15.75" customHeight="1" s="38">
      <c r="Q796" s="37" t="n"/>
      <c r="S796" s="37" t="n"/>
    </row>
    <row r="797" ht="15.75" customHeight="1" s="38">
      <c r="Q797" s="37" t="n"/>
      <c r="S797" s="37" t="n"/>
    </row>
    <row r="798" ht="15.75" customHeight="1" s="38">
      <c r="Q798" s="37" t="n"/>
      <c r="S798" s="37" t="n"/>
    </row>
    <row r="799" ht="15.75" customHeight="1" s="38">
      <c r="Q799" s="37" t="n"/>
      <c r="S799" s="37" t="n"/>
    </row>
    <row r="800" ht="15.75" customHeight="1" s="38">
      <c r="Q800" s="37" t="n"/>
      <c r="S800" s="37" t="n"/>
    </row>
    <row r="801" ht="15.75" customHeight="1" s="38">
      <c r="Q801" s="37" t="n"/>
      <c r="S801" s="37" t="n"/>
    </row>
    <row r="802" ht="15.75" customHeight="1" s="38">
      <c r="Q802" s="37" t="n"/>
      <c r="S802" s="37" t="n"/>
    </row>
    <row r="803" ht="15.75" customHeight="1" s="38">
      <c r="Q803" s="37" t="n"/>
      <c r="S803" s="37" t="n"/>
    </row>
    <row r="804" ht="15.75" customHeight="1" s="38">
      <c r="Q804" s="37" t="n"/>
      <c r="S804" s="37" t="n"/>
    </row>
    <row r="805" ht="15.75" customHeight="1" s="38">
      <c r="Q805" s="37" t="n"/>
      <c r="S805" s="37" t="n"/>
    </row>
    <row r="806" ht="15.75" customHeight="1" s="38">
      <c r="Q806" s="37" t="n"/>
      <c r="S806" s="37" t="n"/>
    </row>
    <row r="807" ht="15.75" customHeight="1" s="38">
      <c r="Q807" s="37" t="n"/>
      <c r="S807" s="37" t="n"/>
    </row>
    <row r="808" ht="15.75" customHeight="1" s="38">
      <c r="Q808" s="37" t="n"/>
      <c r="S808" s="37" t="n"/>
    </row>
    <row r="809" ht="15.75" customHeight="1" s="38">
      <c r="Q809" s="37" t="n"/>
      <c r="S809" s="37" t="n"/>
    </row>
    <row r="810" ht="15.75" customHeight="1" s="38">
      <c r="Q810" s="37" t="n"/>
      <c r="S810" s="37" t="n"/>
    </row>
    <row r="811" ht="15.75" customHeight="1" s="38">
      <c r="Q811" s="37" t="n"/>
      <c r="S811" s="37" t="n"/>
    </row>
    <row r="812" ht="15.75" customHeight="1" s="38">
      <c r="Q812" s="37" t="n"/>
      <c r="S812" s="37" t="n"/>
    </row>
    <row r="813" ht="15.75" customHeight="1" s="38">
      <c r="Q813" s="37" t="n"/>
      <c r="S813" s="37" t="n"/>
    </row>
    <row r="814" ht="15.75" customHeight="1" s="38">
      <c r="Q814" s="37" t="n"/>
      <c r="S814" s="37" t="n"/>
    </row>
    <row r="815" ht="15.75" customHeight="1" s="38">
      <c r="Q815" s="37" t="n"/>
      <c r="S815" s="37" t="n"/>
    </row>
    <row r="816" ht="15.75" customHeight="1" s="38">
      <c r="Q816" s="37" t="n"/>
      <c r="S816" s="37" t="n"/>
    </row>
    <row r="817" ht="15.75" customHeight="1" s="38">
      <c r="Q817" s="37" t="n"/>
      <c r="S817" s="37" t="n"/>
    </row>
    <row r="818" ht="15.75" customHeight="1" s="38">
      <c r="Q818" s="37" t="n"/>
      <c r="S818" s="37" t="n"/>
    </row>
    <row r="819" ht="15.75" customHeight="1" s="38">
      <c r="Q819" s="37" t="n"/>
      <c r="S819" s="37" t="n"/>
    </row>
    <row r="820" ht="15.75" customHeight="1" s="38">
      <c r="Q820" s="37" t="n"/>
      <c r="S820" s="37" t="n"/>
    </row>
    <row r="821" ht="15.75" customHeight="1" s="38">
      <c r="Q821" s="37" t="n"/>
      <c r="S821" s="37" t="n"/>
    </row>
    <row r="822" ht="15.75" customHeight="1" s="38">
      <c r="Q822" s="37" t="n"/>
      <c r="S822" s="37" t="n"/>
    </row>
    <row r="823" ht="15.75" customHeight="1" s="38">
      <c r="Q823" s="37" t="n"/>
      <c r="S823" s="37" t="n"/>
    </row>
    <row r="824" ht="15.75" customHeight="1" s="38">
      <c r="Q824" s="37" t="n"/>
      <c r="S824" s="37" t="n"/>
    </row>
    <row r="825" ht="15.75" customHeight="1" s="38">
      <c r="Q825" s="37" t="n"/>
      <c r="S825" s="37" t="n"/>
    </row>
    <row r="826" ht="15.75" customHeight="1" s="38">
      <c r="Q826" s="37" t="n"/>
      <c r="S826" s="37" t="n"/>
    </row>
    <row r="827" ht="15.75" customHeight="1" s="38">
      <c r="Q827" s="37" t="n"/>
      <c r="S827" s="37" t="n"/>
    </row>
    <row r="828" ht="15.75" customHeight="1" s="38">
      <c r="Q828" s="37" t="n"/>
      <c r="S828" s="37" t="n"/>
    </row>
    <row r="829" ht="15.75" customHeight="1" s="38">
      <c r="Q829" s="37" t="n"/>
      <c r="S829" s="37" t="n"/>
    </row>
    <row r="830" ht="15.75" customHeight="1" s="38">
      <c r="Q830" s="37" t="n"/>
      <c r="S830" s="37" t="n"/>
    </row>
    <row r="831" ht="15.75" customHeight="1" s="38">
      <c r="Q831" s="37" t="n"/>
      <c r="S831" s="37" t="n"/>
    </row>
    <row r="832" ht="15.75" customHeight="1" s="38">
      <c r="Q832" s="37" t="n"/>
      <c r="S832" s="37" t="n"/>
    </row>
    <row r="833" ht="15.75" customHeight="1" s="38">
      <c r="Q833" s="37" t="n"/>
      <c r="S833" s="37" t="n"/>
    </row>
    <row r="834" ht="15.75" customHeight="1" s="38">
      <c r="Q834" s="37" t="n"/>
      <c r="S834" s="37" t="n"/>
    </row>
    <row r="835" ht="15.75" customHeight="1" s="38">
      <c r="Q835" s="37" t="n"/>
      <c r="S835" s="37" t="n"/>
    </row>
    <row r="836" ht="15.75" customHeight="1" s="38">
      <c r="Q836" s="37" t="n"/>
      <c r="S836" s="37" t="n"/>
    </row>
    <row r="837" ht="15.75" customHeight="1" s="38">
      <c r="Q837" s="37" t="n"/>
      <c r="S837" s="37" t="n"/>
    </row>
    <row r="838" ht="15.75" customHeight="1" s="38">
      <c r="Q838" s="37" t="n"/>
      <c r="S838" s="37" t="n"/>
    </row>
    <row r="839" ht="15.75" customHeight="1" s="38">
      <c r="Q839" s="37" t="n"/>
      <c r="S839" s="37" t="n"/>
    </row>
    <row r="840" ht="15.75" customHeight="1" s="38">
      <c r="Q840" s="37" t="n"/>
      <c r="S840" s="37" t="n"/>
    </row>
    <row r="841" ht="15.75" customHeight="1" s="38">
      <c r="Q841" s="37" t="n"/>
      <c r="S841" s="37" t="n"/>
    </row>
    <row r="842" ht="15.75" customHeight="1" s="38">
      <c r="Q842" s="37" t="n"/>
      <c r="S842" s="37" t="n"/>
    </row>
    <row r="843" ht="15.75" customHeight="1" s="38">
      <c r="Q843" s="37" t="n"/>
      <c r="S843" s="37" t="n"/>
    </row>
    <row r="844" ht="15.75" customHeight="1" s="38">
      <c r="Q844" s="37" t="n"/>
      <c r="S844" s="37" t="n"/>
    </row>
    <row r="845" ht="15.75" customHeight="1" s="38">
      <c r="Q845" s="37" t="n"/>
      <c r="S845" s="37" t="n"/>
    </row>
    <row r="846" ht="15.75" customHeight="1" s="38">
      <c r="Q846" s="37" t="n"/>
      <c r="S846" s="37" t="n"/>
    </row>
    <row r="847" ht="15.75" customHeight="1" s="38">
      <c r="Q847" s="37" t="n"/>
      <c r="S847" s="37" t="n"/>
    </row>
    <row r="848" ht="15.75" customHeight="1" s="38">
      <c r="Q848" s="37" t="n"/>
      <c r="S848" s="37" t="n"/>
    </row>
    <row r="849" ht="15.75" customHeight="1" s="38">
      <c r="Q849" s="37" t="n"/>
      <c r="S849" s="37" t="n"/>
    </row>
    <row r="850" ht="15.75" customHeight="1" s="38">
      <c r="Q850" s="37" t="n"/>
      <c r="S850" s="37" t="n"/>
    </row>
    <row r="851" ht="15.75" customHeight="1" s="38">
      <c r="Q851" s="37" t="n"/>
      <c r="S851" s="37" t="n"/>
    </row>
    <row r="852" ht="15.75" customHeight="1" s="38">
      <c r="Q852" s="37" t="n"/>
      <c r="S852" s="37" t="n"/>
    </row>
    <row r="853" ht="15.75" customHeight="1" s="38">
      <c r="Q853" s="37" t="n"/>
      <c r="S853" s="37" t="n"/>
    </row>
    <row r="854" ht="15.75" customHeight="1" s="38">
      <c r="Q854" s="37" t="n"/>
      <c r="S854" s="37" t="n"/>
    </row>
    <row r="855" ht="15.75" customHeight="1" s="38">
      <c r="Q855" s="37" t="n"/>
      <c r="S855" s="37" t="n"/>
    </row>
    <row r="856" ht="15.75" customHeight="1" s="38">
      <c r="Q856" s="37" t="n"/>
      <c r="S856" s="37" t="n"/>
    </row>
    <row r="857" ht="15.75" customHeight="1" s="38">
      <c r="Q857" s="37" t="n"/>
      <c r="S857" s="37" t="n"/>
    </row>
    <row r="858" ht="15.75" customHeight="1" s="38">
      <c r="Q858" s="37" t="n"/>
      <c r="S858" s="37" t="n"/>
    </row>
    <row r="859" ht="15.75" customHeight="1" s="38">
      <c r="Q859" s="37" t="n"/>
      <c r="S859" s="37" t="n"/>
    </row>
    <row r="860" ht="15.75" customHeight="1" s="38">
      <c r="Q860" s="37" t="n"/>
      <c r="S860" s="37" t="n"/>
    </row>
    <row r="861" ht="15.75" customHeight="1" s="38">
      <c r="Q861" s="37" t="n"/>
      <c r="S861" s="37" t="n"/>
    </row>
    <row r="862" ht="15.75" customHeight="1" s="38">
      <c r="Q862" s="37" t="n"/>
      <c r="S862" s="37" t="n"/>
    </row>
    <row r="863" ht="15.75" customHeight="1" s="38">
      <c r="Q863" s="37" t="n"/>
      <c r="S863" s="37" t="n"/>
    </row>
    <row r="864" ht="15.75" customHeight="1" s="38">
      <c r="Q864" s="37" t="n"/>
      <c r="S864" s="37" t="n"/>
    </row>
    <row r="865" ht="15.75" customHeight="1" s="38">
      <c r="Q865" s="37" t="n"/>
      <c r="S865" s="37" t="n"/>
    </row>
    <row r="866" ht="15.75" customHeight="1" s="38">
      <c r="Q866" s="37" t="n"/>
      <c r="S866" s="37" t="n"/>
    </row>
    <row r="867" ht="15.75" customHeight="1" s="38">
      <c r="Q867" s="37" t="n"/>
      <c r="S867" s="37" t="n"/>
    </row>
    <row r="868" ht="15.75" customHeight="1" s="38">
      <c r="Q868" s="37" t="n"/>
      <c r="S868" s="37" t="n"/>
    </row>
    <row r="869" ht="15.75" customHeight="1" s="38">
      <c r="Q869" s="37" t="n"/>
      <c r="S869" s="37" t="n"/>
    </row>
    <row r="870" ht="15.75" customHeight="1" s="38">
      <c r="Q870" s="37" t="n"/>
      <c r="S870" s="37" t="n"/>
    </row>
    <row r="871" ht="15.75" customHeight="1" s="38">
      <c r="Q871" s="37" t="n"/>
      <c r="S871" s="37" t="n"/>
    </row>
    <row r="872" ht="15.75" customHeight="1" s="38">
      <c r="Q872" s="37" t="n"/>
      <c r="S872" s="37" t="n"/>
    </row>
    <row r="873" ht="15.75" customHeight="1" s="38">
      <c r="Q873" s="37" t="n"/>
      <c r="S873" s="37" t="n"/>
    </row>
    <row r="874" ht="15.75" customHeight="1" s="38">
      <c r="Q874" s="37" t="n"/>
      <c r="S874" s="37" t="n"/>
    </row>
    <row r="875" ht="15.75" customHeight="1" s="38">
      <c r="Q875" s="37" t="n"/>
      <c r="S875" s="37" t="n"/>
    </row>
    <row r="876" ht="15.75" customHeight="1" s="38">
      <c r="Q876" s="37" t="n"/>
      <c r="S876" s="37" t="n"/>
    </row>
    <row r="877" ht="15.75" customHeight="1" s="38">
      <c r="Q877" s="37" t="n"/>
      <c r="S877" s="37" t="n"/>
    </row>
    <row r="878" ht="15.75" customHeight="1" s="38">
      <c r="Q878" s="37" t="n"/>
      <c r="S878" s="37" t="n"/>
    </row>
    <row r="879" ht="15.75" customHeight="1" s="38">
      <c r="Q879" s="37" t="n"/>
      <c r="S879" s="37" t="n"/>
    </row>
    <row r="880" ht="15.75" customHeight="1" s="38">
      <c r="Q880" s="37" t="n"/>
      <c r="S880" s="37" t="n"/>
    </row>
    <row r="881" ht="15.75" customHeight="1" s="38">
      <c r="Q881" s="37" t="n"/>
      <c r="S881" s="37" t="n"/>
    </row>
    <row r="882" ht="15.75" customHeight="1" s="38">
      <c r="Q882" s="37" t="n"/>
      <c r="S882" s="37" t="n"/>
    </row>
    <row r="883" ht="15.75" customHeight="1" s="38">
      <c r="Q883" s="37" t="n"/>
      <c r="S883" s="37" t="n"/>
    </row>
    <row r="884" ht="15.75" customHeight="1" s="38">
      <c r="Q884" s="37" t="n"/>
      <c r="S884" s="37" t="n"/>
    </row>
    <row r="885" ht="15.75" customHeight="1" s="38">
      <c r="Q885" s="37" t="n"/>
      <c r="S885" s="37" t="n"/>
    </row>
    <row r="886" ht="15.75" customHeight="1" s="38">
      <c r="Q886" s="37" t="n"/>
      <c r="S886" s="37" t="n"/>
    </row>
    <row r="887" ht="15.75" customHeight="1" s="38">
      <c r="Q887" s="37" t="n"/>
      <c r="S887" s="37" t="n"/>
    </row>
    <row r="888" ht="15.75" customHeight="1" s="38">
      <c r="Q888" s="37" t="n"/>
      <c r="S888" s="37" t="n"/>
    </row>
    <row r="889" ht="15.75" customHeight="1" s="38">
      <c r="Q889" s="37" t="n"/>
      <c r="S889" s="37" t="n"/>
    </row>
    <row r="890" ht="15.75" customHeight="1" s="38">
      <c r="Q890" s="37" t="n"/>
      <c r="S890" s="37" t="n"/>
    </row>
    <row r="891" ht="15.75" customHeight="1" s="38">
      <c r="Q891" s="37" t="n"/>
      <c r="S891" s="37" t="n"/>
    </row>
    <row r="892" ht="15.75" customHeight="1" s="38">
      <c r="Q892" s="37" t="n"/>
      <c r="S892" s="37" t="n"/>
    </row>
    <row r="893" ht="15.75" customHeight="1" s="38">
      <c r="Q893" s="37" t="n"/>
      <c r="S893" s="37" t="n"/>
    </row>
    <row r="894" ht="15.75" customHeight="1" s="38">
      <c r="Q894" s="37" t="n"/>
      <c r="S894" s="37" t="n"/>
    </row>
    <row r="895" ht="15.75" customHeight="1" s="38">
      <c r="Q895" s="37" t="n"/>
      <c r="S895" s="37" t="n"/>
    </row>
    <row r="896" ht="15.75" customHeight="1" s="38">
      <c r="Q896" s="37" t="n"/>
      <c r="S896" s="37" t="n"/>
    </row>
    <row r="897" ht="15.75" customHeight="1" s="38">
      <c r="Q897" s="37" t="n"/>
      <c r="S897" s="37" t="n"/>
    </row>
    <row r="898" ht="15.75" customHeight="1" s="38">
      <c r="Q898" s="37" t="n"/>
      <c r="S898" s="37" t="n"/>
    </row>
    <row r="899" ht="15.75" customHeight="1" s="38">
      <c r="Q899" s="37" t="n"/>
      <c r="S899" s="37" t="n"/>
    </row>
    <row r="900" ht="15.75" customHeight="1" s="38">
      <c r="Q900" s="37" t="n"/>
      <c r="S900" s="37" t="n"/>
    </row>
    <row r="901" ht="15.75" customHeight="1" s="38">
      <c r="Q901" s="37" t="n"/>
      <c r="S901" s="37" t="n"/>
    </row>
    <row r="902" ht="15.75" customHeight="1" s="38">
      <c r="Q902" s="37" t="n"/>
      <c r="S902" s="37" t="n"/>
    </row>
    <row r="903" ht="15.75" customHeight="1" s="38">
      <c r="Q903" s="37" t="n"/>
      <c r="S903" s="37" t="n"/>
    </row>
    <row r="904" ht="15.75" customHeight="1" s="38">
      <c r="Q904" s="37" t="n"/>
      <c r="S904" s="37" t="n"/>
    </row>
    <row r="905" ht="15.75" customHeight="1" s="38">
      <c r="Q905" s="37" t="n"/>
      <c r="S905" s="37" t="n"/>
    </row>
    <row r="906" ht="15.75" customHeight="1" s="38">
      <c r="Q906" s="37" t="n"/>
      <c r="S906" s="37" t="n"/>
    </row>
    <row r="907" ht="15.75" customHeight="1" s="38">
      <c r="Q907" s="37" t="n"/>
      <c r="S907" s="37" t="n"/>
    </row>
    <row r="908" ht="15.75" customHeight="1" s="38">
      <c r="Q908" s="37" t="n"/>
      <c r="S908" s="37" t="n"/>
    </row>
    <row r="909" ht="15.75" customHeight="1" s="38">
      <c r="Q909" s="37" t="n"/>
      <c r="S909" s="37" t="n"/>
    </row>
    <row r="910" ht="15.75" customHeight="1" s="38">
      <c r="Q910" s="37" t="n"/>
      <c r="S910" s="37" t="n"/>
    </row>
    <row r="911" ht="15.75" customHeight="1" s="38">
      <c r="Q911" s="37" t="n"/>
      <c r="S911" s="37" t="n"/>
    </row>
    <row r="912" ht="15.75" customHeight="1" s="38">
      <c r="Q912" s="37" t="n"/>
      <c r="S912" s="37" t="n"/>
    </row>
    <row r="913" ht="15.75" customHeight="1" s="38">
      <c r="Q913" s="37" t="n"/>
      <c r="S913" s="37" t="n"/>
    </row>
    <row r="914" ht="15.75" customHeight="1" s="38">
      <c r="Q914" s="37" t="n"/>
      <c r="S914" s="37" t="n"/>
    </row>
    <row r="915" ht="15.75" customHeight="1" s="38">
      <c r="Q915" s="37" t="n"/>
      <c r="S915" s="37" t="n"/>
    </row>
    <row r="916" ht="15.75" customHeight="1" s="38">
      <c r="Q916" s="37" t="n"/>
      <c r="S916" s="37" t="n"/>
    </row>
    <row r="917" ht="15.75" customHeight="1" s="38">
      <c r="Q917" s="37" t="n"/>
      <c r="S917" s="37" t="n"/>
    </row>
    <row r="918" ht="15.75" customHeight="1" s="38">
      <c r="Q918" s="37" t="n"/>
      <c r="S918" s="37" t="n"/>
    </row>
    <row r="919" ht="15.75" customHeight="1" s="38">
      <c r="Q919" s="37" t="n"/>
      <c r="S919" s="37" t="n"/>
    </row>
    <row r="920" ht="15.75" customHeight="1" s="38">
      <c r="Q920" s="37" t="n"/>
      <c r="S920" s="37" t="n"/>
    </row>
    <row r="921" ht="15.75" customHeight="1" s="38">
      <c r="Q921" s="37" t="n"/>
      <c r="S921" s="37" t="n"/>
    </row>
    <row r="922" ht="15.75" customHeight="1" s="38">
      <c r="Q922" s="37" t="n"/>
      <c r="S922" s="37" t="n"/>
    </row>
    <row r="923" ht="15.75" customHeight="1" s="38">
      <c r="Q923" s="37" t="n"/>
      <c r="S923" s="37" t="n"/>
    </row>
    <row r="924" ht="15.75" customHeight="1" s="38">
      <c r="Q924" s="37" t="n"/>
      <c r="S924" s="37" t="n"/>
    </row>
    <row r="925" ht="15.75" customHeight="1" s="38">
      <c r="Q925" s="37" t="n"/>
      <c r="S925" s="37" t="n"/>
    </row>
    <row r="926" ht="15.75" customHeight="1" s="38">
      <c r="Q926" s="37" t="n"/>
      <c r="S926" s="37" t="n"/>
    </row>
    <row r="927" ht="15.75" customHeight="1" s="38">
      <c r="Q927" s="37" t="n"/>
      <c r="S927" s="37" t="n"/>
    </row>
    <row r="928" ht="15.75" customHeight="1" s="38">
      <c r="Q928" s="37" t="n"/>
      <c r="S928" s="37" t="n"/>
    </row>
    <row r="929" ht="15.75" customHeight="1" s="38">
      <c r="Q929" s="37" t="n"/>
      <c r="S929" s="37" t="n"/>
    </row>
    <row r="930" ht="15.75" customHeight="1" s="38">
      <c r="Q930" s="37" t="n"/>
      <c r="S930" s="37" t="n"/>
    </row>
    <row r="931" ht="15.75" customHeight="1" s="38">
      <c r="Q931" s="37" t="n"/>
      <c r="S931" s="37" t="n"/>
    </row>
    <row r="932" ht="15.75" customHeight="1" s="38">
      <c r="Q932" s="37" t="n"/>
      <c r="S932" s="37" t="n"/>
    </row>
    <row r="933" ht="15.75" customHeight="1" s="38">
      <c r="Q933" s="37" t="n"/>
      <c r="S933" s="37" t="n"/>
    </row>
    <row r="934" ht="15.75" customHeight="1" s="38">
      <c r="Q934" s="37" t="n"/>
      <c r="S934" s="37" t="n"/>
    </row>
    <row r="935" ht="15.75" customHeight="1" s="38">
      <c r="Q935" s="37" t="n"/>
      <c r="S935" s="37" t="n"/>
    </row>
    <row r="936" ht="15.75" customHeight="1" s="38">
      <c r="Q936" s="37" t="n"/>
      <c r="S936" s="37" t="n"/>
    </row>
    <row r="937" ht="15.75" customHeight="1" s="38">
      <c r="Q937" s="37" t="n"/>
      <c r="S937" s="37" t="n"/>
    </row>
    <row r="938" ht="15.75" customHeight="1" s="38">
      <c r="Q938" s="37" t="n"/>
      <c r="S938" s="37" t="n"/>
    </row>
    <row r="939" ht="15.75" customHeight="1" s="38">
      <c r="Q939" s="37" t="n"/>
      <c r="S939" s="37" t="n"/>
    </row>
    <row r="940" ht="15.75" customHeight="1" s="38">
      <c r="Q940" s="37" t="n"/>
      <c r="S940" s="37" t="n"/>
    </row>
    <row r="941" ht="15.75" customHeight="1" s="38">
      <c r="Q941" s="37" t="n"/>
      <c r="S941" s="37" t="n"/>
    </row>
    <row r="942" ht="15.75" customHeight="1" s="38">
      <c r="Q942" s="37" t="n"/>
      <c r="S942" s="37" t="n"/>
    </row>
    <row r="943" ht="15.75" customHeight="1" s="38">
      <c r="Q943" s="37" t="n"/>
      <c r="S943" s="37" t="n"/>
    </row>
    <row r="944" ht="15.75" customHeight="1" s="38">
      <c r="Q944" s="37" t="n"/>
      <c r="S944" s="37" t="n"/>
    </row>
    <row r="945" ht="15.75" customHeight="1" s="38">
      <c r="Q945" s="37" t="n"/>
      <c r="S945" s="37" t="n"/>
    </row>
    <row r="946" ht="15.75" customHeight="1" s="38">
      <c r="Q946" s="37" t="n"/>
      <c r="S946" s="37" t="n"/>
    </row>
    <row r="947" ht="15.75" customHeight="1" s="38">
      <c r="Q947" s="37" t="n"/>
      <c r="S947" s="37" t="n"/>
    </row>
    <row r="948" ht="15.75" customHeight="1" s="38">
      <c r="Q948" s="37" t="n"/>
      <c r="S948" s="37" t="n"/>
    </row>
    <row r="949" ht="15.75" customHeight="1" s="38">
      <c r="Q949" s="37" t="n"/>
      <c r="S949" s="37" t="n"/>
    </row>
    <row r="950" ht="15.75" customHeight="1" s="38">
      <c r="Q950" s="37" t="n"/>
      <c r="S950" s="37" t="n"/>
    </row>
    <row r="951" ht="15.75" customHeight="1" s="38">
      <c r="Q951" s="37" t="n"/>
      <c r="S951" s="37" t="n"/>
    </row>
    <row r="952" ht="15.75" customHeight="1" s="38">
      <c r="Q952" s="37" t="n"/>
      <c r="S952" s="37" t="n"/>
    </row>
    <row r="953" ht="15.75" customHeight="1" s="38">
      <c r="Q953" s="37" t="n"/>
      <c r="S953" s="37" t="n"/>
    </row>
    <row r="954" ht="15.75" customHeight="1" s="38">
      <c r="Q954" s="37" t="n"/>
      <c r="S954" s="37" t="n"/>
    </row>
    <row r="955" ht="15.75" customHeight="1" s="38">
      <c r="Q955" s="37" t="n"/>
      <c r="S955" s="37" t="n"/>
    </row>
    <row r="956" ht="15.75" customHeight="1" s="38">
      <c r="Q956" s="37" t="n"/>
      <c r="S956" s="37" t="n"/>
    </row>
    <row r="957" ht="15.75" customHeight="1" s="38">
      <c r="Q957" s="37" t="n"/>
      <c r="S957" s="37" t="n"/>
    </row>
    <row r="958" ht="15.75" customHeight="1" s="38">
      <c r="Q958" s="37" t="n"/>
      <c r="S958" s="37" t="n"/>
    </row>
    <row r="959" ht="15.75" customHeight="1" s="38">
      <c r="Q959" s="37" t="n"/>
      <c r="S959" s="37" t="n"/>
    </row>
    <row r="960" ht="15.75" customHeight="1" s="38">
      <c r="Q960" s="37" t="n"/>
      <c r="S960" s="37" t="n"/>
    </row>
    <row r="961" ht="15.75" customHeight="1" s="38">
      <c r="Q961" s="37" t="n"/>
      <c r="S961" s="37" t="n"/>
    </row>
    <row r="962" ht="15.75" customHeight="1" s="38">
      <c r="Q962" s="37" t="n"/>
      <c r="S962" s="37" t="n"/>
    </row>
    <row r="963" ht="15.75" customHeight="1" s="38">
      <c r="Q963" s="37" t="n"/>
      <c r="S963" s="37" t="n"/>
    </row>
    <row r="964" ht="15.75" customHeight="1" s="38">
      <c r="Q964" s="37" t="n"/>
      <c r="S964" s="37" t="n"/>
    </row>
    <row r="965" ht="15.75" customHeight="1" s="38">
      <c r="Q965" s="37" t="n"/>
      <c r="S965" s="37" t="n"/>
    </row>
    <row r="966" ht="15.75" customHeight="1" s="38">
      <c r="Q966" s="37" t="n"/>
      <c r="S966" s="37" t="n"/>
    </row>
    <row r="967" ht="15.75" customHeight="1" s="38">
      <c r="Q967" s="37" t="n"/>
      <c r="S967" s="37" t="n"/>
    </row>
    <row r="968" ht="15.75" customHeight="1" s="38">
      <c r="Q968" s="37" t="n"/>
      <c r="S968" s="37" t="n"/>
    </row>
    <row r="969" ht="15.75" customHeight="1" s="38">
      <c r="Q969" s="37" t="n"/>
      <c r="S969" s="37" t="n"/>
    </row>
    <row r="970" ht="15.75" customHeight="1" s="38">
      <c r="Q970" s="37" t="n"/>
      <c r="S970" s="37" t="n"/>
    </row>
    <row r="971" ht="15.75" customHeight="1" s="38">
      <c r="Q971" s="37" t="n"/>
      <c r="S971" s="37" t="n"/>
    </row>
    <row r="972" ht="15.75" customHeight="1" s="38">
      <c r="Q972" s="37" t="n"/>
      <c r="S972" s="37" t="n"/>
    </row>
    <row r="973" ht="15.75" customHeight="1" s="38">
      <c r="Q973" s="37" t="n"/>
      <c r="S973" s="37" t="n"/>
    </row>
    <row r="974" ht="15.75" customHeight="1" s="38">
      <c r="Q974" s="37" t="n"/>
      <c r="S974" s="37" t="n"/>
    </row>
    <row r="975" ht="15.75" customHeight="1" s="38">
      <c r="Q975" s="37" t="n"/>
      <c r="S975" s="37" t="n"/>
    </row>
    <row r="976" ht="15.75" customHeight="1" s="38">
      <c r="Q976" s="37" t="n"/>
      <c r="S976" s="37" t="n"/>
    </row>
    <row r="977" ht="15.75" customHeight="1" s="38">
      <c r="Q977" s="37" t="n"/>
      <c r="S977" s="37" t="n"/>
    </row>
    <row r="978" ht="15.75" customHeight="1" s="38">
      <c r="Q978" s="37" t="n"/>
      <c r="S978" s="37" t="n"/>
    </row>
    <row r="979" ht="15.75" customHeight="1" s="38">
      <c r="Q979" s="37" t="n"/>
      <c r="S979" s="37" t="n"/>
    </row>
    <row r="980" ht="15.75" customHeight="1" s="38">
      <c r="Q980" s="37" t="n"/>
      <c r="S980" s="37" t="n"/>
    </row>
    <row r="981" ht="15.75" customHeight="1" s="38">
      <c r="Q981" s="37" t="n"/>
      <c r="S981" s="37" t="n"/>
    </row>
    <row r="982" ht="15.75" customHeight="1" s="38">
      <c r="Q982" s="37" t="n"/>
      <c r="S982" s="37" t="n"/>
    </row>
    <row r="983" ht="15.75" customHeight="1" s="38">
      <c r="Q983" s="37" t="n"/>
      <c r="S983" s="37" t="n"/>
    </row>
    <row r="984" ht="15.75" customHeight="1" s="38">
      <c r="Q984" s="37" t="n"/>
      <c r="S984" s="37" t="n"/>
    </row>
    <row r="985" ht="15.75" customHeight="1" s="38">
      <c r="Q985" s="37" t="n"/>
      <c r="S985" s="37" t="n"/>
    </row>
    <row r="986" ht="15.75" customHeight="1" s="38">
      <c r="Q986" s="37" t="n"/>
      <c r="S986" s="37" t="n"/>
    </row>
    <row r="987" ht="15.75" customHeight="1" s="38">
      <c r="Q987" s="37" t="n"/>
      <c r="S987" s="37" t="n"/>
    </row>
    <row r="988" ht="15.75" customHeight="1" s="38">
      <c r="Q988" s="37" t="n"/>
      <c r="S988" s="37" t="n"/>
    </row>
    <row r="989" ht="15.75" customHeight="1" s="38">
      <c r="Q989" s="37" t="n"/>
      <c r="S989" s="37" t="n"/>
    </row>
    <row r="990" ht="15.75" customHeight="1" s="38">
      <c r="Q990" s="37" t="n"/>
      <c r="S990" s="37" t="n"/>
    </row>
    <row r="991" ht="15.75" customHeight="1" s="38">
      <c r="Q991" s="37" t="n"/>
      <c r="S991" s="37" t="n"/>
    </row>
    <row r="992" ht="15.75" customHeight="1" s="38">
      <c r="Q992" s="37" t="n"/>
      <c r="S992" s="37" t="n"/>
    </row>
    <row r="993" ht="15.75" customHeight="1" s="38">
      <c r="Q993" s="37" t="n"/>
      <c r="S993" s="37" t="n"/>
    </row>
    <row r="994" ht="15.75" customHeight="1" s="38">
      <c r="Q994" s="37" t="n"/>
      <c r="S994" s="37" t="n"/>
    </row>
    <row r="995" ht="15.75" customHeight="1" s="38">
      <c r="Q995" s="37" t="n"/>
      <c r="S995" s="37" t="n"/>
    </row>
    <row r="996" ht="15.75" customHeight="1" s="38">
      <c r="Q996" s="37" t="n"/>
      <c r="S996" s="37" t="n"/>
    </row>
    <row r="997" ht="15.75" customHeight="1" s="38">
      <c r="Q997" s="37" t="n"/>
      <c r="S997" s="37" t="n"/>
    </row>
    <row r="998" ht="15.75" customHeight="1" s="38">
      <c r="Q998" s="37" t="n"/>
      <c r="S998" s="37" t="n"/>
    </row>
    <row r="999" ht="15.75" customHeight="1" s="38">
      <c r="Q999" s="37" t="n"/>
      <c r="S999" s="37" t="n"/>
    </row>
    <row r="1000" ht="15.75" customHeight="1" s="38">
      <c r="Q1000" s="37" t="n"/>
      <c r="S1000" s="37" t="n"/>
    </row>
  </sheetData>
  <dataValidations count="4">
    <dataValidation sqref="S2:S1000" showDropDown="0" showInputMessage="0" showErrorMessage="0" allowBlank="1" type="list" errorStyle="stop" operator="between">
      <formula1>"Alta,Media,Baja"</formula1>
      <formula2>0</formula2>
    </dataValidation>
    <dataValidation sqref="M2:M233" showDropDown="0" showInputMessage="0" showErrorMessage="0" allowBlank="1" type="list" errorStyle="stop" operator="between">
      <formula1>"Contactada,No Contactada"</formula1>
      <formula2>0</formula2>
    </dataValidation>
    <dataValidation sqref="N2:N233" showDropDown="0" showInputMessage="0" showErrorMessage="0" allowBlank="1" type="list" errorStyle="stop" operator="between">
      <formula1>"Reunión agendada,No Reunión,No le interesó,Lo verá,Me llamará,Otro"</formula1>
      <formula2>0</formula2>
    </dataValidation>
    <dataValidation sqref="Q2:Q1000" showDropDown="0" showInputMessage="0" showErrorMessage="0" allowBlank="1" type="list" errorStyle="stop" operator="between">
      <formula1>"LinkedIn,Correo,Teléfono,Contacto Directo"</formula1>
      <formula2>0</formula2>
    </dataValidation>
  </dataValidations>
  <hyperlinks>
    <hyperlink xmlns:r="http://schemas.openxmlformats.org/officeDocument/2006/relationships" ref="I2" display="https://cl.linkedin.com/in/hector-calderon-gonzalez-3439a358" r:id="rId1"/>
    <hyperlink xmlns:r="http://schemas.openxmlformats.org/officeDocument/2006/relationships" ref="J2" display="https://cl.linkedin.com/company/a-hartrodt-chile" r:id="rId2"/>
    <hyperlink xmlns:r="http://schemas.openxmlformats.org/officeDocument/2006/relationships" ref="J3" display="https://cl.linkedin.com/company/broom-group" r:id="rId3"/>
    <hyperlink xmlns:r="http://schemas.openxmlformats.org/officeDocument/2006/relationships" ref="J4" display="https://cl.linkedin.com/company/abarriendos" r:id="rId4"/>
    <hyperlink xmlns:r="http://schemas.openxmlformats.org/officeDocument/2006/relationships" ref="J5" display="https://cl.linkedin.com/company/aceros-chilca-mepsa" r:id="rId5"/>
    <hyperlink xmlns:r="http://schemas.openxmlformats.org/officeDocument/2006/relationships" ref="J6" display="https://cl.linkedin.com/company/acetogen" r:id="rId6"/>
    <hyperlink xmlns:r="http://schemas.openxmlformats.org/officeDocument/2006/relationships" ref="I7" display="https://cl.linkedin.com/in/sabin-capetillo-83376711a" r:id="rId7"/>
    <hyperlink xmlns:r="http://schemas.openxmlformats.org/officeDocument/2006/relationships" ref="J7" display="https://cl.linkedin.com/company/adler-steel-chile" r:id="rId8"/>
    <hyperlink xmlns:r="http://schemas.openxmlformats.org/officeDocument/2006/relationships" ref="I8" display="https://cl.linkedin.com/in/david-acevedo-olgu%C3%ADn-01586b56" r:id="rId9"/>
    <hyperlink xmlns:r="http://schemas.openxmlformats.org/officeDocument/2006/relationships" ref="J8" display="https://cl.linkedin.com/company/grupo-dap" r:id="rId10"/>
    <hyperlink xmlns:r="http://schemas.openxmlformats.org/officeDocument/2006/relationships" ref="I9" display="https://cl.linkedin.com/in/javier-arellano-28087313" r:id="rId11"/>
    <hyperlink xmlns:r="http://schemas.openxmlformats.org/officeDocument/2006/relationships" ref="J9" display="https://cl.linkedin.com/company/aerocardal" r:id="rId12"/>
    <hyperlink xmlns:r="http://schemas.openxmlformats.org/officeDocument/2006/relationships" ref="I10" display="https://cl.linkedin.com/in/richard-correa-escudero-6820b484" r:id="rId13"/>
    <hyperlink xmlns:r="http://schemas.openxmlformats.org/officeDocument/2006/relationships" ref="J10" display="Aguasin | LinkedIn" r:id="rId14"/>
    <hyperlink xmlns:r="http://schemas.openxmlformats.org/officeDocument/2006/relationships" ref="I11" display="https://cl.linkedin.com/in/carlos-ram%C3%ADrez-c%C3%A1rdenas-tecnolog%C3%ADa" r:id="rId15"/>
    <hyperlink xmlns:r="http://schemas.openxmlformats.org/officeDocument/2006/relationships" ref="J11" display="https://cl.linkedin.com/company/agunsa" r:id="rId16"/>
    <hyperlink xmlns:r="http://schemas.openxmlformats.org/officeDocument/2006/relationships" ref="I12" display="https://cl.linkedin.com/in/francisco-fern%C3%A1ndez-mancilla" r:id="rId17"/>
    <hyperlink xmlns:r="http://schemas.openxmlformats.org/officeDocument/2006/relationships" ref="J12" display="https://cl.linkedin.com/company/alessandri" r:id="rId18"/>
    <hyperlink xmlns:r="http://schemas.openxmlformats.org/officeDocument/2006/relationships" ref="J13" display="https://www.linkedin.com/company/alfapeople" r:id="rId19"/>
    <hyperlink xmlns:r="http://schemas.openxmlformats.org/officeDocument/2006/relationships" ref="J14" display="https://www.linkedin.com/company/aliservice-s-a" r:id="rId20"/>
    <hyperlink xmlns:r="http://schemas.openxmlformats.org/officeDocument/2006/relationships" ref="J15" display="https://cl.linkedin.com/company/american-parts-spa" r:id="rId21"/>
    <hyperlink xmlns:r="http://schemas.openxmlformats.org/officeDocument/2006/relationships" ref="I16" display="https://cl.linkedin.com/in/michael-salameh-148509ab" r:id="rId22"/>
    <hyperlink xmlns:r="http://schemas.openxmlformats.org/officeDocument/2006/relationships" ref="J16" display="https://www.linkedin.com/company/anakena-chile" r:id="rId23"/>
    <hyperlink xmlns:r="http://schemas.openxmlformats.org/officeDocument/2006/relationships" ref="I17" display="https://cl.linkedin.com/in/francoyanez" r:id="rId24"/>
    <hyperlink xmlns:r="http://schemas.openxmlformats.org/officeDocument/2006/relationships" ref="J17" display="https://cl.linkedin.com/company/ancor-tecmin" r:id="rId25"/>
    <hyperlink xmlns:r="http://schemas.openxmlformats.org/officeDocument/2006/relationships" ref="J18" display="https://www.linkedin.com/company/andessolar" r:id="rId26"/>
    <hyperlink xmlns:r="http://schemas.openxmlformats.org/officeDocument/2006/relationships" ref="I19" display="https://cl.linkedin.com/in/rodrigo-subiabre-84130844" r:id="rId27"/>
    <hyperlink xmlns:r="http://schemas.openxmlformats.org/officeDocument/2006/relationships" ref="J19" display="https://www.linkedin.com/company/anglo-american" r:id="rId28"/>
    <hyperlink xmlns:r="http://schemas.openxmlformats.org/officeDocument/2006/relationships" ref="I20" display="https://cl.linkedin.com/in/mayron-araya-30a828b1" r:id="rId29"/>
    <hyperlink xmlns:r="http://schemas.openxmlformats.org/officeDocument/2006/relationships" ref="J20" display="https://www.linkedin.com/company/artilec-ltda" r:id="rId30"/>
    <hyperlink xmlns:r="http://schemas.openxmlformats.org/officeDocument/2006/relationships" ref="I21" display="https://cl.linkedin.com/in/aldo-veas-2850534" r:id="rId31"/>
    <hyperlink xmlns:r="http://schemas.openxmlformats.org/officeDocument/2006/relationships" ref="J21" display="https://www.linkedin.com/company/at-pac" r:id="rId32"/>
  </hyperlink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T100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customHeight="1" zeroHeight="0" outlineLevelRow="0"/>
  <cols>
    <col width="50" customWidth="1" style="37" min="1" max="2"/>
    <col width="14" customWidth="1" style="37" min="3" max="3"/>
    <col width="50" customWidth="1" style="37" min="4" max="4"/>
    <col width="36" customWidth="1" style="37" min="5" max="5"/>
    <col width="50" customWidth="1" style="37" min="6" max="7"/>
    <col width="44" customWidth="1" style="37" min="8" max="8"/>
    <col width="18" customWidth="1" style="37" min="9" max="9"/>
    <col width="39" customWidth="1" style="37" min="10" max="10"/>
    <col width="14" customWidth="1" style="37" min="11" max="11"/>
    <col width="50" customWidth="1" style="37" min="12" max="12"/>
    <col width="35" customWidth="1" style="37" min="13" max="13"/>
    <col width="20" customWidth="1" style="37" min="14" max="14"/>
    <col width="25" customWidth="1" style="37" min="15" max="15"/>
    <col width="15" customWidth="1" style="37" min="16" max="16"/>
    <col width="40" customWidth="1" style="37" min="17" max="17"/>
    <col width="20" customWidth="1" style="37" min="18" max="19"/>
    <col width="14" customWidth="1" style="37" min="20" max="20"/>
  </cols>
  <sheetData>
    <row r="1" ht="15" customHeight="1" s="38">
      <c r="A1" s="58" t="inlineStr">
        <is>
          <t>Empresa</t>
        </is>
      </c>
      <c r="B1" s="58" t="inlineStr">
        <is>
          <t>Rubro</t>
        </is>
      </c>
      <c r="C1" s="58" t="inlineStr">
        <is>
          <t>Ciudad</t>
        </is>
      </c>
      <c r="D1" s="58" t="inlineStr">
        <is>
          <t>Proyecto / Oportunidad Detectada</t>
        </is>
      </c>
      <c r="E1" s="58" t="inlineStr">
        <is>
          <t>Fuente de Información</t>
        </is>
      </c>
      <c r="F1" s="58" t="inlineStr">
        <is>
          <t>Enlace a la Fuente</t>
        </is>
      </c>
      <c r="G1" s="58" t="inlineStr">
        <is>
          <t>Contacto Sniper</t>
        </is>
      </c>
      <c r="H1" s="58" t="inlineStr">
        <is>
          <t>Email de Contacto</t>
        </is>
      </c>
      <c r="I1" s="58" t="inlineStr">
        <is>
          <t>Teléfono</t>
        </is>
      </c>
      <c r="J1" s="58" t="inlineStr">
        <is>
          <t>Sitio Web</t>
        </is>
      </c>
      <c r="K1" s="58" t="inlineStr">
        <is>
          <t>RUT</t>
        </is>
      </c>
      <c r="L1" s="58" t="inlineStr">
        <is>
          <t>Contexto Empresa</t>
        </is>
      </c>
      <c r="M1" s="58" t="inlineStr">
        <is>
          <t>Categoría Venta</t>
        </is>
      </c>
      <c r="N1" s="58" t="inlineStr">
        <is>
          <t>Estado Contacto</t>
        </is>
      </c>
      <c r="O1" s="58" t="inlineStr">
        <is>
          <t>Sub-Estado</t>
        </is>
      </c>
      <c r="P1" s="58" t="inlineStr">
        <is>
          <t>Fecha Contacto</t>
        </is>
      </c>
      <c r="Q1" s="58" t="inlineStr">
        <is>
          <t>Notas CRM</t>
        </is>
      </c>
      <c r="R1" s="58" t="inlineStr">
        <is>
          <t>Medio de Contacto</t>
        </is>
      </c>
      <c r="S1" s="58" t="inlineStr">
        <is>
          <t>Próximo Seguimiento</t>
        </is>
      </c>
      <c r="T1" s="58" t="inlineStr">
        <is>
          <t>Prioridad</t>
        </is>
      </c>
    </row>
    <row r="2" ht="15" customHeight="1" s="38">
      <c r="A2" s="59" t="inlineStr">
        <is>
          <t>A. Hartrodt Chile S.A.</t>
        </is>
      </c>
      <c r="B2" s="59" t="inlineStr">
        <is>
          <t>Transporte Aéreo, Transporte Marítimo, Transporte Terrestre</t>
        </is>
      </c>
      <c r="C2" s="59" t="inlineStr">
        <is>
          <t>Santiago</t>
        </is>
      </c>
      <c r="D2" s="59" t="inlineStr">
        <is>
          <t>Investigación en Proceso</t>
        </is>
      </c>
      <c r="E2" s="59" t="n"/>
      <c r="F2" s="59" t="n"/>
      <c r="G2" s="59" t="inlineStr">
        <is>
          <t>Hector Calderon (Jefe Informática)</t>
        </is>
      </c>
      <c r="H2" s="59" t="inlineStr">
        <is>
          <t>hcalderon@hartrodt.cl</t>
        </is>
      </c>
      <c r="I2" s="59" t="inlineStr">
        <is>
          <t>(56) 2 2483 7000</t>
        </is>
      </c>
      <c r="J2" s="59" t="n"/>
      <c r="K2" s="59" t="inlineStr">
        <is>
          <t>84.007.300-9</t>
        </is>
      </c>
      <c r="L2" s="59" t="inlineStr">
        <is>
          <t>Ventas: GRANDE 3 (600.000 - 1.000.000 UF) | Empleados: 34</t>
        </is>
      </c>
      <c r="M2" s="59" t="inlineStr">
        <is>
          <t>Tier 1 - OPORTUNIDAD ACTIVA (VIP)</t>
        </is>
      </c>
      <c r="N2" s="61" t="n"/>
      <c r="O2" s="61" t="n"/>
      <c r="P2" s="61" t="n"/>
      <c r="Q2" s="61" t="n"/>
      <c r="R2" s="61" t="n"/>
      <c r="S2" s="62" t="n"/>
      <c r="T2" s="61" t="n"/>
    </row>
    <row r="3" ht="15" customHeight="1" s="38">
      <c r="A3" s="59" t="inlineStr">
        <is>
          <t>A.J. Broom y Cía. S.A.C.</t>
        </is>
      </c>
      <c r="B3" s="59" t="inlineStr">
        <is>
          <t>Agencias Marítimas</t>
        </is>
      </c>
      <c r="C3" s="59" t="inlineStr">
        <is>
          <t>Santiago</t>
        </is>
      </c>
      <c r="D3" s="59" t="inlineStr">
        <is>
          <t>Plataforma Tracking Marítimo Real-Time</t>
        </is>
      </c>
      <c r="E3" s="59" t="n"/>
      <c r="F3" s="59" t="inlineStr">
        <is>
          <t>https://www.ajbroom.cl/</t>
        </is>
      </c>
      <c r="G3" s="59" t="inlineStr">
        <is>
          <t>Ricardo Lira (Gerente Operaciones)</t>
        </is>
      </c>
      <c r="H3" s="59" t="n"/>
      <c r="I3" s="59" t="inlineStr">
        <is>
          <t>(56) 2 2549 8400</t>
        </is>
      </c>
      <c r="J3" s="59" t="n"/>
      <c r="K3" s="59" t="inlineStr">
        <is>
          <t>91.256.000-7</t>
        </is>
      </c>
      <c r="L3" s="59" t="inlineStr">
        <is>
          <t>Ventas: GRANDE 2 (200.000 - 600.000 UF) | Empleados: 33</t>
        </is>
      </c>
      <c r="M3" s="59" t="inlineStr">
        <is>
          <t>Tier 1 - OPORTUNIDAD ACTIVA (VIP)</t>
        </is>
      </c>
      <c r="N3" s="61" t="n"/>
      <c r="O3" s="61" t="n"/>
      <c r="P3" s="61" t="n"/>
      <c r="Q3" s="61" t="n"/>
      <c r="R3" s="61" t="n"/>
      <c r="S3" s="62" t="n"/>
      <c r="T3" s="61" t="n"/>
    </row>
    <row r="4" ht="15" customHeight="1" s="38">
      <c r="A4" s="59" t="inlineStr">
        <is>
          <t>AB Arriendos S.A.</t>
        </is>
      </c>
      <c r="B4" s="59" t="inlineStr">
        <is>
          <t>Arriendo de Equipos para Soldar, Compresores</t>
        </is>
      </c>
      <c r="C4" s="59" t="inlineStr">
        <is>
          <t>Santiago</t>
        </is>
      </c>
      <c r="D4" s="59" t="inlineStr">
        <is>
          <t>Expansión Arriendo Maquinaria Norte</t>
        </is>
      </c>
      <c r="E4" s="59" t="n"/>
      <c r="F4" s="59" t="inlineStr">
        <is>
          <t>https://www.abarriendos.cl/</t>
        </is>
      </c>
      <c r="G4" s="59" t="inlineStr">
        <is>
          <t>Roberto Carlos Bailac (Exec. Director)</t>
        </is>
      </c>
      <c r="H4" s="59" t="n"/>
      <c r="I4" s="59" t="inlineStr">
        <is>
          <t>(56) 2 2351 5400</t>
        </is>
      </c>
      <c r="J4" s="59" t="n"/>
      <c r="K4" s="59" t="inlineStr">
        <is>
          <t>96.872.010-4</t>
        </is>
      </c>
      <c r="L4" s="59" t="inlineStr">
        <is>
          <t>Ventas: GRANDE 2 (200.000 - 600.000 UF) | Empleados: 107</t>
        </is>
      </c>
      <c r="M4" s="59" t="inlineStr">
        <is>
          <t>Tier 1 - OPORTUNIDAD ACTIVA (VIP)</t>
        </is>
      </c>
      <c r="N4" s="61" t="n"/>
      <c r="O4" s="61" t="n"/>
      <c r="P4" s="61" t="n"/>
      <c r="Q4" s="61" t="n"/>
      <c r="R4" s="61" t="n"/>
      <c r="S4" s="62" t="n"/>
      <c r="T4" s="61" t="n"/>
    </row>
    <row r="5" ht="15" customHeight="1" s="38">
      <c r="A5" s="66" t="inlineStr">
        <is>
          <t>ASAP Group</t>
        </is>
      </c>
      <c r="B5" s="66" t="inlineStr">
        <is>
          <t>Recuperación de Campamentos Mineros</t>
        </is>
      </c>
      <c r="C5" s="66" t="inlineStr">
        <is>
          <t>Santiago</t>
        </is>
      </c>
      <c r="D5" s="66" t="n"/>
      <c r="E5" s="66" t="n"/>
      <c r="F5" s="66" t="n"/>
      <c r="G5" s="66" t="inlineStr">
        <is>
          <t>Gerente de TI / CIO (Director de Tecnología)</t>
        </is>
      </c>
      <c r="H5" s="66" t="n"/>
      <c r="I5" s="66" t="inlineStr">
        <is>
          <t>(56) 2 2573 0471</t>
        </is>
      </c>
      <c r="J5" s="66" t="n"/>
      <c r="K5" s="66" t="inlineStr">
        <is>
          <t>76.173.088-6</t>
        </is>
      </c>
      <c r="L5" s="66" t="inlineStr">
        <is>
          <t>Ventas: GRANDE 4 (Mas de 1.000.000 UF) | Empleados: 1376</t>
        </is>
      </c>
      <c r="M5" s="66" t="inlineStr">
        <is>
          <t>Tier 1 - VIP (Alta Venta + DM)</t>
        </is>
      </c>
      <c r="N5" s="61" t="n"/>
      <c r="O5" s="61" t="n"/>
      <c r="P5" s="61" t="n"/>
      <c r="Q5" s="61" t="n"/>
      <c r="R5" s="61" t="n"/>
      <c r="S5" s="62" t="n"/>
      <c r="T5" s="61" t="n"/>
    </row>
    <row r="6" ht="15" customHeight="1" s="38">
      <c r="A6" s="66" t="inlineStr">
        <is>
          <t>ATS Maquinarias</t>
        </is>
      </c>
      <c r="B6" s="66" t="inlineStr">
        <is>
          <t>Plataformas Aéreas, Torres de Iluminación</t>
        </is>
      </c>
      <c r="C6" s="66" t="inlineStr">
        <is>
          <t>Santiago</t>
        </is>
      </c>
      <c r="D6" s="66" t="n"/>
      <c r="E6" s="66" t="n"/>
      <c r="F6" s="66" t="n"/>
      <c r="G6" s="66" t="inlineStr">
        <is>
          <t>Gerente de TI / CIO (Director de Tecnología)</t>
        </is>
      </c>
      <c r="H6" s="66" t="n"/>
      <c r="I6" s="66" t="inlineStr">
        <is>
          <t>(56) 9 7754 7967</t>
        </is>
      </c>
      <c r="J6" s="66" t="n"/>
      <c r="K6" s="66" t="inlineStr">
        <is>
          <t>99.555.350-3</t>
        </is>
      </c>
      <c r="L6" s="66" t="inlineStr">
        <is>
          <t>Ventas: GRANDE 3 (600.000 - 1.000.000 UF) | Empleados: 38</t>
        </is>
      </c>
      <c r="M6" s="66" t="inlineStr">
        <is>
          <t>Tier 1 - VIP (Alta Venta + DM)</t>
        </is>
      </c>
      <c r="N6" s="61" t="n"/>
      <c r="O6" s="61" t="n"/>
      <c r="P6" s="61" t="n"/>
      <c r="Q6" s="61" t="n"/>
      <c r="R6" s="61" t="n"/>
      <c r="S6" s="62" t="n"/>
      <c r="T6" s="61" t="n"/>
    </row>
    <row r="7" ht="15" customHeight="1" s="38">
      <c r="A7" s="66" t="inlineStr">
        <is>
          <t>Acciona Energía Chile SpA</t>
        </is>
      </c>
      <c r="B7" s="66" t="inlineStr">
        <is>
          <t>Energías Renovables</t>
        </is>
      </c>
      <c r="C7" s="66" t="inlineStr">
        <is>
          <t>Santiago</t>
        </is>
      </c>
      <c r="D7" s="66" t="n"/>
      <c r="E7" s="66" t="n"/>
      <c r="F7" s="66" t="n"/>
      <c r="G7" s="66" t="inlineStr">
        <is>
          <t>Gerente de TI / CIO (Director de Tecnología)</t>
        </is>
      </c>
      <c r="H7" s="66" t="n"/>
      <c r="I7" s="66" t="inlineStr">
        <is>
          <t>(56) 2 2751 5160</t>
        </is>
      </c>
      <c r="J7" s="66" t="n"/>
      <c r="K7" s="66" t="inlineStr">
        <is>
          <t>76.492.150-K</t>
        </is>
      </c>
      <c r="L7" s="66" t="inlineStr">
        <is>
          <t>Ventas: GRANDE 4 (Mas de 1.000.000 UF) | Empleados: 182</t>
        </is>
      </c>
      <c r="M7" s="66" t="inlineStr">
        <is>
          <t>Tier 1 - VIP (Alta Venta + DM)</t>
        </is>
      </c>
      <c r="N7" s="61" t="n"/>
      <c r="O7" s="61" t="n"/>
      <c r="P7" s="61" t="n"/>
      <c r="Q7" s="61" t="n"/>
      <c r="R7" s="61" t="n"/>
      <c r="S7" s="62" t="n"/>
      <c r="T7" s="61" t="n"/>
    </row>
    <row r="8" ht="15" customHeight="1" s="38">
      <c r="A8" s="66" t="inlineStr">
        <is>
          <t>Acerorack</t>
        </is>
      </c>
      <c r="B8" s="66" t="inlineStr">
        <is>
          <t>Rack Altillo Estructural</t>
        </is>
      </c>
      <c r="C8" s="66" t="inlineStr">
        <is>
          <t>Santiago</t>
        </is>
      </c>
      <c r="D8" s="66" t="n"/>
      <c r="E8" s="66" t="n"/>
      <c r="F8" s="66" t="n"/>
      <c r="G8" s="66" t="inlineStr">
        <is>
          <t>Gerente de TI / CIO (Director de Tecnología)</t>
        </is>
      </c>
      <c r="H8" s="66" t="n"/>
      <c r="I8" s="66" t="inlineStr">
        <is>
          <t>(56) 9 9320 7002</t>
        </is>
      </c>
      <c r="J8" s="66" t="n"/>
      <c r="K8" s="66" t="inlineStr">
        <is>
          <t>77.247.510-1</t>
        </is>
      </c>
      <c r="L8" s="66" t="inlineStr">
        <is>
          <t>Ventas: GRANDE 3 (600.000 - 1.000.000 UF) | Empleados: 88</t>
        </is>
      </c>
      <c r="M8" s="66" t="inlineStr">
        <is>
          <t>Tier 1 - VIP (Alta Venta + DM)</t>
        </is>
      </c>
      <c r="N8" s="61" t="n"/>
      <c r="O8" s="61" t="n"/>
      <c r="P8" s="61" t="n"/>
      <c r="Q8" s="61" t="n"/>
      <c r="R8" s="61" t="n"/>
      <c r="S8" s="62" t="n"/>
      <c r="T8" s="61" t="n"/>
    </row>
    <row r="9" ht="15" customHeight="1" s="38">
      <c r="A9" s="59" t="inlineStr">
        <is>
          <t>Aceros Chilca</t>
        </is>
      </c>
      <c r="B9" s="59" t="inlineStr">
        <is>
          <t>Bolas de Acero Forjado para Molienda, Bolas para molienda, Revestimientos para Molinos</t>
        </is>
      </c>
      <c r="C9" s="59" t="inlineStr">
        <is>
          <t>Santiago</t>
        </is>
      </c>
      <c r="D9" s="59" t="inlineStr">
        <is>
          <t>Modernización Fundición Piezas Mineras</t>
        </is>
      </c>
      <c r="E9" s="59" t="n"/>
      <c r="F9" s="59" t="inlineStr">
        <is>
          <t>https://www.aceroschilca.com/</t>
        </is>
      </c>
      <c r="G9" s="59" t="inlineStr">
        <is>
          <t>Eduardo Garcia (Country Manager)</t>
        </is>
      </c>
      <c r="H9" s="59" t="n"/>
      <c r="I9" s="59" t="inlineStr">
        <is>
          <t>(56) 2 2929 5486</t>
        </is>
      </c>
      <c r="J9" s="59" t="n"/>
      <c r="K9" s="59" t="inlineStr">
        <is>
          <t>96.871.960-2</t>
        </is>
      </c>
      <c r="L9" s="59" t="inlineStr">
        <is>
          <t>Ventas: GRANDE 2 (200.000 - 600.000 UF) | Empleados: 4</t>
        </is>
      </c>
      <c r="M9" s="59" t="inlineStr">
        <is>
          <t>Tier 1 - OPORTUNIDAD ACTIVA (VIP)</t>
        </is>
      </c>
      <c r="N9" s="61" t="n"/>
      <c r="O9" s="61" t="n"/>
      <c r="P9" s="61" t="n"/>
      <c r="Q9" s="61" t="n"/>
      <c r="R9" s="61" t="n"/>
      <c r="S9" s="62" t="n"/>
      <c r="T9" s="61" t="n"/>
    </row>
    <row r="10" ht="15" customHeight="1" s="38">
      <c r="A10" s="59" t="inlineStr">
        <is>
          <t>Acetogen Gas Chile S.A.</t>
        </is>
      </c>
      <c r="B10" s="59" t="inlineStr">
        <is>
          <t>Artículos para Seguridad</t>
        </is>
      </c>
      <c r="C10" s="59" t="inlineStr">
        <is>
          <t>Santiago</t>
        </is>
      </c>
      <c r="D10" s="59" t="inlineStr">
        <is>
          <t>Investigación en Proceso</t>
        </is>
      </c>
      <c r="E10" s="59" t="n"/>
      <c r="F10" s="59" t="n"/>
      <c r="G10" s="59" t="inlineStr">
        <is>
          <t>Hugo Inzulza Daneri (Gerente General)</t>
        </is>
      </c>
      <c r="H10" s="59" t="inlineStr">
        <is>
          <t>hinzulza@acetogen.cl</t>
        </is>
      </c>
      <c r="I10" s="59" t="inlineStr">
        <is>
          <t>(56) 2 2583 2780</t>
        </is>
      </c>
      <c r="J10" s="59" t="n"/>
      <c r="K10" s="59" t="inlineStr">
        <is>
          <t>93.333.000-1</t>
        </is>
      </c>
      <c r="L10" s="59" t="inlineStr">
        <is>
          <t>Ventas: GRANDE 3 (600.000 - 1.000.000 UF) | Empleados: 57</t>
        </is>
      </c>
      <c r="M10" s="59" t="inlineStr">
        <is>
          <t>Tier 1 - OPORTUNIDAD ACTIVA (VIP)</t>
        </is>
      </c>
      <c r="N10" s="61" t="n"/>
      <c r="O10" s="61" t="n"/>
      <c r="P10" s="61" t="n"/>
      <c r="Q10" s="61" t="n"/>
      <c r="R10" s="61" t="n"/>
      <c r="S10" s="62" t="n"/>
      <c r="T10" s="61" t="n"/>
    </row>
    <row r="11" ht="15" customHeight="1" s="38">
      <c r="A11" s="59" t="inlineStr">
        <is>
          <t>Adler Steel Chile</t>
        </is>
      </c>
      <c r="B11" s="59" t="inlineStr">
        <is>
          <t>Aceros Antiabrasivos, Barras de Aceros Especiales</t>
        </is>
      </c>
      <c r="C11" s="59" t="inlineStr">
        <is>
          <t>Santiago</t>
        </is>
      </c>
      <c r="D11" s="59" t="inlineStr">
        <is>
          <t>Aceros Especiales Minería (Procesos Críticos)</t>
        </is>
      </c>
      <c r="E11" s="59" t="inlineStr">
        <is>
          <t>Portal Minero / Licitaciones</t>
        </is>
      </c>
      <c r="F11" s="59" t="inlineStr">
        <is>
          <t>https://adler.cl/wp-content/uploads/2023/06/CatalogoAdlerJunio23.pdf</t>
        </is>
      </c>
      <c r="G11" s="59" t="inlineStr">
        <is>
          <t>Sabin Capetillo (Jefe Informática)</t>
        </is>
      </c>
      <c r="H11" s="59" t="inlineStr">
        <is>
          <t>scapetillo@adlersteel.cl</t>
        </is>
      </c>
      <c r="I11" s="59" t="inlineStr">
        <is>
          <t>(56) 2 2420 5555</t>
        </is>
      </c>
      <c r="J11" s="59" t="n"/>
      <c r="K11" s="59" t="inlineStr">
        <is>
          <t>92.844.000-1</t>
        </is>
      </c>
      <c r="L11" s="59" t="inlineStr">
        <is>
          <t>Ventas: GRANDE 3 (600.000 - 1.000.000 UF) | Empleados: 17</t>
        </is>
      </c>
      <c r="M11" s="59" t="inlineStr">
        <is>
          <t>Tier 1 - OPORTUNIDAD ACTIVA (VIP)</t>
        </is>
      </c>
      <c r="N11" s="61" t="n"/>
      <c r="O11" s="61" t="n"/>
      <c r="P11" s="61" t="n"/>
      <c r="Q11" s="61" t="n"/>
      <c r="R11" s="61" t="n"/>
      <c r="S11" s="62" t="n"/>
      <c r="T11" s="61" t="n"/>
    </row>
    <row r="12" ht="15" customHeight="1" s="38">
      <c r="A12" s="59" t="inlineStr">
        <is>
          <t>AeroRescate Ambulancias Aéreas</t>
        </is>
      </c>
      <c r="B12" s="59" t="inlineStr">
        <is>
          <t>Transporte Aéreo, Transporte Aéreo en Helicóptero</t>
        </is>
      </c>
      <c r="C12" s="59" t="inlineStr">
        <is>
          <t>Santiago</t>
        </is>
      </c>
      <c r="D12" s="59" t="inlineStr">
        <is>
          <t>Investigación en Proceso</t>
        </is>
      </c>
      <c r="E12" s="59" t="n"/>
      <c r="F12" s="59" t="n"/>
      <c r="G12" s="59" t="inlineStr">
        <is>
          <t>David Acevedo Olguín (Director Corporativo)</t>
        </is>
      </c>
      <c r="H12" s="59" t="inlineStr">
        <is>
          <t>dacevedo@dap.cl</t>
        </is>
      </c>
      <c r="I12" s="59" t="inlineStr">
        <is>
          <t>(56) 2 3202 6890</t>
        </is>
      </c>
      <c r="J12" s="59" t="n"/>
      <c r="K12" s="59" t="inlineStr">
        <is>
          <t>99.543.620-5</t>
        </is>
      </c>
      <c r="L12" s="59" t="inlineStr">
        <is>
          <t>Ventas: GRANDE 4 (Mas de 1.000.000 UF) | Empleados: 35</t>
        </is>
      </c>
      <c r="M12" s="59" t="inlineStr">
        <is>
          <t>Tier 1 - OPORTUNIDAD ACTIVA (VIP)</t>
        </is>
      </c>
      <c r="N12" s="61" t="n"/>
      <c r="O12" s="61" t="n"/>
      <c r="P12" s="61" t="n"/>
      <c r="Q12" s="61" t="n"/>
      <c r="R12" s="61" t="n"/>
      <c r="S12" s="62" t="n"/>
      <c r="T12" s="61" t="n"/>
    </row>
    <row r="13" ht="15" customHeight="1" s="38">
      <c r="A13" s="59" t="inlineStr">
        <is>
          <t>Aerocardal Ltda.</t>
        </is>
      </c>
      <c r="B13" s="59" t="inlineStr">
        <is>
          <t>Transporte Aéreo en Helicóptero, Vuelos Ambulancia</t>
        </is>
      </c>
      <c r="C13" s="59" t="inlineStr">
        <is>
          <t>Santiago</t>
        </is>
      </c>
      <c r="D13" s="59" t="inlineStr">
        <is>
          <t>Mantenimiento Digital Embraer (Servicio Autorizado)</t>
        </is>
      </c>
      <c r="E13" s="59" t="inlineStr">
        <is>
          <t>Comunicado Embraer / Newsletter</t>
        </is>
      </c>
      <c r="F13" s="59" t="inlineStr">
        <is>
          <t>https://tallyho.cl/embraer-suma-a-aerocardal-a-su-red-de-servicios-autorizados-en-chile/</t>
        </is>
      </c>
      <c r="G13" s="59" t="inlineStr">
        <is>
          <t>Javier Arellano (Jefe IT)</t>
        </is>
      </c>
      <c r="H13" s="59" t="inlineStr">
        <is>
          <t>jarellano@aerocardal.com</t>
        </is>
      </c>
      <c r="I13" s="59" t="inlineStr">
        <is>
          <t>(56) 2 2377 7400</t>
        </is>
      </c>
      <c r="J13" s="59" t="n"/>
      <c r="K13" s="59" t="inlineStr">
        <is>
          <t>78.035.640-5</t>
        </is>
      </c>
      <c r="L13" s="59" t="inlineStr">
        <is>
          <t>Ventas: GRANDE 3 (600.000 - 1.000.000 UF) | Empleados: 98</t>
        </is>
      </c>
      <c r="M13" s="59" t="inlineStr">
        <is>
          <t>Tier 1 - OPORTUNIDAD ACTIVA (VIP)</t>
        </is>
      </c>
      <c r="N13" s="61" t="n"/>
      <c r="O13" s="61" t="n"/>
      <c r="P13" s="61" t="n"/>
      <c r="Q13" s="61" t="n"/>
      <c r="R13" s="61" t="n"/>
      <c r="S13" s="62" t="n"/>
      <c r="T13" s="61" t="n"/>
    </row>
    <row r="14" ht="15" customHeight="1" s="38">
      <c r="A14" s="59" t="inlineStr">
        <is>
          <t>Aguasin SpA</t>
        </is>
      </c>
      <c r="B14" s="59" t="inlineStr">
        <is>
          <t>Sistemas para Purificación de Agua, Tratamiento de Aguas</t>
        </is>
      </c>
      <c r="C14" s="59" t="inlineStr">
        <is>
          <t>Santiago</t>
        </is>
      </c>
      <c r="D14" s="59" t="inlineStr">
        <is>
          <t>Mantención Telemetría Plantas PW</t>
        </is>
      </c>
      <c r="E14" s="59" t="inlineStr">
        <is>
          <t>Mercado Público (ID 4076-121-LE25)</t>
        </is>
      </c>
      <c r="F14" s="59" t="inlineStr">
        <is>
          <t>https://www.portalminero.com/noticias/aguasin-y-xylem-presentan-soluciones-digitales-para-el-tratamiento-de-aguas/</t>
        </is>
      </c>
      <c r="G14" s="59" t="inlineStr">
        <is>
          <t>Richard Correa (Gerente Admin (IT Resp))</t>
        </is>
      </c>
      <c r="H14" s="59" t="inlineStr">
        <is>
          <t>rcorrea@aguasin.com</t>
        </is>
      </c>
      <c r="I14" s="59" t="inlineStr">
        <is>
          <t>(56) 2 2270 9500</t>
        </is>
      </c>
      <c r="J14" s="59" t="n"/>
      <c r="K14" s="59" t="inlineStr">
        <is>
          <t>76.377.649-2</t>
        </is>
      </c>
      <c r="L14" s="59" t="inlineStr">
        <is>
          <t>Ventas: GRANDE 4 (Mas de 1.000.000 UF) | Empleados: 174</t>
        </is>
      </c>
      <c r="M14" s="59" t="inlineStr">
        <is>
          <t>Tier 1 - OPORTUNIDAD ACTIVA (VIP)</t>
        </is>
      </c>
      <c r="N14" s="61" t="n"/>
      <c r="O14" s="61" t="n"/>
      <c r="P14" s="61" t="n"/>
      <c r="Q14" s="61" t="n"/>
      <c r="R14" s="61" t="n"/>
      <c r="S14" s="62" t="n"/>
      <c r="T14" s="61" t="n"/>
    </row>
    <row r="15" ht="15" customHeight="1" s="38">
      <c r="A15" s="59" t="inlineStr">
        <is>
          <t>Agunsa, Agencias Universales S.A.</t>
        </is>
      </c>
      <c r="B15" s="59" t="inlineStr">
        <is>
          <t>Agencias de Carga, Almacenamiento de Carga, Transporte de Minerales</t>
        </is>
      </c>
      <c r="C15" s="59" t="inlineStr">
        <is>
          <t>Santiago</t>
        </is>
      </c>
      <c r="D15" s="59" t="inlineStr">
        <is>
          <t>Estrategia Global Innovación Digital</t>
        </is>
      </c>
      <c r="E15" s="59" t="inlineStr">
        <is>
          <t>LinkedIn</t>
        </is>
      </c>
      <c r="F15" s="59" t="inlineStr">
        <is>
          <t>https://cl.linkedin.com/in/carlos-ram%C3%ADrez-c%C3%A1rdenas-8b9b2b2a</t>
        </is>
      </c>
      <c r="G15" s="59" t="inlineStr">
        <is>
          <t>Carlos Ramírez (CTO Corporativo)</t>
        </is>
      </c>
      <c r="H15" s="59" t="n"/>
      <c r="I15" s="59" t="inlineStr">
        <is>
          <t>(56) 2 2460 2700</t>
        </is>
      </c>
      <c r="J15" s="59" t="n"/>
      <c r="K15" s="59" t="inlineStr">
        <is>
          <t>96.566.940-K</t>
        </is>
      </c>
      <c r="L15" s="59" t="inlineStr">
        <is>
          <t>Ventas: GRANDE (Estimado por Empleados) | Empleados: 796</t>
        </is>
      </c>
      <c r="M15" s="59" t="inlineStr">
        <is>
          <t>Tier 1 - OPORTUNIDAD ACTIVA (VIP)</t>
        </is>
      </c>
      <c r="N15" s="61" t="n"/>
      <c r="O15" s="61" t="n"/>
      <c r="P15" s="61" t="n"/>
      <c r="Q15" s="61" t="n"/>
      <c r="R15" s="61" t="n"/>
      <c r="S15" s="62" t="n"/>
      <c r="T15" s="61" t="n"/>
    </row>
    <row r="16" ht="15" customHeight="1" s="38">
      <c r="A16" s="66" t="inlineStr">
        <is>
          <t>Aislapol S.A.</t>
        </is>
      </c>
      <c r="B16" s="66" t="inlineStr">
        <is>
          <t>Aislantes Térmicos, Envases de Plástico</t>
        </is>
      </c>
      <c r="C16" s="66" t="inlineStr">
        <is>
          <t>Santiago</t>
        </is>
      </c>
      <c r="D16" s="66" t="n"/>
      <c r="E16" s="66" t="n"/>
      <c r="F16" s="66" t="n"/>
      <c r="G16" s="66" t="inlineStr">
        <is>
          <t>Gerente de TI / CIO (Director de Tecnología)</t>
        </is>
      </c>
      <c r="H16" s="66" t="n"/>
      <c r="I16" s="66" t="inlineStr">
        <is>
          <t>(56) 2 2670 0105</t>
        </is>
      </c>
      <c r="J16" s="66" t="n"/>
      <c r="K16" s="66" t="inlineStr">
        <is>
          <t>76.412.645-9</t>
        </is>
      </c>
      <c r="L16" s="66" t="inlineStr">
        <is>
          <t>Ventas: GRANDE 4 (Mas de 1.000.000 UF) | Empleados: 358</t>
        </is>
      </c>
      <c r="M16" s="66" t="inlineStr">
        <is>
          <t>Tier 1 - VIP (Alta Venta + DM)</t>
        </is>
      </c>
      <c r="N16" s="61" t="n"/>
      <c r="O16" s="61" t="n"/>
      <c r="P16" s="61" t="n"/>
      <c r="Q16" s="61" t="n"/>
      <c r="R16" s="61" t="n"/>
      <c r="S16" s="62" t="n"/>
      <c r="T16" s="61" t="n"/>
    </row>
    <row r="17" ht="15" customHeight="1" s="38">
      <c r="A17" s="59" t="inlineStr">
        <is>
          <t>Alessandri &amp; Cía. Ltda.</t>
        </is>
      </c>
      <c r="B17" s="59" t="inlineStr">
        <is>
          <t>Asesorías Jurídicas en Minería, Servicios Legales</t>
        </is>
      </c>
      <c r="C17" s="59" t="inlineStr">
        <is>
          <t>Santiago</t>
        </is>
      </c>
      <c r="D17" s="59" t="inlineStr">
        <is>
          <t>Implementación LegalTech &amp; Ciberseguridad</t>
        </is>
      </c>
      <c r="E17" s="59" t="n"/>
      <c r="F17" s="59" t="inlineStr">
        <is>
          <t>https://cl.linkedin.com/in/francisco-fern%C3%A1ndez-mancilla</t>
        </is>
      </c>
      <c r="G17" s="59" t="inlineStr">
        <is>
          <t>Francisco Javier Fernández M. (Subgerente Ops)</t>
        </is>
      </c>
      <c r="H17" s="59" t="n"/>
      <c r="I17" s="59" t="inlineStr">
        <is>
          <t>(56) 2 2787 6000</t>
        </is>
      </c>
      <c r="J17" s="59" t="n"/>
      <c r="K17" s="59" t="inlineStr">
        <is>
          <t>79.784.430-6</t>
        </is>
      </c>
      <c r="L17" s="59" t="inlineStr">
        <is>
          <t>Ventas: GRANDE 3 (600.000 - 1.000.000 UF) | Empleados: 101</t>
        </is>
      </c>
      <c r="M17" s="59" t="inlineStr">
        <is>
          <t>Tier 1 - OPORTUNIDAD ACTIVA (VIP)</t>
        </is>
      </c>
      <c r="N17" s="61" t="n"/>
      <c r="O17" s="61" t="n"/>
      <c r="P17" s="61" t="n"/>
      <c r="Q17" s="61" t="n"/>
      <c r="R17" s="61" t="n"/>
      <c r="S17" s="62" t="n"/>
      <c r="T17" s="61" t="n"/>
    </row>
    <row r="18" ht="15" customHeight="1" s="38">
      <c r="A18" s="59" t="inlineStr">
        <is>
          <t>Alfa People Chile SpA</t>
        </is>
      </c>
      <c r="B18" s="59" t="inlineStr">
        <is>
          <t>Diseño de Sistemas ERP</t>
        </is>
      </c>
      <c r="C18" s="59" t="inlineStr">
        <is>
          <t>Santiago</t>
        </is>
      </c>
      <c r="D18" s="59" t="inlineStr">
        <is>
          <t>Proyectos Microsoft Dynamics 365 Cloud</t>
        </is>
      </c>
      <c r="E18" s="59" t="n"/>
      <c r="F18" s="59" t="inlineStr">
        <is>
          <t>https://alfapeople.com/cl/</t>
        </is>
      </c>
      <c r="G18" s="59" t="inlineStr">
        <is>
          <t>Carlos Amaro (CEO)</t>
        </is>
      </c>
      <c r="H18" s="59" t="n"/>
      <c r="I18" s="59" t="inlineStr">
        <is>
          <t>(56) 2 2751 9000</t>
        </is>
      </c>
      <c r="J18" s="59" t="n"/>
      <c r="K18" s="59" t="inlineStr">
        <is>
          <t>76.360.577-9</t>
        </is>
      </c>
      <c r="L18" s="59" t="inlineStr">
        <is>
          <t>Ventas: GRANDE 3 (600.000 - 1.000.000 UF) | Empleados: 121</t>
        </is>
      </c>
      <c r="M18" s="59" t="inlineStr">
        <is>
          <t>Tier 1 - OPORTUNIDAD ACTIVA (VIP)</t>
        </is>
      </c>
      <c r="N18" s="61" t="n"/>
      <c r="O18" s="61" t="n"/>
      <c r="P18" s="61" t="n"/>
      <c r="Q18" s="61" t="n"/>
      <c r="R18" s="61" t="n"/>
      <c r="S18" s="62" t="n"/>
      <c r="T18" s="61" t="n"/>
    </row>
    <row r="19" ht="15" customHeight="1" s="38">
      <c r="A19" s="59" t="inlineStr">
        <is>
          <t>Aliservice</t>
        </is>
      </c>
      <c r="B19" s="59" t="inlineStr">
        <is>
          <t>Alimentación Industrial</t>
        </is>
      </c>
      <c r="C19" s="59" t="inlineStr">
        <is>
          <t>Santiago</t>
        </is>
      </c>
      <c r="D19" s="59" t="inlineStr">
        <is>
          <t>Digitalización Cadena Suministro Alimentación</t>
        </is>
      </c>
      <c r="E19" s="59" t="n"/>
      <c r="F19" s="59" t="inlineStr">
        <is>
          <t>https://www.aliservice.cl/</t>
        </is>
      </c>
      <c r="G19" s="59" t="inlineStr">
        <is>
          <t>Luis Alberto Santana (Gerente Adm y Finanzas)</t>
        </is>
      </c>
      <c r="H19" s="59" t="n"/>
      <c r="I19" s="59" t="inlineStr">
        <is>
          <t>(56) 2 2913 5500</t>
        </is>
      </c>
      <c r="J19" s="59" t="n"/>
      <c r="K19" s="59" t="inlineStr">
        <is>
          <t>76437608-0</t>
        </is>
      </c>
      <c r="L19" s="59" t="inlineStr">
        <is>
          <t>Ventas: GRANDE 3 (600.000 - 1.000.000 UF) | Empleados: 1372</t>
        </is>
      </c>
      <c r="M19" s="59" t="inlineStr">
        <is>
          <t>Tier 1 - OPORTUNIDAD ACTIVA (VIP)</t>
        </is>
      </c>
      <c r="N19" s="61" t="n"/>
      <c r="O19" s="61" t="n"/>
      <c r="P19" s="61" t="n"/>
      <c r="Q19" s="61" t="n"/>
      <c r="R19" s="61" t="n"/>
      <c r="S19" s="62" t="n"/>
      <c r="T19" s="61" t="n"/>
    </row>
    <row r="20" ht="15" customHeight="1" s="38">
      <c r="A20" s="59" t="inlineStr">
        <is>
          <t>American Parts</t>
        </is>
      </c>
      <c r="B20" s="59" t="inlineStr">
        <is>
          <t>Actividades de Apoyo para la Explotación de Minas y Canteras, Venta de Partes, Piezas y Accesorios para Vehículos Automotores</t>
        </is>
      </c>
      <c r="C20" s="59" t="inlineStr">
        <is>
          <t>Antofagasta</t>
        </is>
      </c>
      <c r="D20" s="59" t="inlineStr">
        <is>
          <t>Canal E-commerce B2B (Expansión Digital)</t>
        </is>
      </c>
      <c r="E20" s="59" t="inlineStr">
        <is>
          <t>Americanparts.cl / LinkedIn</t>
        </is>
      </c>
      <c r="F20" s="59" t="inlineStr">
        <is>
          <t>https://americanparts.cl/shop/</t>
        </is>
      </c>
      <c r="G20" s="59" t="inlineStr">
        <is>
          <t>Patricio Herrera (Jefe de Sistemas)</t>
        </is>
      </c>
      <c r="H20" s="59" t="inlineStr">
        <is>
          <t>p.herrera@americanparts.cl</t>
        </is>
      </c>
      <c r="I20" s="59" t="inlineStr">
        <is>
          <t>(56) 9 4220 1935</t>
        </is>
      </c>
      <c r="J20" s="59" t="inlineStr">
        <is>
          <t>http://www.americanparts.cl</t>
        </is>
      </c>
      <c r="K20" s="59" t="inlineStr">
        <is>
          <t>76.790.684-6</t>
        </is>
      </c>
      <c r="L20" s="59" t="inlineStr">
        <is>
          <t>Ventas: GRANDE 3 (600.000 - 1.000.000 UF) | Empleados: 38</t>
        </is>
      </c>
      <c r="M20" s="59" t="inlineStr">
        <is>
          <t>Tier 1 - OPORTUNIDAD ACTIVA (VIP)</t>
        </is>
      </c>
      <c r="N20" s="61" t="n"/>
      <c r="O20" s="61" t="n"/>
      <c r="P20" s="61" t="n"/>
      <c r="Q20" s="61" t="n"/>
      <c r="R20" s="61" t="n"/>
      <c r="S20" s="62" t="n"/>
      <c r="T20" s="61" t="n"/>
    </row>
    <row r="21" ht="15.75" customHeight="1" s="38">
      <c r="A21" s="59" t="inlineStr">
        <is>
          <t>Anakena Group</t>
        </is>
      </c>
      <c r="B21" s="59" t="inlineStr">
        <is>
          <t>Construcciones Modulares, Servicios Hoteleros</t>
        </is>
      </c>
      <c r="C21" s="59" t="inlineStr">
        <is>
          <t>Santiago</t>
        </is>
      </c>
      <c r="D21" s="59" t="inlineStr">
        <is>
          <t>Hotelería Modular Minería (Sistemas Gestión)</t>
        </is>
      </c>
      <c r="E21" s="59" t="inlineStr">
        <is>
          <t>Exponor 2024 / BCN</t>
        </is>
      </c>
      <c r="F21" s="59" t="inlineStr">
        <is>
          <t>https://www.anakenagroup.cl/2024/06/10/anakena-noticias/</t>
        </is>
      </c>
      <c r="G21" s="59" t="inlineStr">
        <is>
          <t>Michael Salameh (Jefe de Sistemas Producción)</t>
        </is>
      </c>
      <c r="H21" s="59" t="inlineStr">
        <is>
          <t>m.salameh@anakena.cl</t>
        </is>
      </c>
      <c r="I21" s="59" t="inlineStr">
        <is>
          <t>(56) 2 2951 5328</t>
        </is>
      </c>
      <c r="J21" s="59" t="n"/>
      <c r="K21" s="59" t="inlineStr">
        <is>
          <t>52.003.237-1</t>
        </is>
      </c>
      <c r="L21" s="59" t="inlineStr">
        <is>
          <t>Ventas: GRANDE 3 (600.000 - 1.000.000 UF) | Empleados: 476</t>
        </is>
      </c>
      <c r="M21" s="59" t="inlineStr">
        <is>
          <t>Tier 1 - OPORTUNIDAD ACTIVA (VIP)</t>
        </is>
      </c>
      <c r="N21" s="61" t="n"/>
      <c r="O21" s="61" t="n"/>
      <c r="P21" s="61" t="n"/>
      <c r="Q21" s="61" t="n"/>
      <c r="R21" s="61" t="n"/>
      <c r="S21" s="62" t="n"/>
      <c r="T21" s="61" t="n"/>
    </row>
    <row r="22" ht="15.75" customHeight="1" s="38">
      <c r="A22" s="59" t="inlineStr">
        <is>
          <t>Ancor Tecmin</t>
        </is>
      </c>
      <c r="B22" s="59" t="inlineStr">
        <is>
          <t>Aisladores para Anodos y Cátodos, Celdas Electrolíticas</t>
        </is>
      </c>
      <c r="C22" s="59" t="inlineStr">
        <is>
          <t>Santiago</t>
        </is>
      </c>
      <c r="D22" s="59" t="inlineStr">
        <is>
          <t>Investigación en Proceso</t>
        </is>
      </c>
      <c r="E22" s="59" t="n"/>
      <c r="F22" s="59" t="n"/>
      <c r="G22" s="59" t="inlineStr">
        <is>
          <t>Franco Yáñez (Jefe Automatización e Informática)</t>
        </is>
      </c>
      <c r="H22" s="59" t="inlineStr">
        <is>
          <t>f.yanez@ancortecmin.cl</t>
        </is>
      </c>
      <c r="I22" s="59" t="inlineStr">
        <is>
          <t>(56) 2 2510 6000</t>
        </is>
      </c>
      <c r="J22" s="59" t="n"/>
      <c r="K22" s="59" t="inlineStr">
        <is>
          <t>76.411.929-0</t>
        </is>
      </c>
      <c r="L22" s="59" t="inlineStr">
        <is>
          <t>Ventas: GRANDE 3 (600.000 - 1.000.000 UF) | Empleados: 191</t>
        </is>
      </c>
      <c r="M22" s="59" t="inlineStr">
        <is>
          <t>Tier 1 - OPORTUNIDAD ACTIVA (VIP)</t>
        </is>
      </c>
      <c r="N22" s="61" t="n"/>
      <c r="O22" s="61" t="n"/>
      <c r="P22" s="61" t="n"/>
      <c r="Q22" s="61" t="n"/>
      <c r="R22" s="61" t="n"/>
      <c r="S22" s="62" t="n"/>
      <c r="T22" s="61" t="n"/>
    </row>
    <row r="23" ht="15.75" customHeight="1" s="38">
      <c r="A23" s="59" t="inlineStr">
        <is>
          <t>Andes Solar</t>
        </is>
      </c>
      <c r="B23" s="59" t="inlineStr">
        <is>
          <t>Desarrollo, Construcción y Operación de Proyectos de Energía Renovable</t>
        </is>
      </c>
      <c r="C23" s="59" t="inlineStr">
        <is>
          <t>Santiago</t>
        </is>
      </c>
      <c r="D23" s="59" t="inlineStr">
        <is>
          <t>Investigación en Proceso</t>
        </is>
      </c>
      <c r="E23" s="59" t="n"/>
      <c r="F23" s="59" t="n"/>
      <c r="G23" s="59" t="inlineStr">
        <is>
          <t>Felipe Aguilera Moore (Jefe de Ingeniería)</t>
        </is>
      </c>
      <c r="H23" s="59" t="inlineStr">
        <is>
          <t>f.aguilera@andessolar.cl</t>
        </is>
      </c>
      <c r="I23" s="59" t="inlineStr">
        <is>
          <t>(56) 2 2956 6230</t>
        </is>
      </c>
      <c r="J23" s="59" t="n"/>
      <c r="K23" s="59" t="inlineStr">
        <is>
          <t>76.271.321-7</t>
        </is>
      </c>
      <c r="L23" s="59" t="inlineStr">
        <is>
          <t>Ventas: GRANDE 3 (600.000 - 1.000.000 UF) | Empleados: 95</t>
        </is>
      </c>
      <c r="M23" s="59" t="inlineStr">
        <is>
          <t>Tier 1 - OPORTUNIDAD ACTIVA (VIP)</t>
        </is>
      </c>
      <c r="N23" s="61" t="n"/>
      <c r="O23" s="61" t="n"/>
      <c r="P23" s="61" t="n"/>
      <c r="Q23" s="61" t="n"/>
      <c r="R23" s="61" t="n"/>
      <c r="S23" s="62" t="n"/>
      <c r="T23" s="61" t="n"/>
    </row>
    <row r="24" ht="15.75" customHeight="1" s="38">
      <c r="A24" s="66" t="inlineStr">
        <is>
          <t>Andinor Perforaciones Ltda.</t>
        </is>
      </c>
      <c r="B24" s="66" t="inlineStr">
        <is>
          <t>Captación de Aguas Subterráneas</t>
        </is>
      </c>
      <c r="C24" s="66" t="inlineStr">
        <is>
          <t>Santiago</t>
        </is>
      </c>
      <c r="D24" s="66" t="n"/>
      <c r="E24" s="66" t="n"/>
      <c r="F24" s="66" t="n"/>
      <c r="G24" s="66" t="inlineStr">
        <is>
          <t>Gerente de TI / CIO (Director de Tecnología)</t>
        </is>
      </c>
      <c r="H24" s="66" t="n"/>
      <c r="I24" s="66" t="inlineStr">
        <is>
          <t>(56) 2 2719 3808</t>
        </is>
      </c>
      <c r="J24" s="66" t="n"/>
      <c r="K24" s="66" t="inlineStr">
        <is>
          <t>76.271.472-8</t>
        </is>
      </c>
      <c r="L24" s="66" t="inlineStr">
        <is>
          <t>Ventas: GRANDE 3 (600.000 - 1.000.000 UF) | Empleados: 210</t>
        </is>
      </c>
      <c r="M24" s="66" t="inlineStr">
        <is>
          <t>Tier 1 - VIP (Alta Venta + DM)</t>
        </is>
      </c>
      <c r="N24" s="61" t="n"/>
      <c r="O24" s="61" t="n"/>
      <c r="P24" s="61" t="n"/>
      <c r="Q24" s="61" t="n"/>
      <c r="R24" s="61" t="n"/>
      <c r="S24" s="62" t="n"/>
      <c r="T24" s="61" t="n"/>
    </row>
    <row r="25" ht="15.75" customHeight="1" s="38">
      <c r="A25" s="59" t="inlineStr">
        <is>
          <t>Anglo American Chile</t>
        </is>
      </c>
      <c r="B25" s="59" t="inlineStr">
        <is>
          <t>Anodos de Cobre, Cátodos de Cobre, Concentrado de Molibdeno, Sulfato de Cobre</t>
        </is>
      </c>
      <c r="C25" s="59" t="inlineStr">
        <is>
          <t>Santiago</t>
        </is>
      </c>
      <c r="D25" s="59" t="inlineStr">
        <is>
          <t>Centro Remoto IROC</t>
        </is>
      </c>
      <c r="E25" s="59" t="inlineStr">
        <is>
          <t>LinkedIn</t>
        </is>
      </c>
      <c r="F25" s="59" t="inlineStr">
        <is>
          <t>https://cl.linkedin.com/in/rodrigosubiabre</t>
        </is>
      </c>
      <c r="G25" s="59" t="inlineStr">
        <is>
          <t>Rodrigo Subiabre (VP Tech &amp; Innov)</t>
        </is>
      </c>
      <c r="H25" s="59" t="n"/>
      <c r="I25" s="59" t="inlineStr">
        <is>
          <t>(56) 2 2230 6000</t>
        </is>
      </c>
      <c r="J25" s="59" t="n"/>
      <c r="K25" s="59" t="inlineStr">
        <is>
          <t>77.905.330-K</t>
        </is>
      </c>
      <c r="L25" s="59" t="inlineStr">
        <is>
          <t>Ventas: GRANDE (Estimado por Empleados) | Empleados: 837</t>
        </is>
      </c>
      <c r="M25" s="59" t="inlineStr">
        <is>
          <t>Tier 1 - OPORTUNIDAD ACTIVA (VIP)</t>
        </is>
      </c>
      <c r="N25" s="61" t="n"/>
      <c r="O25" s="61" t="n"/>
      <c r="P25" s="61" t="n"/>
      <c r="Q25" s="61" t="n"/>
      <c r="R25" s="61" t="n"/>
      <c r="S25" s="62" t="n"/>
      <c r="T25" s="61" t="n"/>
    </row>
    <row r="26" ht="15.75" customHeight="1" s="38">
      <c r="A26" s="66" t="inlineStr">
        <is>
          <t>Anser Mining SpA</t>
        </is>
      </c>
      <c r="B26" s="66" t="inlineStr">
        <is>
          <t>Plantas Seleccionadoras Móviles</t>
        </is>
      </c>
      <c r="C26" s="66" t="inlineStr">
        <is>
          <t>Santiago</t>
        </is>
      </c>
      <c r="D26" s="66" t="n"/>
      <c r="E26" s="66" t="n"/>
      <c r="F26" s="66" t="n"/>
      <c r="G26" s="66" t="inlineStr">
        <is>
          <t>Gerente de TI / CIO (Director de Tecnología)</t>
        </is>
      </c>
      <c r="H26" s="66" t="n"/>
      <c r="I26" s="66" t="inlineStr">
        <is>
          <t>(56) 2 2435 4615</t>
        </is>
      </c>
      <c r="J26" s="66" t="n"/>
      <c r="K26" s="66" t="inlineStr">
        <is>
          <t>76253942-K</t>
        </is>
      </c>
      <c r="L26" s="66" t="inlineStr">
        <is>
          <t>Ventas: GRANDE 3 (600.000 - 1.000.000 UF) | Empleados: 260</t>
        </is>
      </c>
      <c r="M26" s="66" t="inlineStr">
        <is>
          <t>Tier 1 - VIP (Alta Venta + DM)</t>
        </is>
      </c>
      <c r="N26" s="61" t="n"/>
      <c r="O26" s="61" t="n"/>
      <c r="P26" s="61" t="n"/>
      <c r="Q26" s="61" t="n"/>
      <c r="R26" s="61" t="n"/>
      <c r="S26" s="62" t="n"/>
      <c r="T26" s="61" t="n"/>
    </row>
    <row r="27" ht="15.75" customHeight="1" s="38">
      <c r="A27" s="66" t="inlineStr">
        <is>
          <t>Anval S.A.</t>
        </is>
      </c>
      <c r="B27" s="66" t="inlineStr">
        <is>
          <t>Sistemas de Pesaje Hidráulico, Sistemas para Control de Maquinarias, Sistemas para Manejo de Materiales</t>
        </is>
      </c>
      <c r="C27" s="66" t="inlineStr">
        <is>
          <t>Santiago</t>
        </is>
      </c>
      <c r="D27" s="66" t="n"/>
      <c r="E27" s="66" t="n"/>
      <c r="F27" s="66" t="n"/>
      <c r="G27" s="66" t="inlineStr">
        <is>
          <t>Gerente de TI / CIO (Director de Tecnología)</t>
        </is>
      </c>
      <c r="H27" s="66" t="n"/>
      <c r="I27" s="66" t="inlineStr">
        <is>
          <t>(56) 2 2951 6907</t>
        </is>
      </c>
      <c r="J27" s="66" t="n"/>
      <c r="K27" s="66" t="inlineStr">
        <is>
          <t>76.746.640-4</t>
        </is>
      </c>
      <c r="L27" s="66" t="inlineStr">
        <is>
          <t>Ventas: GRANDE 3 (600.000 - 1.000.000 UF) | Empleados: 24</t>
        </is>
      </c>
      <c r="M27" s="66" t="inlineStr">
        <is>
          <t>Tier 1 - VIP (Alta Venta + DM)</t>
        </is>
      </c>
      <c r="N27" s="61" t="n"/>
      <c r="O27" s="61" t="n"/>
      <c r="P27" s="61" t="n"/>
      <c r="Q27" s="61" t="n"/>
      <c r="R27" s="61" t="n"/>
      <c r="S27" s="62" t="n"/>
      <c r="T27" s="61" t="n"/>
    </row>
    <row r="28" ht="15.75" customHeight="1" s="38">
      <c r="A28" s="66" t="inlineStr">
        <is>
          <t>Análisis Ambientales S.A.</t>
        </is>
      </c>
      <c r="B28" s="66" t="inlineStr">
        <is>
          <t>Tratamiento de Aguas Servidas</t>
        </is>
      </c>
      <c r="C28" s="66" t="inlineStr">
        <is>
          <t>Santiago</t>
        </is>
      </c>
      <c r="D28" s="66" t="n"/>
      <c r="E28" s="66" t="n"/>
      <c r="F28" s="66" t="n"/>
      <c r="G28" s="66" t="inlineStr">
        <is>
          <t>Gerente de TI / CIO (Director de Tecnología)</t>
        </is>
      </c>
      <c r="H28" s="66" t="n"/>
      <c r="I28" s="66" t="inlineStr">
        <is>
          <t>(56) 2 2569 4400</t>
        </is>
      </c>
      <c r="J28" s="66" t="n"/>
      <c r="K28" s="66" t="inlineStr">
        <is>
          <t>96.967.550-1</t>
        </is>
      </c>
      <c r="L28" s="66" t="inlineStr">
        <is>
          <t>Ventas: GRANDE 3 (600.000 - 1.000.000 UF) | Empleados: 353</t>
        </is>
      </c>
      <c r="M28" s="66" t="inlineStr">
        <is>
          <t>Tier 1 - VIP (Alta Venta + DM)</t>
        </is>
      </c>
      <c r="N28" s="61" t="n"/>
      <c r="O28" s="61" t="n"/>
      <c r="P28" s="61" t="n"/>
      <c r="Q28" s="61" t="n"/>
      <c r="R28" s="61" t="n"/>
      <c r="S28" s="62" t="n"/>
      <c r="T28" s="61" t="n"/>
    </row>
    <row r="29" ht="15.75" customHeight="1" s="38">
      <c r="A29" s="59" t="inlineStr">
        <is>
          <t>Artilec Ltda.</t>
        </is>
      </c>
      <c r="B29" s="59" t="inlineStr">
        <is>
          <t>Cámaras IP para Vigilancia, Seguridad Industrial y Minera</t>
        </is>
      </c>
      <c r="C29" s="59" t="inlineStr">
        <is>
          <t>Santiago</t>
        </is>
      </c>
      <c r="D29" s="59" t="inlineStr">
        <is>
          <t>Investigación en Proceso</t>
        </is>
      </c>
      <c r="E29" s="59" t="n"/>
      <c r="F29" s="59" t="n"/>
      <c r="G29" s="59" t="inlineStr">
        <is>
          <t>Mayron Araya (Soporte Informática)</t>
        </is>
      </c>
      <c r="H29" s="59" t="inlineStr">
        <is>
          <t>maraya@artilec.cl</t>
        </is>
      </c>
      <c r="I29" s="59" t="inlineStr">
        <is>
          <t>(56) 2 2240 7500</t>
        </is>
      </c>
      <c r="J29" s="59" t="n"/>
      <c r="K29" s="59" t="inlineStr">
        <is>
          <t>79.796.310-0</t>
        </is>
      </c>
      <c r="L29" s="59" t="inlineStr">
        <is>
          <t>Ventas: GRANDE 3 (600.000 - 1.000.000 UF) | Empleados: 67</t>
        </is>
      </c>
      <c r="M29" s="59" t="inlineStr">
        <is>
          <t>Tier 1 - OPORTUNIDAD ACTIVA (VIP)</t>
        </is>
      </c>
      <c r="N29" s="61" t="n"/>
      <c r="O29" s="61" t="n"/>
      <c r="P29" s="61" t="n"/>
      <c r="Q29" s="61" t="n"/>
      <c r="R29" s="61" t="n"/>
      <c r="S29" s="62" t="n"/>
      <c r="T29" s="61" t="n"/>
    </row>
    <row r="30" ht="15.75" customHeight="1" s="38">
      <c r="A30" s="66" t="inlineStr">
        <is>
          <t>Asesorías Algoritmos y Mediciones Ambientales SpA</t>
        </is>
      </c>
      <c r="B30" s="66" t="inlineStr">
        <is>
          <t>Servicios de Ingeniería</t>
        </is>
      </c>
      <c r="C30" s="66" t="inlineStr">
        <is>
          <t>Santiago</t>
        </is>
      </c>
      <c r="D30" s="66" t="n"/>
      <c r="E30" s="66" t="n"/>
      <c r="F30" s="66" t="n"/>
      <c r="G30" s="66" t="inlineStr">
        <is>
          <t>Gerente de TI / CIO (Director de Tecnología)</t>
        </is>
      </c>
      <c r="H30" s="66" t="n"/>
      <c r="I30" s="66" t="inlineStr">
        <is>
          <t>(56) 2 2361 6600</t>
        </is>
      </c>
      <c r="J30" s="66" t="n"/>
      <c r="K30" s="66" t="inlineStr">
        <is>
          <t>77.007.600-5</t>
        </is>
      </c>
      <c r="L30" s="66" t="inlineStr">
        <is>
          <t>Ventas: GRANDE 3 (600.000 - 1.000.000 UF) | Empleados: 437</t>
        </is>
      </c>
      <c r="M30" s="66" t="inlineStr">
        <is>
          <t>Tier 1 - VIP (Alta Venta + DM)</t>
        </is>
      </c>
      <c r="N30" s="61" t="n"/>
      <c r="O30" s="61" t="n"/>
      <c r="P30" s="61" t="n"/>
      <c r="Q30" s="61" t="n"/>
      <c r="R30" s="61" t="n"/>
      <c r="S30" s="62" t="n"/>
      <c r="T30" s="61" t="n"/>
    </row>
    <row r="31" ht="15.75" customHeight="1" s="38">
      <c r="A31" s="59" t="inlineStr">
        <is>
          <t>AtPac Doka</t>
        </is>
      </c>
      <c r="B31" s="59" t="inlineStr">
        <is>
          <t>Andamios</t>
        </is>
      </c>
      <c r="C31" s="59" t="inlineStr">
        <is>
          <t>Santiago</t>
        </is>
      </c>
      <c r="D31" s="59" t="inlineStr">
        <is>
          <t>Encofrados &amp; Seguridad Construcción</t>
        </is>
      </c>
      <c r="E31" s="59" t="n"/>
      <c r="F31" s="59" t="inlineStr">
        <is>
          <t>https://www.google.com/search?q=AtPac+Doka+Chile+LinkedIn</t>
        </is>
      </c>
      <c r="G31" s="59" t="inlineStr">
        <is>
          <t>Aldo Veas (Technical Manager LATAM)</t>
        </is>
      </c>
      <c r="H31" s="59" t="n"/>
      <c r="I31" s="59" t="inlineStr">
        <is>
          <t>(56) 9 3394 1026</t>
        </is>
      </c>
      <c r="J31" s="59" t="n"/>
      <c r="K31" s="59" t="inlineStr">
        <is>
          <t>77.383.881-K</t>
        </is>
      </c>
      <c r="L31" s="59" t="inlineStr">
        <is>
          <t>Ventas: GRANDE 2 (200.000 - 600.000 UF) | Empleados: 43</t>
        </is>
      </c>
      <c r="M31" s="59" t="inlineStr">
        <is>
          <t>Tier 1 - OPORTUNIDAD ACTIVA (VIP)</t>
        </is>
      </c>
      <c r="N31" s="61" t="n"/>
      <c r="O31" s="61" t="n"/>
      <c r="P31" s="61" t="n"/>
      <c r="Q31" s="61" t="n"/>
      <c r="R31" s="61" t="n"/>
      <c r="S31" s="62" t="n"/>
      <c r="T31" s="61" t="n"/>
    </row>
    <row r="32" ht="15.75" customHeight="1" s="38">
      <c r="A32" s="66" t="inlineStr">
        <is>
          <t>Atco Sabinco</t>
        </is>
      </c>
      <c r="B32" s="66" t="inlineStr">
        <is>
          <t>Construcciones Modulares</t>
        </is>
      </c>
      <c r="C32" s="66" t="inlineStr">
        <is>
          <t>Santiago</t>
        </is>
      </c>
      <c r="D32" s="66" t="n"/>
      <c r="E32" s="66" t="n"/>
      <c r="F32" s="66" t="n"/>
      <c r="G32" s="66" t="inlineStr">
        <is>
          <t>Gerente de TI / CIO (Director de Tecnología)</t>
        </is>
      </c>
      <c r="H32" s="66" t="n"/>
      <c r="I32" s="66" t="inlineStr">
        <is>
          <t>(56) 2 2391 9800</t>
        </is>
      </c>
      <c r="J32" s="66" t="n"/>
      <c r="K32" s="66" t="inlineStr">
        <is>
          <t>76.175.835-7</t>
        </is>
      </c>
      <c r="L32" s="66" t="inlineStr">
        <is>
          <t>Ventas: GRANDE 4 (Mas de 1.000.000 UF) | Empleados: 949</t>
        </is>
      </c>
      <c r="M32" s="66" t="inlineStr">
        <is>
          <t>Tier 1 - VIP (Alta Venta + DM)</t>
        </is>
      </c>
      <c r="N32" s="61" t="n"/>
      <c r="O32" s="61" t="n"/>
      <c r="P32" s="61" t="n"/>
      <c r="Q32" s="61" t="n"/>
      <c r="R32" s="61" t="n"/>
      <c r="S32" s="62" t="n"/>
      <c r="T32" s="61" t="n"/>
    </row>
    <row r="33" ht="15.75" customHeight="1" s="38">
      <c r="A33" s="59" t="inlineStr">
        <is>
          <t>Atlas Renewable Energy</t>
        </is>
      </c>
      <c r="B33" s="59" t="inlineStr">
        <is>
          <t>Plantas de Energía Solar</t>
        </is>
      </c>
      <c r="C33" s="59" t="inlineStr">
        <is>
          <t>Santiago</t>
        </is>
      </c>
      <c r="D33" s="59" t="inlineStr">
        <is>
          <t>Investigación en Proceso</t>
        </is>
      </c>
      <c r="E33" s="59" t="n"/>
      <c r="F33" s="59" t="n"/>
      <c r="G33" s="59" t="inlineStr">
        <is>
          <t>Francisca Latorre H. (Corporate IT Manager)</t>
        </is>
      </c>
      <c r="H33" s="59" t="inlineStr">
        <is>
          <t>flatorre@atlasrenewableenergy.com</t>
        </is>
      </c>
      <c r="I33" s="59" t="inlineStr">
        <is>
          <t>(56) 2 2611 8300</t>
        </is>
      </c>
      <c r="J33" s="59" t="n"/>
      <c r="K33" s="59" t="inlineStr">
        <is>
          <t>76376627-6</t>
        </is>
      </c>
      <c r="L33" s="59" t="inlineStr">
        <is>
          <t>Ventas: GRANDE 3 (600.000 - 1.000.000 UF) | Empleados: 0</t>
        </is>
      </c>
      <c r="M33" s="59" t="inlineStr">
        <is>
          <t>Tier 1 - OPORTUNIDAD ACTIVA (VIP)</t>
        </is>
      </c>
      <c r="N33" s="61" t="n"/>
      <c r="O33" s="61" t="n"/>
      <c r="P33" s="61" t="n"/>
      <c r="Q33" s="61" t="n"/>
      <c r="R33" s="61" t="n"/>
      <c r="S33" s="62" t="n"/>
      <c r="T33" s="61" t="n"/>
    </row>
    <row r="34" ht="15.75" customHeight="1" s="38">
      <c r="A34" s="66" t="inlineStr">
        <is>
          <t>Attex Ltda.</t>
        </is>
      </c>
      <c r="B34" s="66" t="inlineStr">
        <is>
          <t>Spools, Tubos de Acero</t>
        </is>
      </c>
      <c r="C34" s="66" t="inlineStr">
        <is>
          <t>Santiago</t>
        </is>
      </c>
      <c r="D34" s="66" t="n"/>
      <c r="E34" s="66" t="n"/>
      <c r="F34" s="66" t="n"/>
      <c r="G34" s="66" t="inlineStr">
        <is>
          <t>Gerente de TI / CIO (Director de Tecnología)</t>
        </is>
      </c>
      <c r="H34" s="66" t="n"/>
      <c r="I34" s="66" t="inlineStr">
        <is>
          <t>(56) 2 2924 1750</t>
        </is>
      </c>
      <c r="J34" s="66" t="n"/>
      <c r="K34" s="66" t="inlineStr">
        <is>
          <t>85.257.700-2</t>
        </is>
      </c>
      <c r="L34" s="66" t="inlineStr">
        <is>
          <t>Ventas: GRANDE 3 (600.000 - 1.000.000 UF) | Empleados: 45</t>
        </is>
      </c>
      <c r="M34" s="66" t="inlineStr">
        <is>
          <t>Tier 1 - VIP (Alta Venta + DM)</t>
        </is>
      </c>
      <c r="N34" s="61" t="n"/>
      <c r="O34" s="61" t="n"/>
      <c r="P34" s="61" t="n"/>
      <c r="Q34" s="61" t="n"/>
      <c r="R34" s="61" t="n"/>
      <c r="S34" s="62" t="n"/>
      <c r="T34" s="61" t="n"/>
    </row>
    <row r="35" ht="15.75" customHeight="1" s="38">
      <c r="A35" s="66" t="inlineStr">
        <is>
          <t>Austin Powder Chile</t>
        </is>
      </c>
      <c r="B35" s="66" t="inlineStr">
        <is>
          <t>Detonantes Electrónicos, Servicios para Tronaduras</t>
        </is>
      </c>
      <c r="C35" s="66" t="inlineStr">
        <is>
          <t>Santiago</t>
        </is>
      </c>
      <c r="D35" s="66" t="n"/>
      <c r="E35" s="66" t="n"/>
      <c r="F35" s="66" t="n"/>
      <c r="G35" s="66" t="inlineStr">
        <is>
          <t>Gerente de TI / CIO (Director de Tecnología)</t>
        </is>
      </c>
      <c r="H35" s="66" t="n"/>
      <c r="I35" s="66" t="inlineStr">
        <is>
          <t>(56) 2 2374 0030</t>
        </is>
      </c>
      <c r="J35" s="66" t="n"/>
      <c r="K35" s="66" t="inlineStr">
        <is>
          <t>96.511.470-K</t>
        </is>
      </c>
      <c r="L35" s="66" t="inlineStr">
        <is>
          <t>Ventas: GRANDE 3 (600.000 - 1.000.000 UF) | Empleados: 68</t>
        </is>
      </c>
      <c r="M35" s="66" t="inlineStr">
        <is>
          <t>Tier 1 - VIP (Alta Venta + DM)</t>
        </is>
      </c>
      <c r="N35" s="61" t="n"/>
      <c r="O35" s="61" t="n"/>
      <c r="P35" s="61" t="n"/>
      <c r="Q35" s="61" t="n"/>
      <c r="R35" s="61" t="n"/>
      <c r="S35" s="62" t="n"/>
      <c r="T35" s="61" t="n"/>
    </row>
    <row r="36" ht="15.75" customHeight="1" s="38">
      <c r="A36" s="66" t="inlineStr">
        <is>
          <t>Avery Dennison Chile S.A.</t>
        </is>
      </c>
      <c r="B36" s="66" t="inlineStr">
        <is>
          <t>Seguridad Industrial y Minera</t>
        </is>
      </c>
      <c r="C36" s="66" t="inlineStr">
        <is>
          <t>Santiago</t>
        </is>
      </c>
      <c r="D36" s="66" t="n"/>
      <c r="E36" s="66" t="n"/>
      <c r="F36" s="66" t="n"/>
      <c r="G36" s="66" t="inlineStr">
        <is>
          <t>Gerente de TI / CIO (Director de Tecnología)</t>
        </is>
      </c>
      <c r="H36" s="66" t="n"/>
      <c r="I36" s="66" t="inlineStr">
        <is>
          <t>(56) 2 2898 8063</t>
        </is>
      </c>
      <c r="J36" s="66" t="n"/>
      <c r="K36" s="66" t="inlineStr">
        <is>
          <t>96.721.090-0</t>
        </is>
      </c>
      <c r="L36" s="66" t="inlineStr">
        <is>
          <t>Ventas: GRANDE 4 (Mas de 1.000.000 UF) | Empleados: 62</t>
        </is>
      </c>
      <c r="M36" s="66" t="inlineStr">
        <is>
          <t>Tier 1 - VIP (Alta Venta + DM)</t>
        </is>
      </c>
      <c r="N36" s="61" t="n"/>
      <c r="O36" s="61" t="n"/>
      <c r="P36" s="61" t="n"/>
      <c r="Q36" s="61" t="n"/>
      <c r="R36" s="61" t="n"/>
      <c r="S36" s="62" t="n"/>
      <c r="T36" s="61" t="n"/>
    </row>
    <row r="37" ht="15.75" customHeight="1" s="38">
      <c r="A37" s="66" t="inlineStr">
        <is>
          <t>Axinntus Ltda.</t>
        </is>
      </c>
      <c r="B37" s="66" t="inlineStr">
        <is>
          <t>Servicios de Limpieza Industrial</t>
        </is>
      </c>
      <c r="C37" s="66" t="inlineStr">
        <is>
          <t>Antofagasta</t>
        </is>
      </c>
      <c r="D37" s="66" t="n"/>
      <c r="E37" s="66" t="n"/>
      <c r="F37" s="66" t="n"/>
      <c r="G37" s="66" t="inlineStr">
        <is>
          <t>Gerente de TI / CIO (Director de Tecnología)</t>
        </is>
      </c>
      <c r="H37" s="66" t="n"/>
      <c r="I37" s="66" t="inlineStr">
        <is>
          <t>(56) 32 220 2975</t>
        </is>
      </c>
      <c r="J37" s="66" t="n"/>
      <c r="K37" s="66" t="inlineStr">
        <is>
          <t>76.189.625-3</t>
        </is>
      </c>
      <c r="L37" s="66" t="inlineStr">
        <is>
          <t>Ventas: GRANDE 4 (Mas de 1.000.000 UF) | Empleados: 988</t>
        </is>
      </c>
      <c r="M37" s="66" t="inlineStr">
        <is>
          <t>Tier 1 - VIP (Alta Venta + DM)</t>
        </is>
      </c>
      <c r="N37" s="61" t="n"/>
      <c r="O37" s="61" t="n"/>
      <c r="P37" s="61" t="n"/>
      <c r="Q37" s="61" t="n"/>
      <c r="R37" s="61" t="n"/>
      <c r="S37" s="62" t="n"/>
      <c r="T37" s="61" t="n"/>
    </row>
    <row r="38" ht="15.75" customHeight="1" s="38">
      <c r="A38" s="66" t="inlineStr">
        <is>
          <t>B y M Agencia Marítima S.A.</t>
        </is>
      </c>
      <c r="B38" s="66" t="inlineStr">
        <is>
          <t>Agencias Marítimas</t>
        </is>
      </c>
      <c r="C38" s="66" t="inlineStr">
        <is>
          <t>Santiago</t>
        </is>
      </c>
      <c r="D38" s="66" t="n"/>
      <c r="E38" s="66" t="n"/>
      <c r="F38" s="66" t="n"/>
      <c r="G38" s="66" t="inlineStr">
        <is>
          <t>Gerente de TI / CIO (Director de Tecnología)</t>
        </is>
      </c>
      <c r="H38" s="66" t="n"/>
      <c r="I38" s="66" t="inlineStr">
        <is>
          <t>(56) 2 2347 2100</t>
        </is>
      </c>
      <c r="J38" s="66" t="n"/>
      <c r="K38" s="66" t="inlineStr">
        <is>
          <t>78.986.820-4</t>
        </is>
      </c>
      <c r="L38" s="66" t="inlineStr">
        <is>
          <t>Ventas: GRANDE 3 (600.000 - 1.000.000 UF) | Empleados: 132</t>
        </is>
      </c>
      <c r="M38" s="66" t="inlineStr">
        <is>
          <t>Tier 1 - VIP (Alta Venta + DM)</t>
        </is>
      </c>
      <c r="N38" s="61" t="n"/>
      <c r="O38" s="61" t="n"/>
      <c r="P38" s="61" t="n"/>
      <c r="Q38" s="61" t="n"/>
      <c r="R38" s="61" t="n"/>
      <c r="S38" s="62" t="n"/>
      <c r="T38" s="61" t="n"/>
    </row>
    <row r="39" ht="15.75" customHeight="1" s="38">
      <c r="A39" s="59" t="inlineStr">
        <is>
          <t>BASF Chile S.A.</t>
        </is>
      </c>
      <c r="B39" s="59" t="inlineStr">
        <is>
          <t>Productos Químicos para la Minería</t>
        </is>
      </c>
      <c r="C39" s="59" t="inlineStr">
        <is>
          <t>Santiago</t>
        </is>
      </c>
      <c r="D39" s="59" t="inlineStr">
        <is>
          <t>Transformación Digital Clusters Región Andes</t>
        </is>
      </c>
      <c r="E39" s="59" t="n"/>
      <c r="F39" s="59" t="inlineStr">
        <is>
          <t>https://cl.linkedin.com/in/jonathan-rojas-diaz</t>
        </is>
      </c>
      <c r="G39" s="59" t="inlineStr">
        <is>
          <t>Jonathan Rojas (Gerente Digitalización)</t>
        </is>
      </c>
      <c r="H39" s="59" t="n"/>
      <c r="I39" s="59" t="inlineStr">
        <is>
          <t>(56) 2 2640 7000</t>
        </is>
      </c>
      <c r="J39" s="59" t="n"/>
      <c r="K39" s="59" t="inlineStr">
        <is>
          <t>80.043.600-1</t>
        </is>
      </c>
      <c r="L39" s="59" t="inlineStr">
        <is>
          <t>Ventas: GRANDE (Estimado por Empleados) | Empleados: 256</t>
        </is>
      </c>
      <c r="M39" s="59" t="inlineStr">
        <is>
          <t>Tier 1 - OPORTUNIDAD ACTIVA (VIP)</t>
        </is>
      </c>
      <c r="N39" s="61" t="n"/>
      <c r="O39" s="61" t="n"/>
      <c r="P39" s="61" t="n"/>
      <c r="Q39" s="61" t="n"/>
      <c r="R39" s="61" t="n"/>
      <c r="S39" s="62" t="n"/>
      <c r="T39" s="61" t="n"/>
    </row>
    <row r="40" ht="15.75" customHeight="1" s="38">
      <c r="A40" s="66" t="inlineStr">
        <is>
          <t>BC Bearing Chile S.A.</t>
        </is>
      </c>
      <c r="B40" s="66" t="inlineStr">
        <is>
          <t>Acoplamientos Flexibles, Poleas, Rodamientos</t>
        </is>
      </c>
      <c r="C40" s="66" t="inlineStr">
        <is>
          <t>Santiago</t>
        </is>
      </c>
      <c r="D40" s="66" t="n"/>
      <c r="E40" s="66" t="n"/>
      <c r="F40" s="66" t="n"/>
      <c r="G40" s="66" t="inlineStr">
        <is>
          <t>Gerente de TI / CIO (Director de Tecnología)</t>
        </is>
      </c>
      <c r="H40" s="66" t="n"/>
      <c r="I40" s="66" t="inlineStr">
        <is>
          <t>(56) 2 2351 5332</t>
        </is>
      </c>
      <c r="J40" s="66" t="n"/>
      <c r="K40" s="66" t="inlineStr">
        <is>
          <t>96.678.530-6</t>
        </is>
      </c>
      <c r="L40" s="66" t="inlineStr">
        <is>
          <t>Ventas: GRANDE 3 (600.000 - 1.000.000 UF) | Empleados: 51</t>
        </is>
      </c>
      <c r="M40" s="66" t="inlineStr">
        <is>
          <t>Tier 1 - VIP (Alta Venta + DM)</t>
        </is>
      </c>
      <c r="N40" s="61" t="n"/>
      <c r="O40" s="61" t="n"/>
      <c r="P40" s="61" t="n"/>
      <c r="Q40" s="61" t="n"/>
      <c r="R40" s="61" t="n"/>
      <c r="S40" s="62" t="n"/>
      <c r="T40" s="61" t="n"/>
    </row>
    <row r="41" ht="15.75" customHeight="1" s="38">
      <c r="A41" s="66" t="inlineStr">
        <is>
          <t>BFS Chile</t>
        </is>
      </c>
      <c r="B41" s="66" t="inlineStr">
        <is>
          <t>Proveedor Destacado, Dataloggers, Equipos Contra Incendio, Equipos de Monitoreo y Telegestión, Plantas de Tratamiento de Agua, Sistemas de Filtración, Válvulas de Control, Válvulas de Corte y Similares, Válvulas de Venteo</t>
        </is>
      </c>
      <c r="C41" s="66" t="inlineStr">
        <is>
          <t>Santiago</t>
        </is>
      </c>
      <c r="D41" s="66" t="n"/>
      <c r="E41" s="66" t="n"/>
      <c r="F41" s="66" t="n"/>
      <c r="G41" s="66" t="inlineStr">
        <is>
          <t>Gerente de TI / CIO (Director de Tecnología)</t>
        </is>
      </c>
      <c r="H41" s="66" t="n"/>
      <c r="I41" s="66" t="inlineStr">
        <is>
          <t>(56) 2 2489 5100</t>
        </is>
      </c>
      <c r="J41" s="66" t="inlineStr">
        <is>
          <t>http://www.bfschile.com</t>
        </is>
      </c>
      <c r="K41" s="66" t="inlineStr">
        <is>
          <t>96.808.700-2</t>
        </is>
      </c>
      <c r="L41" s="66" t="inlineStr">
        <is>
          <t>Ventas: GRANDE 3 (600.000 - 1.000.000 UF) | Empleados: 91</t>
        </is>
      </c>
      <c r="M41" s="66" t="inlineStr">
        <is>
          <t>Tier 1 - VIP (Alta Venta + DM)</t>
        </is>
      </c>
      <c r="N41" s="61" t="n"/>
      <c r="O41" s="61" t="n"/>
      <c r="P41" s="61" t="n"/>
      <c r="Q41" s="61" t="n"/>
      <c r="R41" s="61" t="n"/>
      <c r="S41" s="62" t="n"/>
      <c r="T41" s="61" t="n"/>
    </row>
    <row r="42" ht="15.75" customHeight="1" s="38">
      <c r="A42" s="59" t="inlineStr">
        <is>
          <t>Bailac</t>
        </is>
      </c>
      <c r="B42" s="59" t="inlineStr">
        <is>
          <t>Aros y Llantas para Camiones, Reciclaje de Neumáticos OTR</t>
        </is>
      </c>
      <c r="C42" s="59" t="inlineStr">
        <is>
          <t>Santiago</t>
        </is>
      </c>
      <c r="D42" s="59" t="inlineStr">
        <is>
          <t>Tecnología Gestión Neumáticos &amp; Economía Circular</t>
        </is>
      </c>
      <c r="E42" s="59" t="n"/>
      <c r="F42" s="59" t="inlineStr">
        <is>
          <t>https://cl.linkedin.com/in/raimundo-bailac-pereira-b53269104</t>
        </is>
      </c>
      <c r="G42" s="59" t="inlineStr">
        <is>
          <t>Raimundo Bailac (GG)</t>
        </is>
      </c>
      <c r="H42" s="59" t="n"/>
      <c r="I42" s="59" t="inlineStr">
        <is>
          <t>(56) 2 2915 9130</t>
        </is>
      </c>
      <c r="J42" s="59" t="n"/>
      <c r="K42" s="59" t="inlineStr">
        <is>
          <t>79.722.740-4</t>
        </is>
      </c>
      <c r="L42" s="59" t="inlineStr">
        <is>
          <t>Ventas: GRANDE 2 (200.000 - 600.000 UF) | Empleados: 95</t>
        </is>
      </c>
      <c r="M42" s="59" t="inlineStr">
        <is>
          <t>Tier 1 - OPORTUNIDAD ACTIVA (VIP)</t>
        </is>
      </c>
      <c r="N42" s="61" t="n"/>
      <c r="O42" s="61" t="n"/>
      <c r="P42" s="61" t="n"/>
      <c r="Q42" s="61" t="n"/>
      <c r="R42" s="61" t="n"/>
      <c r="S42" s="62" t="n"/>
      <c r="T42" s="61" t="n"/>
    </row>
    <row r="43" ht="15.75" customHeight="1" s="38">
      <c r="A43" s="59" t="inlineStr">
        <is>
          <t>Bailac Thor Saan Ltda.</t>
        </is>
      </c>
      <c r="B43" s="59" t="inlineStr">
        <is>
          <t>Recauchaje de Neumáticos, Servicios de Reparación de Neumáticos Gigantes a la Minería</t>
        </is>
      </c>
      <c r="C43" s="59" t="inlineStr">
        <is>
          <t>Iquique</t>
        </is>
      </c>
      <c r="D43" s="59" t="inlineStr">
        <is>
          <t>Tecnología Gestión Neumáticos &amp; Economía Circular</t>
        </is>
      </c>
      <c r="E43" s="59" t="n"/>
      <c r="F43" s="59" t="inlineStr">
        <is>
          <t>https://cl.linkedin.com/in/raimundo-bailac-pereira-b53269104</t>
        </is>
      </c>
      <c r="G43" s="59" t="inlineStr">
        <is>
          <t>Raimundo Bailac (GG)</t>
        </is>
      </c>
      <c r="H43" s="59" t="n"/>
      <c r="I43" s="59" t="inlineStr">
        <is>
          <t>(56) 57 251 8300</t>
        </is>
      </c>
      <c r="J43" s="59" t="n"/>
      <c r="K43" s="59" t="inlineStr">
        <is>
          <t>78.080.330-4</t>
        </is>
      </c>
      <c r="L43" s="59" t="inlineStr">
        <is>
          <t>Ventas: GRANDE 3 (600.000 - 1.000.000 UF) | Empleados: 156</t>
        </is>
      </c>
      <c r="M43" s="59" t="inlineStr">
        <is>
          <t>Tier 1 - OPORTUNIDAD ACTIVA (VIP)</t>
        </is>
      </c>
      <c r="N43" s="61" t="n"/>
      <c r="O43" s="61" t="n"/>
      <c r="P43" s="61" t="n"/>
      <c r="Q43" s="61" t="n"/>
      <c r="R43" s="61" t="n"/>
      <c r="S43" s="62" t="n"/>
      <c r="T43" s="61" t="n"/>
    </row>
    <row r="44" ht="15.75" customHeight="1" s="38">
      <c r="A44" s="66" t="inlineStr">
        <is>
          <t>Baker McKenzie, Servicios Legales SpA</t>
        </is>
      </c>
      <c r="B44" s="66" t="inlineStr">
        <is>
          <t>Asesorías Jurídicas en Minería, Servicios Legales</t>
        </is>
      </c>
      <c r="C44" s="66" t="inlineStr">
        <is>
          <t>Santiago</t>
        </is>
      </c>
      <c r="D44" s="66" t="n"/>
      <c r="E44" s="66" t="n"/>
      <c r="F44" s="66" t="n"/>
      <c r="G44" s="66" t="inlineStr">
        <is>
          <t>Gerente de TI / CIO (Director de Tecnología)</t>
        </is>
      </c>
      <c r="H44" s="66" t="n"/>
      <c r="I44" s="66" t="inlineStr">
        <is>
          <t>(56) 2 2367 7000</t>
        </is>
      </c>
      <c r="J44" s="66" t="n"/>
      <c r="K44" s="66" t="inlineStr">
        <is>
          <t>76.451.566-8</t>
        </is>
      </c>
      <c r="L44" s="66" t="inlineStr">
        <is>
          <t>Ventas: GRANDE 3 (600.000 - 1.000.000 UF) | Empleados: 56</t>
        </is>
      </c>
      <c r="M44" s="66" t="inlineStr">
        <is>
          <t>Tier 1 - VIP (Alta Venta + DM)</t>
        </is>
      </c>
      <c r="N44" s="61" t="n"/>
      <c r="O44" s="61" t="n"/>
      <c r="P44" s="61" t="n"/>
      <c r="Q44" s="61" t="n"/>
      <c r="R44" s="61" t="n"/>
      <c r="S44" s="62" t="n"/>
      <c r="T44" s="61" t="n"/>
    </row>
    <row r="45" ht="15.75" customHeight="1" s="38">
      <c r="A45" s="59" t="inlineStr">
        <is>
          <t>Barraca de Fierro San Joaquín SpA</t>
        </is>
      </c>
      <c r="B45" s="59" t="inlineStr">
        <is>
          <t>Barracas de Acero, Barracas de Fierros</t>
        </is>
      </c>
      <c r="C45" s="59" t="inlineStr">
        <is>
          <t>Santiago</t>
        </is>
      </c>
      <c r="D45" s="59" t="inlineStr">
        <is>
          <t>Transformación Digital Ventas &amp; Inventario</t>
        </is>
      </c>
      <c r="E45" s="59" t="n"/>
      <c r="F45" s="59" t="inlineStr">
        <is>
          <t>https://cl.linkedin.com/in/martin-vera-0b1a1b1b</t>
        </is>
      </c>
      <c r="G45" s="59" t="inlineStr">
        <is>
          <t>Martín Vera (CIO/CTO)</t>
        </is>
      </c>
      <c r="H45" s="59" t="n"/>
      <c r="I45" s="59" t="inlineStr">
        <is>
          <t>(56) 2 2551 6867</t>
        </is>
      </c>
      <c r="J45" s="59" t="n"/>
      <c r="K45" s="59" t="inlineStr">
        <is>
          <t>96.654.030-3</t>
        </is>
      </c>
      <c r="L45" s="59" t="inlineStr">
        <is>
          <t>Ventas: GRANDE 2 (200.000 - 600.000 UF) | Empleados: 21</t>
        </is>
      </c>
      <c r="M45" s="59" t="inlineStr">
        <is>
          <t>Tier 1 - OPORTUNIDAD ACTIVA (VIP)</t>
        </is>
      </c>
      <c r="N45" s="61" t="n"/>
      <c r="O45" s="61" t="n"/>
      <c r="P45" s="61" t="n"/>
      <c r="Q45" s="61" t="n"/>
      <c r="R45" s="61" t="n"/>
      <c r="S45" s="62" t="n"/>
      <c r="T45" s="61" t="n"/>
    </row>
    <row r="46" ht="15.75" customHeight="1" s="38">
      <c r="A46" s="59" t="inlineStr">
        <is>
          <t>Bartech</t>
        </is>
      </c>
      <c r="B46" s="59" t="inlineStr">
        <is>
          <t>Capturadores de Información, Control de Accesos</t>
        </is>
      </c>
      <c r="C46" s="59" t="inlineStr">
        <is>
          <t>Santiago</t>
        </is>
      </c>
      <c r="D46" s="59" t="inlineStr">
        <is>
          <t>Investigación en Proceso</t>
        </is>
      </c>
      <c r="E46" s="59" t="n"/>
      <c r="F46" s="59" t="n"/>
      <c r="G46" s="59" t="inlineStr">
        <is>
          <t>Raul Lara (Gerente Comercial y Desarrollo)</t>
        </is>
      </c>
      <c r="H46" s="59" t="inlineStr">
        <is>
          <t>raul.lara@bartech.cl</t>
        </is>
      </c>
      <c r="I46" s="59" t="inlineStr">
        <is>
          <t>(56) 2 2923 8600</t>
        </is>
      </c>
      <c r="J46" s="59" t="n"/>
      <c r="K46" s="59" t="inlineStr">
        <is>
          <t>99.539.070-1</t>
        </is>
      </c>
      <c r="L46" s="59" t="inlineStr">
        <is>
          <t>Ventas: GRANDE 3 (600.000 - 1.000.000 UF) | Empleados: 20</t>
        </is>
      </c>
      <c r="M46" s="59" t="inlineStr">
        <is>
          <t>Tier 1 - OPORTUNIDAD ACTIVA (VIP)</t>
        </is>
      </c>
      <c r="N46" s="61" t="n"/>
      <c r="O46" s="61" t="n"/>
      <c r="P46" s="61" t="n"/>
      <c r="Q46" s="61" t="n"/>
      <c r="R46" s="61" t="n"/>
      <c r="S46" s="62" t="n"/>
      <c r="T46" s="61" t="n"/>
    </row>
    <row r="47" ht="15.75" customHeight="1" s="38">
      <c r="A47" s="66" t="inlineStr">
        <is>
          <t>Basalto Drilling</t>
        </is>
      </c>
      <c r="B47" s="66" t="inlineStr">
        <is>
          <t>Servicios de Perforación, Sondajes Diamantinos</t>
        </is>
      </c>
      <c r="C47" s="66" t="inlineStr">
        <is>
          <t>Santiago</t>
        </is>
      </c>
      <c r="D47" s="66" t="n"/>
      <c r="E47" s="66" t="n"/>
      <c r="F47" s="66" t="n"/>
      <c r="G47" s="66" t="inlineStr">
        <is>
          <t>Gerente de TI / CIO (Director de Tecnología)</t>
        </is>
      </c>
      <c r="H47" s="66" t="n"/>
      <c r="I47" s="66" t="inlineStr">
        <is>
          <t>(56) 2 3216 6092</t>
        </is>
      </c>
      <c r="J47" s="66" t="n"/>
      <c r="K47" s="66" t="inlineStr">
        <is>
          <t>76472652-9</t>
        </is>
      </c>
      <c r="L47" s="66" t="inlineStr">
        <is>
          <t>Ventas: GRANDE 3 (600.000 - 1.000.000 UF) | Empleados: 170</t>
        </is>
      </c>
      <c r="M47" s="66" t="inlineStr">
        <is>
          <t>Tier 1 - VIP (Alta Venta + DM)</t>
        </is>
      </c>
      <c r="N47" s="61" t="n"/>
      <c r="O47" s="61" t="n"/>
      <c r="P47" s="61" t="n"/>
      <c r="Q47" s="61" t="n"/>
      <c r="R47" s="61" t="n"/>
      <c r="S47" s="62" t="n"/>
      <c r="T47" s="61" t="n"/>
    </row>
    <row r="48" ht="15.75" customHeight="1" s="38">
      <c r="A48" s="59" t="inlineStr">
        <is>
          <t>Bechtel Chile Ltda.</t>
        </is>
      </c>
      <c r="B48" s="59" t="inlineStr">
        <is>
          <t>Construcción de Plantas Mineras</t>
        </is>
      </c>
      <c r="C48" s="59" t="inlineStr">
        <is>
          <t>Santiago</t>
        </is>
      </c>
      <c r="D48" s="59" t="inlineStr">
        <is>
          <t>Sistemas IT Ingeniería Minería &amp; Infraestructura</t>
        </is>
      </c>
      <c r="E48" s="59" t="n"/>
      <c r="F48" s="59" t="inlineStr">
        <is>
          <t>https://cl.linkedin.com/in/felipe-espinoza-yentzen-377a3b67</t>
        </is>
      </c>
      <c r="G48" s="59" t="inlineStr">
        <is>
          <t>Felipe Espinoza (Infrastructure Lead)</t>
        </is>
      </c>
      <c r="H48" s="59" t="n"/>
      <c r="I48" s="59" t="inlineStr">
        <is>
          <t>(56) 2 2675 1000</t>
        </is>
      </c>
      <c r="J48" s="59" t="n"/>
      <c r="K48" s="59" t="inlineStr">
        <is>
          <t>95.207.000-2</t>
        </is>
      </c>
      <c r="L48" s="59" t="inlineStr">
        <is>
          <t>Ventas: GRANDE (Estimado por Empleados) | Empleados: 1820</t>
        </is>
      </c>
      <c r="M48" s="59" t="inlineStr">
        <is>
          <t>Tier 1 - OPORTUNIDAD ACTIVA (VIP)</t>
        </is>
      </c>
      <c r="N48" s="61" t="n"/>
      <c r="O48" s="61" t="n"/>
      <c r="P48" s="61" t="n"/>
      <c r="Q48" s="61" t="n"/>
      <c r="R48" s="61" t="n"/>
      <c r="S48" s="62" t="n"/>
      <c r="T48" s="61" t="n"/>
    </row>
    <row r="49" ht="15.75" customHeight="1" s="38">
      <c r="A49" s="59" t="inlineStr">
        <is>
          <t>Beiben Truck</t>
        </is>
      </c>
      <c r="B49" s="59" t="inlineStr">
        <is>
          <t>Bulldozers, Camiones Carreteros y Fuera de Carretera (OTR)</t>
        </is>
      </c>
      <c r="C49" s="59" t="inlineStr">
        <is>
          <t>Santiago</t>
        </is>
      </c>
      <c r="D49" s="59" t="inlineStr">
        <is>
          <t>Camiones Autónomos para Minería</t>
        </is>
      </c>
      <c r="E49" s="59" t="n"/>
      <c r="F49" s="59" t="inlineStr">
        <is>
          <t>https://cl.linkedin.com/in/philipp-kaufmann-beiben-truck-94828180</t>
        </is>
      </c>
      <c r="G49" s="59" t="inlineStr">
        <is>
          <t>Philipp Kaufmann (CEO)</t>
        </is>
      </c>
      <c r="H49" s="59" t="n"/>
      <c r="I49" s="59" t="inlineStr">
        <is>
          <t>(56) 2 2797 6200</t>
        </is>
      </c>
      <c r="J49" s="59" t="n"/>
      <c r="K49" s="59" t="inlineStr">
        <is>
          <t>76.077.627-0</t>
        </is>
      </c>
      <c r="L49" s="59" t="inlineStr">
        <is>
          <t>Ventas: GRANDE 2 (200.000 - 600.000 UF) | Empleados: 13</t>
        </is>
      </c>
      <c r="M49" s="59" t="inlineStr">
        <is>
          <t>Tier 1 - OPORTUNIDAD ACTIVA (VIP)</t>
        </is>
      </c>
      <c r="N49" s="61" t="n"/>
      <c r="O49" s="61" t="n"/>
      <c r="P49" s="61" t="n"/>
      <c r="Q49" s="61" t="n"/>
      <c r="R49" s="61" t="n"/>
      <c r="S49" s="62" t="n"/>
      <c r="T49" s="61" t="n"/>
    </row>
    <row r="50" ht="15.75" customHeight="1" s="38">
      <c r="A50" s="66" t="inlineStr">
        <is>
          <t>Beka</t>
        </is>
      </c>
      <c r="B50" s="66" t="inlineStr">
        <is>
          <t>Plantas Dosificadoras para Hormigón</t>
        </is>
      </c>
      <c r="C50" s="66" t="inlineStr">
        <is>
          <t>Santiago</t>
        </is>
      </c>
      <c r="D50" s="66" t="n"/>
      <c r="E50" s="66" t="n"/>
      <c r="F50" s="66" t="n"/>
      <c r="G50" s="66" t="inlineStr">
        <is>
          <t>Gerente de TI / CIO (Director de Tecnología)</t>
        </is>
      </c>
      <c r="H50" s="66" t="n"/>
      <c r="I50" s="66" t="inlineStr">
        <is>
          <t>(56) 2 2753 6700</t>
        </is>
      </c>
      <c r="J50" s="66" t="n"/>
      <c r="K50" s="66" t="inlineStr">
        <is>
          <t>76.108.278-7</t>
        </is>
      </c>
      <c r="L50" s="66" t="inlineStr">
        <is>
          <t>Ventas: GRANDE 3 (600.000 - 1.000.000 UF) | Empleados: 66</t>
        </is>
      </c>
      <c r="M50" s="66" t="inlineStr">
        <is>
          <t>Tier 1 - VIP (Alta Venta + DM)</t>
        </is>
      </c>
      <c r="N50" s="61" t="n"/>
      <c r="O50" s="61" t="n"/>
      <c r="P50" s="61" t="n"/>
      <c r="Q50" s="61" t="n"/>
      <c r="R50" s="61" t="n"/>
      <c r="S50" s="62" t="n"/>
      <c r="T50" s="61" t="n"/>
    </row>
    <row r="51" ht="15.75" customHeight="1" s="38">
      <c r="A51" s="59" t="inlineStr">
        <is>
          <t>Bertech</t>
        </is>
      </c>
      <c r="B51" s="59" t="inlineStr">
        <is>
          <t>Productos Químicos para la Mantención de Equipos Mineros, Productos Químicos para la Minería, Revestimientos Industriales</t>
        </is>
      </c>
      <c r="C51" s="59" t="inlineStr">
        <is>
          <t>Santiago</t>
        </is>
      </c>
      <c r="D51" s="59" t="inlineStr">
        <is>
          <t>Transf. Digital Revestimientos Industriales</t>
        </is>
      </c>
      <c r="E51" s="59" t="n"/>
      <c r="F51" s="59" t="inlineStr">
        <is>
          <t>https://cl.linkedin.com/in/pedro-fernandez-parraguez</t>
        </is>
      </c>
      <c r="G51" s="59" t="inlineStr">
        <is>
          <t>Pedro Fernández Parraguez (IT Manager)</t>
        </is>
      </c>
      <c r="H51" s="59" t="n"/>
      <c r="I51" s="59" t="inlineStr">
        <is>
          <t>(56) 2 2246 3485</t>
        </is>
      </c>
      <c r="J51" s="59" t="n"/>
      <c r="K51" s="59" t="inlineStr">
        <is>
          <t>76.054.686-0</t>
        </is>
      </c>
      <c r="L51" s="59" t="inlineStr">
        <is>
          <t>Ventas: GRANDE 2 (200.000 - 600.000 UF) | Empleados: 152</t>
        </is>
      </c>
      <c r="M51" s="59" t="inlineStr">
        <is>
          <t>Tier 1 - OPORTUNIDAD ACTIVA (VIP)</t>
        </is>
      </c>
      <c r="N51" s="61" t="n"/>
      <c r="O51" s="61" t="n"/>
      <c r="P51" s="61" t="n"/>
      <c r="Q51" s="61" t="n"/>
      <c r="R51" s="61" t="n"/>
      <c r="S51" s="62" t="n"/>
      <c r="T51" s="61" t="n"/>
    </row>
    <row r="52" ht="15.75" customHeight="1" s="38">
      <c r="A52" s="59" t="inlineStr">
        <is>
          <t>Biggi (Chile) S.A.</t>
        </is>
      </c>
      <c r="B52" s="59" t="inlineStr">
        <is>
          <t>Cocinas Industriales, Equipos para Preparar Alimentos</t>
        </is>
      </c>
      <c r="C52" s="59" t="inlineStr">
        <is>
          <t>Santiago</t>
        </is>
      </c>
      <c r="D52" s="59" t="inlineStr">
        <is>
          <t>IoT Equipamiento Cocinas Industriales</t>
        </is>
      </c>
      <c r="E52" s="59" t="n"/>
      <c r="F52" s="59" t="inlineStr">
        <is>
          <t>https://www.biggi.cl/</t>
        </is>
      </c>
      <c r="G52" s="59" t="inlineStr">
        <is>
          <t>Sergio Biggi (Gerente General)</t>
        </is>
      </c>
      <c r="H52" s="59" t="n"/>
      <c r="I52" s="59" t="inlineStr">
        <is>
          <t>(56) 2 2412 6200</t>
        </is>
      </c>
      <c r="J52" s="59" t="n"/>
      <c r="K52" s="59" t="inlineStr">
        <is>
          <t>91.462.001-5</t>
        </is>
      </c>
      <c r="L52" s="59" t="inlineStr">
        <is>
          <t>Ventas: GRANDE 2 (200.000 - 600.000 UF) | Empleados: 6</t>
        </is>
      </c>
      <c r="M52" s="59" t="inlineStr">
        <is>
          <t>Tier 1 - OPORTUNIDAD ACTIVA (VIP)</t>
        </is>
      </c>
      <c r="N52" s="61" t="n"/>
      <c r="O52" s="61" t="n"/>
      <c r="P52" s="61" t="n"/>
      <c r="Q52" s="61" t="n"/>
      <c r="R52" s="61" t="n"/>
      <c r="S52" s="62" t="n"/>
      <c r="T52" s="61" t="n"/>
    </row>
    <row r="53" ht="15.75" customHeight="1" s="38">
      <c r="A53" s="66" t="inlineStr">
        <is>
          <t>Bignotti Hermanos S.A.</t>
        </is>
      </c>
      <c r="B53" s="66" t="inlineStr">
        <is>
          <t>Equipos para Refinerías Electrolíticas</t>
        </is>
      </c>
      <c r="C53" s="66" t="inlineStr">
        <is>
          <t>Santiago</t>
        </is>
      </c>
      <c r="D53" s="66" t="n"/>
      <c r="E53" s="66" t="n"/>
      <c r="F53" s="66" t="n"/>
      <c r="G53" s="66" t="inlineStr">
        <is>
          <t>Gerente de TI / CIO (Director de Tecnología)</t>
        </is>
      </c>
      <c r="H53" s="66" t="n"/>
      <c r="I53" s="66" t="inlineStr">
        <is>
          <t>(56) 2 2836 4400</t>
        </is>
      </c>
      <c r="J53" s="66" t="n"/>
      <c r="K53" s="66" t="inlineStr">
        <is>
          <t>80.113.000-3</t>
        </is>
      </c>
      <c r="L53" s="66" t="inlineStr">
        <is>
          <t>Ventas: GRANDE 3 (600.000 - 1.000.000 UF) | Empleados: 103</t>
        </is>
      </c>
      <c r="M53" s="66" t="inlineStr">
        <is>
          <t>Tier 1 - VIP (Alta Venta + DM)</t>
        </is>
      </c>
      <c r="N53" s="61" t="n"/>
      <c r="O53" s="61" t="n"/>
      <c r="P53" s="61" t="n"/>
      <c r="Q53" s="61" t="n"/>
      <c r="R53" s="61" t="n"/>
      <c r="S53" s="62" t="n"/>
      <c r="T53" s="61" t="n"/>
    </row>
    <row r="54" ht="15.75" customHeight="1" s="38">
      <c r="A54" s="59" t="inlineStr">
        <is>
          <t>Bimex Ltda.</t>
        </is>
      </c>
      <c r="B54" s="59" t="inlineStr">
        <is>
          <t>Equipos Eléctricos</t>
        </is>
      </c>
      <c r="C54" s="59" t="inlineStr">
        <is>
          <t>Santiago</t>
        </is>
      </c>
      <c r="D54" s="59" t="inlineStr">
        <is>
          <t>Modernización Sistemas LIS Laboratorio</t>
        </is>
      </c>
      <c r="E54" s="59" t="n"/>
      <c r="F54" s="59" t="inlineStr">
        <is>
          <t>https://www.bimex.cl/</t>
        </is>
      </c>
      <c r="G54" s="59" t="inlineStr">
        <is>
          <t>Alberto Harrison (General Manager)</t>
        </is>
      </c>
      <c r="H54" s="59" t="n"/>
      <c r="I54" s="59" t="inlineStr">
        <is>
          <t>(56) 2 2306 2200</t>
        </is>
      </c>
      <c r="J54" s="59" t="n"/>
      <c r="K54" s="59" t="inlineStr">
        <is>
          <t>78.836.730-9</t>
        </is>
      </c>
      <c r="L54" s="59" t="inlineStr">
        <is>
          <t>Ventas: GRANDE 2 (200.000 - 600.000 UF) | Empleados: 9</t>
        </is>
      </c>
      <c r="M54" s="59" t="inlineStr">
        <is>
          <t>Tier 1 - OPORTUNIDAD ACTIVA (VIP)</t>
        </is>
      </c>
      <c r="N54" s="61" t="n"/>
      <c r="O54" s="61" t="n"/>
      <c r="P54" s="61" t="n"/>
      <c r="Q54" s="61" t="n"/>
      <c r="R54" s="61" t="n"/>
      <c r="S54" s="62" t="n"/>
      <c r="T54" s="61" t="n"/>
    </row>
    <row r="55" ht="15.75" customHeight="1" s="38">
      <c r="A55" s="59" t="inlineStr">
        <is>
          <t>Biofiltro</t>
        </is>
      </c>
      <c r="B55" s="59" t="inlineStr">
        <is>
          <t>Plantas de Tratamiento de Aguas Servidas</t>
        </is>
      </c>
      <c r="C55" s="59" t="inlineStr">
        <is>
          <t>Santiago</t>
        </is>
      </c>
      <c r="D55" s="59" t="inlineStr">
        <is>
          <t>Automatización Tratamiento Riles (Sistema BIDA)</t>
        </is>
      </c>
      <c r="E55" s="59" t="n"/>
      <c r="F55" s="59" t="inlineStr">
        <is>
          <t>https://cl.linkedin.com/in/ignacio-andr%C3%A9s-jofr%C3%A9-valenzuela-69902289</t>
        </is>
      </c>
      <c r="G55" s="59" t="inlineStr">
        <is>
          <t>Ignacio Jofré Valenzuela (Subgerente Proyectos)</t>
        </is>
      </c>
      <c r="H55" s="59" t="n"/>
      <c r="I55" s="59" t="inlineStr">
        <is>
          <t>(56) 2 3224 3648</t>
        </is>
      </c>
      <c r="J55" s="59" t="n"/>
      <c r="K55" s="59" t="inlineStr">
        <is>
          <t>76.337.422-K</t>
        </is>
      </c>
      <c r="L55" s="59" t="inlineStr">
        <is>
          <t>Ventas: GRANDE 2 (200.000 - 600.000 UF) | Empleados: 86</t>
        </is>
      </c>
      <c r="M55" s="59" t="inlineStr">
        <is>
          <t>Tier 1 - OPORTUNIDAD ACTIVA (VIP)</t>
        </is>
      </c>
      <c r="N55" s="61" t="n"/>
      <c r="O55" s="61" t="n"/>
      <c r="P55" s="61" t="n"/>
      <c r="Q55" s="61" t="n"/>
      <c r="R55" s="61" t="n"/>
      <c r="S55" s="62" t="n"/>
      <c r="T55" s="61" t="n"/>
    </row>
    <row r="56" ht="15.75" customHeight="1" s="38">
      <c r="A56" s="59" t="inlineStr">
        <is>
          <t>Biotec Chile S.A.</t>
        </is>
      </c>
      <c r="B56" s="59" t="inlineStr">
        <is>
          <t>Detergentes</t>
        </is>
      </c>
      <c r="C56" s="59" t="inlineStr">
        <is>
          <t>Santiago</t>
        </is>
      </c>
      <c r="D56" s="59" t="inlineStr">
        <is>
          <t>Investigación en Proceso</t>
        </is>
      </c>
      <c r="E56" s="59" t="n"/>
      <c r="F56" s="59" t="n"/>
      <c r="G56" s="59" t="inlineStr">
        <is>
          <t>Fabián Deramond (Gerente TI y Transf. Digital)</t>
        </is>
      </c>
      <c r="H56" s="59" t="inlineStr">
        <is>
          <t>f.deramond@biotec.cl</t>
        </is>
      </c>
      <c r="I56" s="59" t="inlineStr">
        <is>
          <t>(56) 2 2963 4500</t>
        </is>
      </c>
      <c r="J56" s="59" t="n"/>
      <c r="K56" s="59" t="inlineStr">
        <is>
          <t>96.025.000-1</t>
        </is>
      </c>
      <c r="L56" s="59" t="inlineStr">
        <is>
          <t>Ventas: GRANDE 3 (600.000 - 1.000.000 UF) | Empleados: 77</t>
        </is>
      </c>
      <c r="M56" s="59" t="inlineStr">
        <is>
          <t>Tier 1 - OPORTUNIDAD ACTIVA (VIP)</t>
        </is>
      </c>
      <c r="N56" s="61" t="n"/>
      <c r="O56" s="61" t="n"/>
      <c r="P56" s="61" t="n"/>
      <c r="Q56" s="61" t="n"/>
      <c r="R56" s="61" t="n"/>
      <c r="S56" s="62" t="n"/>
      <c r="T56" s="61" t="n"/>
    </row>
    <row r="57" ht="15.75" customHeight="1" s="38">
      <c r="A57" s="66" t="inlineStr">
        <is>
          <t>Blumos Ltda.</t>
        </is>
      </c>
      <c r="B57" s="66" t="inlineStr">
        <is>
          <t>Tratamiento de Aguas</t>
        </is>
      </c>
      <c r="C57" s="66" t="inlineStr">
        <is>
          <t>Santiago</t>
        </is>
      </c>
      <c r="D57" s="66" t="n"/>
      <c r="E57" s="66" t="n"/>
      <c r="F57" s="66" t="n"/>
      <c r="G57" s="66" t="inlineStr">
        <is>
          <t>Gerente de TI / CIO (Director de Tecnología)</t>
        </is>
      </c>
      <c r="H57" s="66" t="n"/>
      <c r="I57" s="66" t="inlineStr">
        <is>
          <t>(56) 2 2947 3300</t>
        </is>
      </c>
      <c r="J57" s="66" t="n"/>
      <c r="K57" s="66" t="inlineStr">
        <is>
          <t>82.705.900-5</t>
        </is>
      </c>
      <c r="L57" s="66" t="inlineStr">
        <is>
          <t>Ventas: GRANDE 4 (Mas de 1.000.000 UF) | Empleados: 112</t>
        </is>
      </c>
      <c r="M57" s="66" t="inlineStr">
        <is>
          <t>Tier 1 - VIP (Alta Venta + DM)</t>
        </is>
      </c>
      <c r="N57" s="61" t="n"/>
      <c r="O57" s="61" t="n"/>
      <c r="P57" s="61" t="n"/>
      <c r="Q57" s="61" t="n"/>
      <c r="R57" s="61" t="n"/>
      <c r="S57" s="62" t="n"/>
      <c r="T57" s="61" t="n"/>
    </row>
    <row r="58" ht="15.75" customHeight="1" s="38">
      <c r="A58" s="59" t="inlineStr">
        <is>
          <t>Bombas de Pozo Ltda.</t>
        </is>
      </c>
      <c r="B58" s="59" t="inlineStr">
        <is>
          <t>Proveedor Destacado, Accesorios para Perforación, Asesorías, Bombas para Pozos Profundos, Bombas Sumergibles, Bombas Sumergibles para Pozos Profundos, Cables Sumergibles, Cañerías con Hilo, Coplas y Abrazaderas, Reparación de Equipos Hidráulicos, Servicio Técnico, Tableros Eléctricos, Tuberías Flexibles para Pozos Profundos</t>
        </is>
      </c>
      <c r="C58" s="59" t="inlineStr">
        <is>
          <t>Santiago</t>
        </is>
      </c>
      <c r="D58" s="59" t="inlineStr">
        <is>
          <t>Investigación en Proceso</t>
        </is>
      </c>
      <c r="E58" s="59" t="n"/>
      <c r="F58" s="59" t="n"/>
      <c r="G58" s="59" t="inlineStr">
        <is>
          <t>Mauricio Illanes (Socio Técnico)</t>
        </is>
      </c>
      <c r="H58" s="59" t="inlineStr">
        <is>
          <t>m.illanes@bombasdepozo.cl</t>
        </is>
      </c>
      <c r="I58" s="59" t="inlineStr">
        <is>
          <t>(56) 2 2842 0700</t>
        </is>
      </c>
      <c r="J58" s="59" t="inlineStr">
        <is>
          <t>http://www.bombasdepozo.cl</t>
        </is>
      </c>
      <c r="K58" s="59" t="inlineStr">
        <is>
          <t>78.176.700-K</t>
        </is>
      </c>
      <c r="L58" s="59" t="inlineStr">
        <is>
          <t>Ventas: GRANDE 3 (600.000 - 1.000.000 UF) | Empleados: 36</t>
        </is>
      </c>
      <c r="M58" s="59" t="inlineStr">
        <is>
          <t>Tier 1 - OPORTUNIDAD ACTIVA (VIP)</t>
        </is>
      </c>
      <c r="N58" s="61" t="n"/>
      <c r="O58" s="61" t="n"/>
      <c r="P58" s="61" t="n"/>
      <c r="Q58" s="61" t="n"/>
      <c r="R58" s="61" t="n"/>
      <c r="S58" s="62" t="n"/>
      <c r="T58" s="61" t="n"/>
    </row>
    <row r="59" ht="15.75" customHeight="1" s="38">
      <c r="A59" s="59" t="inlineStr">
        <is>
          <t>Bosch Rexroth Chile</t>
        </is>
      </c>
      <c r="B59" s="59" t="inlineStr">
        <is>
          <t>Bulldozers, Cargadoras Retroexcavadoras</t>
        </is>
      </c>
      <c r="C59" s="59" t="inlineStr">
        <is>
          <t>Santiago</t>
        </is>
      </c>
      <c r="D59" s="59" t="inlineStr">
        <is>
          <t>Monitoreo Predictivo</t>
        </is>
      </c>
      <c r="E59" s="59" t="inlineStr">
        <is>
          <t>Catálogo Soluciones</t>
        </is>
      </c>
      <c r="F59" s="59" t="inlineStr">
        <is>
          <t>https://www.boschrexroth.com/es/cl/noticias-e-historias/mineria/soluciones-bosch-rexroth-para-mineria/</t>
        </is>
      </c>
      <c r="G59" s="59" t="inlineStr">
        <is>
          <t>Oscar Torres (Jefe Proyectos TI)</t>
        </is>
      </c>
      <c r="H59" s="59" t="inlineStr">
        <is>
          <t>oscar.torres@boschrexroth.cl</t>
        </is>
      </c>
      <c r="I59" s="59" t="inlineStr">
        <is>
          <t>(56) 2 2487 3700</t>
        </is>
      </c>
      <c r="J59" s="59" t="n"/>
      <c r="K59" s="59" t="inlineStr">
        <is>
          <t>76.365.959-3</t>
        </is>
      </c>
      <c r="L59" s="59" t="inlineStr">
        <is>
          <t>Ventas: GRANDE 4 (Mas de 1.000.000 UF) | Empleados: 79</t>
        </is>
      </c>
      <c r="M59" s="59" t="inlineStr">
        <is>
          <t>Tier 1 - OPORTUNIDAD ACTIVA (VIP)</t>
        </is>
      </c>
      <c r="N59" s="61" t="n"/>
      <c r="O59" s="61" t="n"/>
      <c r="P59" s="61" t="n"/>
      <c r="Q59" s="61" t="n"/>
      <c r="R59" s="61" t="n"/>
      <c r="S59" s="62" t="n"/>
      <c r="T59" s="61" t="n"/>
    </row>
    <row r="60" ht="15.75" customHeight="1" s="38">
      <c r="A60" s="59" t="inlineStr">
        <is>
          <t>Bottai S.A.</t>
        </is>
      </c>
      <c r="B60" s="59" t="inlineStr">
        <is>
          <t>Prefabricados de Concreto y Hormigón, Tubos de Concreto y Hormigón</t>
        </is>
      </c>
      <c r="C60" s="59" t="inlineStr">
        <is>
          <t>Santiago</t>
        </is>
      </c>
      <c r="D60" s="59" t="inlineStr">
        <is>
          <t>Investigación en Proceso</t>
        </is>
      </c>
      <c r="E60" s="59" t="n"/>
      <c r="F60" s="59" t="n"/>
      <c r="G60" s="59" t="inlineStr">
        <is>
          <t>Rodrigo Gimenez Fernandez (Gerente Comercial)</t>
        </is>
      </c>
      <c r="H60" s="59" t="inlineStr">
        <is>
          <t>r.gimenez@bottai.cl</t>
        </is>
      </c>
      <c r="I60" s="59" t="inlineStr">
        <is>
          <t>(56) 2 2413 1200</t>
        </is>
      </c>
      <c r="J60" s="59" t="n"/>
      <c r="K60" s="59" t="inlineStr">
        <is>
          <t>80.125.100-5</t>
        </is>
      </c>
      <c r="L60" s="59" t="inlineStr">
        <is>
          <t>Ventas: GRANDE 3 (600.000 - 1.000.000 UF) | Empleados: 384</t>
        </is>
      </c>
      <c r="M60" s="59" t="inlineStr">
        <is>
          <t>Tier 1 - OPORTUNIDAD ACTIVA (VIP)</t>
        </is>
      </c>
      <c r="N60" s="61" t="n"/>
      <c r="O60" s="61" t="n"/>
      <c r="P60" s="61" t="n"/>
      <c r="Q60" s="61" t="n"/>
      <c r="R60" s="61" t="n"/>
      <c r="S60" s="62" t="n"/>
      <c r="T60" s="61" t="n"/>
    </row>
    <row r="61" ht="15.75" customHeight="1" s="38">
      <c r="A61" s="59" t="inlineStr">
        <is>
          <t>Bradken Chile</t>
        </is>
      </c>
      <c r="B61" s="59" t="inlineStr">
        <is>
          <t>Revestimientos para Molinos</t>
        </is>
      </c>
      <c r="C61" s="59" t="inlineStr">
        <is>
          <t>Santiago</t>
        </is>
      </c>
      <c r="D61" s="59" t="inlineStr">
        <is>
          <t>Investigación en Proceso</t>
        </is>
      </c>
      <c r="E61" s="59" t="n"/>
      <c r="F61" s="59" t="n"/>
      <c r="G61" s="59" t="inlineStr">
        <is>
          <t>Juan Carlos Rojas (IT Manager)</t>
        </is>
      </c>
      <c r="H61" s="59" t="inlineStr">
        <is>
          <t>j.rojas@bradken.com</t>
        </is>
      </c>
      <c r="I61" s="59" t="n"/>
      <c r="J61" s="59" t="n"/>
      <c r="K61" s="59" t="inlineStr">
        <is>
          <t>76980920-1</t>
        </is>
      </c>
      <c r="L61" s="59" t="inlineStr">
        <is>
          <t>Ventas: GRANDE 3 (600.000 - 1.000.000 UF) | Empleados: 28</t>
        </is>
      </c>
      <c r="M61" s="59" t="inlineStr">
        <is>
          <t>Tier 1 - OPORTUNIDAD ACTIVA (VIP)</t>
        </is>
      </c>
      <c r="N61" s="61" t="n"/>
      <c r="O61" s="61" t="n"/>
      <c r="P61" s="61" t="n"/>
      <c r="Q61" s="61" t="n"/>
      <c r="R61" s="61" t="n"/>
      <c r="S61" s="62" t="n"/>
      <c r="T61" s="61" t="n"/>
    </row>
    <row r="62" ht="15.75" customHeight="1" s="38">
      <c r="A62" s="59" t="inlineStr">
        <is>
          <t>Budge Chile SpA</t>
        </is>
      </c>
      <c r="B62" s="59" t="inlineStr">
        <is>
          <t>Transmisiones Mecánicas</t>
        </is>
      </c>
      <c r="C62" s="59" t="inlineStr">
        <is>
          <t>Iquique</t>
        </is>
      </c>
      <c r="D62" s="59" t="inlineStr">
        <is>
          <t>Modernización Grid &amp; Software Energía</t>
        </is>
      </c>
      <c r="E62" s="59" t="n"/>
      <c r="F62" s="59" t="inlineStr">
        <is>
          <t>https://www.ge.com/news/reports/ge-chile-100-years</t>
        </is>
      </c>
      <c r="G62" s="59" t="inlineStr">
        <is>
          <t>Rodrigo Elizondo (CEO Chile)</t>
        </is>
      </c>
      <c r="H62" s="59" t="n"/>
      <c r="I62" s="59" t="inlineStr">
        <is>
          <t>(56) 2 2885 4224</t>
        </is>
      </c>
      <c r="J62" s="59" t="n"/>
      <c r="K62" s="59" t="inlineStr">
        <is>
          <t>76.869.432-K</t>
        </is>
      </c>
      <c r="L62" s="59" t="inlineStr">
        <is>
          <t>Ventas: GRANDE 1 (100.000 - 200.000 UF) | Empleados: 3</t>
        </is>
      </c>
      <c r="M62" s="59" t="inlineStr">
        <is>
          <t>Tier 1 - OPORTUNIDAD ACTIVA (VIP)</t>
        </is>
      </c>
      <c r="N62" s="61" t="n"/>
      <c r="O62" s="61" t="n"/>
      <c r="P62" s="61" t="n"/>
      <c r="Q62" s="61" t="n"/>
      <c r="R62" s="61" t="n"/>
      <c r="S62" s="62" t="n"/>
      <c r="T62" s="61" t="n"/>
    </row>
    <row r="63" ht="15.75" customHeight="1" s="38">
      <c r="A63" s="59" t="inlineStr">
        <is>
          <t>CEIM - Centro de Entrenamiento Industrial y Minero</t>
        </is>
      </c>
      <c r="B63" s="59" t="inlineStr">
        <is>
          <t>Proveedor Destacado, Capacitación, Capacitación de Personal, Capacitación de Soldadores, Capacitación en Especialidades Mineras, Capacitación en Mantenimiento de Equipos Pesados, Capacitación en Operación de Equipos Mineros, Capacitación en Operación de Grúas, Capacitación en Operación de Plantas Mineras, Capacitación en Seguridad y Psicolaboral, Educación para la Minería</t>
        </is>
      </c>
      <c r="C63" s="59" t="inlineStr">
        <is>
          <t>Antofagasta</t>
        </is>
      </c>
      <c r="D63" s="59" t="inlineStr">
        <is>
          <t>Digitalización Capacitación Minera</t>
        </is>
      </c>
      <c r="E63" s="59" t="n"/>
      <c r="F63" s="59" t="inlineStr">
        <is>
          <t>https://www.ceim.cl/</t>
        </is>
      </c>
      <c r="G63" s="59" t="inlineStr">
        <is>
          <t>Milton Flores (Gerente Desarrollo Competencias)</t>
        </is>
      </c>
      <c r="H63" s="59" t="n"/>
      <c r="I63" s="59" t="inlineStr">
        <is>
          <t>(56) 55 245 6001</t>
        </is>
      </c>
      <c r="J63" s="59" t="inlineStr">
        <is>
          <t>http://www.ceim.cl</t>
        </is>
      </c>
      <c r="K63" s="59" t="inlineStr">
        <is>
          <t>74.191.400-K</t>
        </is>
      </c>
      <c r="L63" s="59" t="inlineStr">
        <is>
          <t>Ventas: GRANDE 3 (600.000 - 1.000.000 UF) | Empleados: 184</t>
        </is>
      </c>
      <c r="M63" s="59" t="inlineStr">
        <is>
          <t>Tier 1 - OPORTUNIDAD ACTIVA (VIP)</t>
        </is>
      </c>
      <c r="N63" s="61" t="n"/>
      <c r="O63" s="61" t="n"/>
      <c r="P63" s="61" t="n"/>
      <c r="Q63" s="61" t="n"/>
      <c r="R63" s="61" t="n"/>
      <c r="S63" s="62" t="n"/>
      <c r="T63" s="61" t="n"/>
    </row>
    <row r="64" ht="15.75" customHeight="1" s="38">
      <c r="A64" s="59" t="inlineStr">
        <is>
          <t>CEIM Ltda. - Certificaciones y Servicios</t>
        </is>
      </c>
      <c r="B64" s="59" t="inlineStr">
        <is>
          <t>Proveedor Destacado, Asesorías en Mecánica, Asesorías en Minería, Asesorías en Procesos Mineros, Asesorías en Proyectos Industriales, Asesorías en Seguridad, Certificación de Competencias Laborales, Certificación de Equipos Mineros, Certificación de Grúas, Certificación de Operadores de Maquinarias y Equipos</t>
        </is>
      </c>
      <c r="C64" s="59" t="inlineStr">
        <is>
          <t>Antofagasta</t>
        </is>
      </c>
      <c r="D64" s="59" t="inlineStr">
        <is>
          <t>Digitalización Capacitación Minera</t>
        </is>
      </c>
      <c r="E64" s="59" t="n"/>
      <c r="F64" s="59" t="inlineStr">
        <is>
          <t>https://www.ceim.cl/</t>
        </is>
      </c>
      <c r="G64" s="59" t="inlineStr">
        <is>
          <t>Milton Flores (Gerente Desarrollo Competencias)</t>
        </is>
      </c>
      <c r="H64" s="59" t="n"/>
      <c r="I64" s="59" t="inlineStr">
        <is>
          <t>(56) 55 245 6000</t>
        </is>
      </c>
      <c r="J64" s="59" t="inlineStr">
        <is>
          <t>http://www.ceim.cl</t>
        </is>
      </c>
      <c r="K64" s="59" t="inlineStr">
        <is>
          <t>76.613.900-0</t>
        </is>
      </c>
      <c r="L64" s="59" t="inlineStr">
        <is>
          <t>Ventas: GRANDE 3 (600.000 - 1.000.000 UF) | Empleados: 102</t>
        </is>
      </c>
      <c r="M64" s="59" t="inlineStr">
        <is>
          <t>Tier 1 - OPORTUNIDAD ACTIVA (VIP)</t>
        </is>
      </c>
      <c r="N64" s="61" t="n"/>
      <c r="O64" s="61" t="n"/>
      <c r="P64" s="61" t="n"/>
      <c r="Q64" s="61" t="n"/>
      <c r="R64" s="61" t="n"/>
      <c r="S64" s="62" t="n"/>
      <c r="T64" s="61" t="n"/>
    </row>
    <row r="65" ht="15.75" customHeight="1" s="38">
      <c r="A65" s="59" t="inlineStr">
        <is>
          <t>CGE C</t>
        </is>
      </c>
      <c r="B65" s="59" t="inlineStr">
        <is>
          <t>Alumbrado Público y Privado (aéreo y subterráneo), Corrientes Débiles, Empalmes, Redes Aéreas y Subterráneas, Sistemas para Aumento de Potencia, Venta, Arriendo e Instalación de Equipos Eléctricos</t>
        </is>
      </c>
      <c r="C65" s="59" t="inlineStr">
        <is>
          <t>Santiago</t>
        </is>
      </c>
      <c r="D65" s="59" t="inlineStr">
        <is>
          <t>Digitalización Redes</t>
        </is>
      </c>
      <c r="E65" s="59" t="inlineStr">
        <is>
          <t>LinkedIn CDO</t>
        </is>
      </c>
      <c r="F65" s="59" t="inlineStr">
        <is>
          <t>https://cl.linkedin.com/in/cristian-ormazabal</t>
        </is>
      </c>
      <c r="G65" s="59" t="inlineStr">
        <is>
          <t>Cristian Ormazábal (Chief Digital Officer (CDO))</t>
        </is>
      </c>
      <c r="H65" s="59" t="inlineStr">
        <is>
          <t>cormazabal@cge.cl</t>
        </is>
      </c>
      <c r="I65" s="59" t="inlineStr">
        <is>
          <t>(56) 2 2280 7400</t>
        </is>
      </c>
      <c r="J65" s="59" t="n"/>
      <c r="K65" s="59" t="inlineStr">
        <is>
          <t>77.316.204-2</t>
        </is>
      </c>
      <c r="L65" s="59" t="inlineStr">
        <is>
          <t>Ventas: GRANDE 4 (Mas de 1.000.000 UF) | Empleados: 52</t>
        </is>
      </c>
      <c r="M65" s="59" t="inlineStr">
        <is>
          <t>Tier 1 - OPORTUNIDAD ACTIVA (VIP)</t>
        </is>
      </c>
      <c r="N65" s="61" t="n"/>
      <c r="O65" s="61" t="n"/>
      <c r="P65" s="61" t="n"/>
      <c r="Q65" s="61" t="n"/>
      <c r="R65" s="61" t="n"/>
      <c r="S65" s="62" t="n"/>
      <c r="T65" s="61" t="n"/>
    </row>
    <row r="66" ht="15.75" customHeight="1" s="38">
      <c r="A66" s="59" t="inlineStr">
        <is>
          <t>Canon Chile S.A.</t>
        </is>
      </c>
      <c r="B66" s="59" t="inlineStr">
        <is>
          <t>Equipos para Oficina</t>
        </is>
      </c>
      <c r="C66" s="59" t="inlineStr">
        <is>
          <t>Santiago</t>
        </is>
      </c>
      <c r="D66" s="59" t="inlineStr">
        <is>
          <t>Gestión Documental Cloud</t>
        </is>
      </c>
      <c r="E66" s="59" t="inlineStr">
        <is>
          <t>Estrategia Regional 2025</t>
        </is>
      </c>
      <c r="F66" s="59" t="inlineStr">
        <is>
          <t>https://www.canon.cl/blog/fortaleciendo-alianzas-y-estrategias-de-negocios-canon-reunio-sus-canales-regionales-en-su</t>
        </is>
      </c>
      <c r="G66" s="59" t="inlineStr">
        <is>
          <t>Aaron Fuentes Calderón (Gerente de TI)</t>
        </is>
      </c>
      <c r="H66" s="59" t="inlineStr">
        <is>
          <t>afuentes@canon.cl</t>
        </is>
      </c>
      <c r="I66" s="59" t="inlineStr">
        <is>
          <t>(56) 2 2477 6200</t>
        </is>
      </c>
      <c r="J66" s="59" t="n"/>
      <c r="K66" s="59" t="inlineStr">
        <is>
          <t>96.716.060-1</t>
        </is>
      </c>
      <c r="L66" s="59" t="inlineStr">
        <is>
          <t>Ventas: GRANDE 4 (Mas de 1.000.000 UF) | Empleados: 138</t>
        </is>
      </c>
      <c r="M66" s="59" t="inlineStr">
        <is>
          <t>Tier 1 - OPORTUNIDAD ACTIVA (VIP)</t>
        </is>
      </c>
      <c r="N66" s="61" t="n"/>
      <c r="O66" s="61" t="n"/>
      <c r="P66" s="61" t="n"/>
      <c r="Q66" s="61" t="n"/>
      <c r="R66" s="61" t="n"/>
      <c r="S66" s="62" t="n"/>
      <c r="T66" s="61" t="n"/>
    </row>
    <row r="67" ht="15.75" customHeight="1" s="38">
      <c r="A67" s="59" t="inlineStr">
        <is>
          <t>Caxtor</t>
        </is>
      </c>
      <c r="B67" s="59" t="inlineStr">
        <is>
          <t>Energía Solar</t>
        </is>
      </c>
      <c r="C67" s="59" t="inlineStr">
        <is>
          <t>Santiago</t>
        </is>
      </c>
      <c r="D67" s="59" t="inlineStr">
        <is>
          <t>Modernización Infraestructura Telecom &amp; Marítima</t>
        </is>
      </c>
      <c r="E67" s="59" t="n"/>
      <c r="F67" s="59" t="inlineStr">
        <is>
          <t>https://cl.linkedin.com/company/grupo-caxtor</t>
        </is>
      </c>
      <c r="G67" s="59" t="inlineStr">
        <is>
          <t>Brian Smith Hanne (Gte Comercial)</t>
        </is>
      </c>
      <c r="H67" s="59" t="n"/>
      <c r="I67" s="59" t="inlineStr">
        <is>
          <t>(56) 2 2791 9662</t>
        </is>
      </c>
      <c r="J67" s="59" t="n"/>
      <c r="K67" s="59" t="inlineStr">
        <is>
          <t>76.152.409-7</t>
        </is>
      </c>
      <c r="L67" s="59" t="inlineStr">
        <is>
          <t>Ventas: GRANDE 2 (200.000 - 600.000 UF) | Empleados: 36</t>
        </is>
      </c>
      <c r="M67" s="59" t="inlineStr">
        <is>
          <t>Tier 1 - OPORTUNIDAD ACTIVA (VIP)</t>
        </is>
      </c>
      <c r="N67" s="61" t="n"/>
      <c r="O67" s="61" t="n"/>
      <c r="P67" s="61" t="n"/>
      <c r="Q67" s="61" t="n"/>
      <c r="R67" s="61" t="n"/>
      <c r="S67" s="62" t="n"/>
      <c r="T67" s="61" t="n"/>
    </row>
    <row r="68" ht="15.75" customHeight="1" s="38">
      <c r="A68" s="59" t="inlineStr">
        <is>
          <t>Centro Médico del Trabajador (CMT)</t>
        </is>
      </c>
      <c r="B68" s="59" t="inlineStr">
        <is>
          <t>Proveedor Destacado, Centro Médico de Salud Ocupacional, Centros Médicos, Reclutamiento y Selección</t>
        </is>
      </c>
      <c r="C68" s="59" t="inlineStr">
        <is>
          <t>Santiago</t>
        </is>
      </c>
      <c r="D68" s="59" t="inlineStr">
        <is>
          <t>Transformación Digital Salud Ocupacional</t>
        </is>
      </c>
      <c r="E68" s="59" t="n"/>
      <c r="F68" s="59" t="inlineStr">
        <is>
          <t>https://cl.linkedin.com/in/ignacio-henderson-gonzalez-08108754</t>
        </is>
      </c>
      <c r="G68" s="59" t="inlineStr">
        <is>
          <t>Ignacio Henderson Gonzalez (Director Innovación)</t>
        </is>
      </c>
      <c r="H68" s="59" t="n"/>
      <c r="I68" s="59" t="inlineStr">
        <is>
          <t>(56) 2 2634 2492</t>
        </is>
      </c>
      <c r="J68" s="59" t="inlineStr">
        <is>
          <t>http://www.cmtsalud.cl</t>
        </is>
      </c>
      <c r="K68" s="59" t="inlineStr">
        <is>
          <t>76.247.147-7</t>
        </is>
      </c>
      <c r="L68" s="59" t="inlineStr">
        <is>
          <t>Ventas: GRANDE 3 (600.000 - 1.000.000 UF) | Empleados: 388</t>
        </is>
      </c>
      <c r="M68" s="59" t="inlineStr">
        <is>
          <t>Tier 1 - OPORTUNIDAD ACTIVA (VIP)</t>
        </is>
      </c>
      <c r="N68" s="61" t="n"/>
      <c r="O68" s="61" t="n"/>
      <c r="P68" s="61" t="n"/>
      <c r="Q68" s="61" t="n"/>
      <c r="R68" s="61" t="n"/>
      <c r="S68" s="62" t="n"/>
      <c r="T68" s="61" t="n"/>
    </row>
    <row r="69" ht="15.75" customHeight="1" s="38">
      <c r="A69" s="66" t="inlineStr">
        <is>
          <t>Christensen Chile S.A.</t>
        </is>
      </c>
      <c r="B69" s="66" t="inlineStr">
        <is>
          <t>Aditivos para Sondajes Mineros, Cromado Industrial</t>
        </is>
      </c>
      <c r="C69" s="66" t="inlineStr">
        <is>
          <t>Santiago</t>
        </is>
      </c>
      <c r="D69" s="66" t="n"/>
      <c r="E69" s="66" t="n"/>
      <c r="F69" s="66" t="n"/>
      <c r="G69" s="66" t="inlineStr">
        <is>
          <t>Gerente de TI / CIO (Director de Tecnología)</t>
        </is>
      </c>
      <c r="H69" s="66" t="n"/>
      <c r="I69" s="66" t="inlineStr">
        <is>
          <t>(56) 2 2620 7847</t>
        </is>
      </c>
      <c r="J69" s="66" t="n"/>
      <c r="K69" s="66" t="inlineStr">
        <is>
          <t>96.515.290-3</t>
        </is>
      </c>
      <c r="L69" s="66" t="inlineStr">
        <is>
          <t>Ventas: GRANDE 4 (Mas de 1.000.000 UF) | Empleados: 198</t>
        </is>
      </c>
      <c r="M69" s="66" t="inlineStr">
        <is>
          <t>Tier 1 - VIP (Alta Venta + DM)</t>
        </is>
      </c>
      <c r="N69" s="61" t="n"/>
      <c r="O69" s="61" t="n"/>
      <c r="P69" s="61" t="n"/>
      <c r="Q69" s="61" t="n"/>
      <c r="R69" s="61" t="n"/>
      <c r="S69" s="62" t="n"/>
      <c r="T69" s="61" t="n"/>
    </row>
    <row r="70" ht="15.75" customHeight="1" s="38">
      <c r="A70" s="66" t="inlineStr">
        <is>
          <t>Clemsa</t>
        </is>
      </c>
      <c r="B70" s="66" t="inlineStr">
        <is>
          <t>Camiones, Cargadores Frontales</t>
        </is>
      </c>
      <c r="C70" s="66" t="inlineStr">
        <is>
          <t>Santiago</t>
        </is>
      </c>
      <c r="D70" s="66" t="n"/>
      <c r="E70" s="66" t="n"/>
      <c r="F70" s="66" t="n"/>
      <c r="G70" s="66" t="inlineStr">
        <is>
          <t>Gerente de TI / CIO (Director de Tecnología)</t>
        </is>
      </c>
      <c r="H70" s="66" t="n"/>
      <c r="I70" s="66" t="inlineStr">
        <is>
          <t>(56) 2 2510 8100</t>
        </is>
      </c>
      <c r="J70" s="66" t="n"/>
      <c r="K70" s="66" t="inlineStr">
        <is>
          <t>94.836.000-4</t>
        </is>
      </c>
      <c r="L70" s="66" t="inlineStr">
        <is>
          <t>Ventas: GRANDE 4 (Mas de 1.000.000 UF) | Empleados: 133</t>
        </is>
      </c>
      <c r="M70" s="66" t="inlineStr">
        <is>
          <t>Tier 1 - VIP (Alta Venta + DM)</t>
        </is>
      </c>
      <c r="N70" s="61" t="n"/>
      <c r="O70" s="61" t="n"/>
      <c r="P70" s="61" t="n"/>
      <c r="Q70" s="61" t="n"/>
      <c r="R70" s="61" t="n"/>
      <c r="S70" s="62" t="n"/>
      <c r="T70" s="61" t="n"/>
    </row>
    <row r="71" ht="15.75" customHeight="1" s="38">
      <c r="A71" s="59" t="inlineStr">
        <is>
          <t>Codelco Chile División Salvador</t>
        </is>
      </c>
      <c r="B71" s="59" t="inlineStr">
        <is>
          <t>Barro Anódico, Cátodos de Cobre, Cobre, Concentrado de Cobre, Plata</t>
        </is>
      </c>
      <c r="C71" s="59" t="inlineStr">
        <is>
          <t>El Salvador</t>
        </is>
      </c>
      <c r="D71" s="59" t="inlineStr">
        <is>
          <t>Digitalización Faenas</t>
        </is>
      </c>
      <c r="E71" s="59" t="inlineStr">
        <is>
          <t>Reporte Integrado 2024</t>
        </is>
      </c>
      <c r="F71" s="59" t="inlineStr">
        <is>
          <t>https://www.codelco.com/sustentabilidad/reporte-integrado</t>
        </is>
      </c>
      <c r="G71" s="59" t="inlineStr">
        <is>
          <t>José Ramón Abatte (Gerente Corp Tecnología)</t>
        </is>
      </c>
      <c r="H71" s="59" t="inlineStr">
        <is>
          <t>jabatte@codelco.cl</t>
        </is>
      </c>
      <c r="I71" s="59" t="inlineStr">
        <is>
          <t>(56) 52 247 2514</t>
        </is>
      </c>
      <c r="J71" s="59" t="n"/>
      <c r="K71" s="59" t="inlineStr">
        <is>
          <t>61.704.000-K</t>
        </is>
      </c>
      <c r="L71" s="59" t="inlineStr">
        <is>
          <t>Ventas: GRANDE (Estimado por Empleados) | Empleados: 16946</t>
        </is>
      </c>
      <c r="M71" s="59" t="inlineStr">
        <is>
          <t>Tier 1 - OPORTUNIDAD ACTIVA (VIP)</t>
        </is>
      </c>
      <c r="N71" s="61" t="n"/>
      <c r="O71" s="61" t="n"/>
      <c r="P71" s="61" t="n"/>
      <c r="Q71" s="61" t="n"/>
      <c r="R71" s="61" t="n"/>
      <c r="S71" s="62" t="n"/>
      <c r="T71" s="61" t="n"/>
    </row>
    <row r="72" ht="15.75" customHeight="1" s="38">
      <c r="A72" s="59" t="inlineStr">
        <is>
          <t>Comaco Servicios Logísticos SpA</t>
        </is>
      </c>
      <c r="B72" s="59" t="inlineStr">
        <is>
          <t>Arriendo de Grúas, Arriendo de Grúas Horquilla</t>
        </is>
      </c>
      <c r="C72" s="59" t="inlineStr">
        <is>
          <t>Santiago</t>
        </is>
      </c>
      <c r="D72" s="59" t="inlineStr">
        <is>
          <t>Continuidad Operativa Plantas</t>
        </is>
      </c>
      <c r="E72" s="59" t="inlineStr">
        <is>
          <t>LinkedIn</t>
        </is>
      </c>
      <c r="F72" s="59" t="inlineStr">
        <is>
          <t>https://cl.linkedin.com/in/ariel-viveros-s%C3%A1ez-a2883650</t>
        </is>
      </c>
      <c r="G72" s="59" t="inlineStr">
        <is>
          <t>Ariel Viveros Sáez (Jefe Proyectos TI)</t>
        </is>
      </c>
      <c r="H72" s="59" t="n"/>
      <c r="I72" s="59" t="inlineStr">
        <is>
          <t>(56) 2 2222 3192</t>
        </is>
      </c>
      <c r="J72" s="59" t="n"/>
      <c r="K72" s="59" t="inlineStr">
        <is>
          <t>99.587.850-K</t>
        </is>
      </c>
      <c r="L72" s="59" t="inlineStr">
        <is>
          <t>Ventas: GRANDE 2 (200.000 - 600.000 UF) | Empleados: 61</t>
        </is>
      </c>
      <c r="M72" s="59" t="inlineStr">
        <is>
          <t>Tier 1 - OPORTUNIDAD ACTIVA (VIP)</t>
        </is>
      </c>
      <c r="N72" s="61" t="n"/>
      <c r="O72" s="61" t="n"/>
      <c r="P72" s="61" t="n"/>
      <c r="Q72" s="61" t="n"/>
      <c r="R72" s="61" t="n"/>
      <c r="S72" s="62" t="n"/>
      <c r="T72" s="61" t="n"/>
    </row>
    <row r="73" ht="15.75" customHeight="1" s="38">
      <c r="A73" s="66" t="inlineStr">
        <is>
          <t>Comercial Aragón S.A.</t>
        </is>
      </c>
      <c r="B73" s="66" t="inlineStr">
        <is>
          <t>Desarrollo de Proyectos Eléctricos</t>
        </is>
      </c>
      <c r="C73" s="66" t="inlineStr">
        <is>
          <t>Santiago</t>
        </is>
      </c>
      <c r="D73" s="66" t="n"/>
      <c r="E73" s="66" t="n"/>
      <c r="F73" s="66" t="n"/>
      <c r="G73" s="66" t="inlineStr">
        <is>
          <t>Gerente de TI / CIO (Director de Tecnología)</t>
        </is>
      </c>
      <c r="H73" s="66" t="n"/>
      <c r="I73" s="66" t="inlineStr">
        <is>
          <t>(56) 2 2495 3000</t>
        </is>
      </c>
      <c r="J73" s="66" t="n"/>
      <c r="K73" s="66" t="inlineStr">
        <is>
          <t>78.430.830-8</t>
        </is>
      </c>
      <c r="L73" s="66" t="inlineStr">
        <is>
          <t>Ventas: GRANDE 4 (Mas de 1.000.000 UF) | Empleados: 127</t>
        </is>
      </c>
      <c r="M73" s="66" t="inlineStr">
        <is>
          <t>Tier 1 - VIP (Alta Venta + DM)</t>
        </is>
      </c>
      <c r="N73" s="61" t="n"/>
      <c r="O73" s="61" t="n"/>
      <c r="P73" s="61" t="n"/>
      <c r="Q73" s="61" t="n"/>
      <c r="R73" s="61" t="n"/>
      <c r="S73" s="62" t="n"/>
      <c r="T73" s="61" t="n"/>
    </row>
    <row r="74" ht="15.75" customHeight="1" s="38">
      <c r="A74" s="66" t="inlineStr">
        <is>
          <t>Comercial Sinsef Ltda.</t>
        </is>
      </c>
      <c r="B74" s="66" t="inlineStr">
        <is>
          <t>Aislantes Térmicos, Empaquetaduras, Sellos Mecánicos</t>
        </is>
      </c>
      <c r="C74" s="66" t="inlineStr">
        <is>
          <t>Concepción</t>
        </is>
      </c>
      <c r="D74" s="66" t="n"/>
      <c r="E74" s="66" t="n"/>
      <c r="F74" s="66" t="n"/>
      <c r="G74" s="66" t="inlineStr">
        <is>
          <t>Gerente de TI / CIO (Director de Tecnología)</t>
        </is>
      </c>
      <c r="H74" s="66" t="n"/>
      <c r="I74" s="66" t="inlineStr">
        <is>
          <t>(56) 41 248 5656</t>
        </is>
      </c>
      <c r="J74" s="66" t="n"/>
      <c r="K74" s="66" t="inlineStr">
        <is>
          <t>78.292.360-9</t>
        </is>
      </c>
      <c r="L74" s="66" t="inlineStr">
        <is>
          <t>Ventas: GRANDE 3 (600.000 - 1.000.000 UF) | Empleados: 55</t>
        </is>
      </c>
      <c r="M74" s="66" t="inlineStr">
        <is>
          <t>Tier 1 - VIP (Alta Venta + DM)</t>
        </is>
      </c>
      <c r="N74" s="61" t="n"/>
      <c r="O74" s="61" t="n"/>
      <c r="P74" s="61" t="n"/>
      <c r="Q74" s="61" t="n"/>
      <c r="R74" s="61" t="n"/>
      <c r="S74" s="62" t="n"/>
      <c r="T74" s="61" t="n"/>
    </row>
    <row r="75" ht="15.75" customHeight="1" s="38">
      <c r="A75" s="59" t="inlineStr">
        <is>
          <t>Comgrap Ltda. / 3D - BIM</t>
        </is>
      </c>
      <c r="B75" s="59" t="inlineStr">
        <is>
          <t>Software para Control de Proyectos, Software para la Minería, Software para Mantenimiento de Plantas Mineras</t>
        </is>
      </c>
      <c r="C75" s="59" t="inlineStr">
        <is>
          <t>Santiago</t>
        </is>
      </c>
      <c r="D75" s="59" t="inlineStr">
        <is>
          <t>DigitalHub LMS &amp; Estándares BIM ISO 19650</t>
        </is>
      </c>
      <c r="E75" s="59" t="inlineStr">
        <is>
          <t>Comgrap.cl</t>
        </is>
      </c>
      <c r="F75" s="59" t="n"/>
      <c r="G75" s="59" t="inlineStr">
        <is>
          <t>Ricardo Rizzi Limone (Gerente General)</t>
        </is>
      </c>
      <c r="H75" s="59" t="inlineStr">
        <is>
          <t>rrizzi@comgrap.cl</t>
        </is>
      </c>
      <c r="I75" s="59" t="inlineStr">
        <is>
          <t>(56) 2 2592 9000</t>
        </is>
      </c>
      <c r="J75" s="59" t="n"/>
      <c r="K75" s="59" t="inlineStr">
        <is>
          <t>79.770.640-K</t>
        </is>
      </c>
      <c r="L75" s="59" t="inlineStr">
        <is>
          <t>Ventas: GRANDE 3 (600.000 - 1.000.000 UF) | Empleados: 37</t>
        </is>
      </c>
      <c r="M75" s="59" t="inlineStr">
        <is>
          <t>Tier 1 - OPORTUNIDAD ACTIVA (VIP)</t>
        </is>
      </c>
      <c r="N75" s="61" t="n"/>
      <c r="O75" s="61" t="n"/>
      <c r="P75" s="61" t="n"/>
      <c r="Q75" s="61" t="n"/>
      <c r="R75" s="61" t="n"/>
      <c r="S75" s="62" t="n"/>
      <c r="T75" s="61" t="n"/>
    </row>
    <row r="76" ht="15.75" customHeight="1" s="38">
      <c r="A76" s="66" t="inlineStr">
        <is>
          <t>Consorcio Santa Marta S.A.</t>
        </is>
      </c>
      <c r="B76" s="66" t="inlineStr">
        <is>
          <t>Plantas para Tratamiento de Riles, Rellenos Sanitarios</t>
        </is>
      </c>
      <c r="C76" s="66" t="inlineStr">
        <is>
          <t>Santiago</t>
        </is>
      </c>
      <c r="D76" s="66" t="n"/>
      <c r="E76" s="66" t="n"/>
      <c r="F76" s="66" t="n"/>
      <c r="G76" s="66" t="inlineStr">
        <is>
          <t>Gerente de TI / CIO (Director de Tecnología)</t>
        </is>
      </c>
      <c r="H76" s="66" t="n"/>
      <c r="I76" s="66" t="inlineStr">
        <is>
          <t>(56) 2 2592 1234</t>
        </is>
      </c>
      <c r="J76" s="66" t="n"/>
      <c r="K76" s="66" t="inlineStr">
        <is>
          <t>96.828.810-5</t>
        </is>
      </c>
      <c r="L76" s="66" t="inlineStr">
        <is>
          <t>Ventas: GRANDE 4 (Mas de 1.000.000 UF) | Empleados: 505</t>
        </is>
      </c>
      <c r="M76" s="66" t="inlineStr">
        <is>
          <t>Tier 1 - VIP (Alta Venta + DM)</t>
        </is>
      </c>
      <c r="N76" s="61" t="n"/>
      <c r="O76" s="61" t="n"/>
      <c r="P76" s="61" t="n"/>
      <c r="Q76" s="61" t="n"/>
      <c r="R76" s="61" t="n"/>
      <c r="S76" s="62" t="n"/>
      <c r="T76" s="61" t="n"/>
    </row>
    <row r="77" ht="15.75" customHeight="1" s="38">
      <c r="A77" s="59" t="inlineStr">
        <is>
          <t>Constructora Inarco S.A.</t>
        </is>
      </c>
      <c r="B77" s="59" t="inlineStr">
        <is>
          <t>Construcción de Obras Civiles, Construcción Industrial</t>
        </is>
      </c>
      <c r="C77" s="59" t="inlineStr">
        <is>
          <t>Santiago</t>
        </is>
      </c>
      <c r="D77" s="59" t="inlineStr">
        <is>
          <t>Digitalización BIM &amp; Workflows CMS</t>
        </is>
      </c>
      <c r="E77" s="59" t="n"/>
      <c r="F77" s="59" t="inlineStr">
        <is>
          <t>https://cl.linkedin.com/in/hugo-mu%C3%B1oz-b587061a</t>
        </is>
      </c>
      <c r="G77" s="59" t="inlineStr">
        <is>
          <t>Hugo Muñoz (SubGerente TI)</t>
        </is>
      </c>
      <c r="H77" s="59" t="n"/>
      <c r="I77" s="59" t="inlineStr">
        <is>
          <t>(56) 2 2240 8400</t>
        </is>
      </c>
      <c r="J77" s="59" t="n"/>
      <c r="K77" s="59" t="inlineStr">
        <is>
          <t>96.513.310-0</t>
        </is>
      </c>
      <c r="L77" s="59" t="inlineStr">
        <is>
          <t>Ventas: GRANDE (Estimado por Empleados) | Empleados: 1654</t>
        </is>
      </c>
      <c r="M77" s="59" t="inlineStr">
        <is>
          <t>Tier 1 - OPORTUNIDAD ACTIVA (VIP)</t>
        </is>
      </c>
      <c r="N77" s="61" t="n"/>
      <c r="O77" s="61" t="n"/>
      <c r="P77" s="61" t="n"/>
      <c r="Q77" s="61" t="n"/>
      <c r="R77" s="61" t="n"/>
      <c r="S77" s="62" t="n"/>
      <c r="T77" s="61" t="n"/>
    </row>
    <row r="78" ht="15.75" customHeight="1" s="38">
      <c r="A78" s="66" t="inlineStr">
        <is>
          <t>DB Schenker Chile</t>
        </is>
      </c>
      <c r="B78" s="66" t="inlineStr">
        <is>
          <t>Transporte Aéreo, Transporte Marítimo, Transporte Terrestre</t>
        </is>
      </c>
      <c r="C78" s="66" t="inlineStr">
        <is>
          <t>Santiago</t>
        </is>
      </c>
      <c r="D78" s="66" t="n"/>
      <c r="E78" s="66" t="n"/>
      <c r="F78" s="66" t="n"/>
      <c r="G78" s="66" t="inlineStr">
        <is>
          <t>Gerente de TI / CIO (Director de Tecnología)</t>
        </is>
      </c>
      <c r="H78" s="66" t="n"/>
      <c r="I78" s="66" t="inlineStr">
        <is>
          <t>(56) 2 3210 4630</t>
        </is>
      </c>
      <c r="J78" s="66" t="n"/>
      <c r="K78" s="66" t="inlineStr">
        <is>
          <t>78.141.230-9</t>
        </is>
      </c>
      <c r="L78" s="66" t="inlineStr">
        <is>
          <t>Ventas: GRANDE 4 (Mas de 1.000.000 UF) | Empleados: 221</t>
        </is>
      </c>
      <c r="M78" s="66" t="inlineStr">
        <is>
          <t>Tier 1 - VIP (Alta Venta + DM)</t>
        </is>
      </c>
      <c r="N78" s="61" t="n"/>
      <c r="O78" s="61" t="n"/>
      <c r="P78" s="61" t="n"/>
      <c r="Q78" s="61" t="n"/>
      <c r="R78" s="61" t="n"/>
      <c r="S78" s="62" t="n"/>
      <c r="T78" s="61" t="n"/>
    </row>
    <row r="79" ht="15.75" customHeight="1" s="38">
      <c r="A79" s="66" t="inlineStr">
        <is>
          <t>Danfoss Chile Ltda.</t>
        </is>
      </c>
      <c r="B79" s="66" t="inlineStr">
        <is>
          <t>Bombas, Convertidores de Frecuencia</t>
        </is>
      </c>
      <c r="C79" s="66" t="inlineStr">
        <is>
          <t>Santiago</t>
        </is>
      </c>
      <c r="D79" s="66" t="n"/>
      <c r="E79" s="66" t="n"/>
      <c r="F79" s="66" t="n"/>
      <c r="G79" s="66" t="inlineStr">
        <is>
          <t>Gerente de TI / CIO (Director de Tecnología)</t>
        </is>
      </c>
      <c r="H79" s="66" t="n"/>
      <c r="I79" s="66" t="inlineStr">
        <is>
          <t>(56) 2 2897 8800</t>
        </is>
      </c>
      <c r="J79" s="66" t="n"/>
      <c r="K79" s="66" t="inlineStr">
        <is>
          <t>78.923.930-4</t>
        </is>
      </c>
      <c r="L79" s="66" t="inlineStr">
        <is>
          <t>Ventas: GRANDE 4 (Mas de 1.000.000 UF) | Empleados: 31</t>
        </is>
      </c>
      <c r="M79" s="66" t="inlineStr">
        <is>
          <t>Tier 1 - VIP (Alta Venta + DM)</t>
        </is>
      </c>
      <c r="N79" s="61" t="n"/>
      <c r="O79" s="61" t="n"/>
      <c r="P79" s="61" t="n"/>
      <c r="Q79" s="61" t="n"/>
      <c r="R79" s="61" t="n"/>
      <c r="S79" s="62" t="n"/>
      <c r="T79" s="61" t="n"/>
    </row>
    <row r="80" ht="15.75" customHeight="1" s="38">
      <c r="A80" s="59" t="inlineStr">
        <is>
          <t>Datamine</t>
        </is>
      </c>
      <c r="B80" s="59" t="inlineStr">
        <is>
          <t>Consultoría en Minería, Software</t>
        </is>
      </c>
      <c r="C80" s="59" t="inlineStr">
        <is>
          <t>Santiago</t>
        </is>
      </c>
      <c r="D80" s="59" t="inlineStr">
        <is>
          <t>Transf. Digital &amp; Software Eficiencia Minera</t>
        </is>
      </c>
      <c r="E80" s="59" t="n"/>
      <c r="F80" s="59" t="inlineStr">
        <is>
          <t>https://cl.linkedin.com/in/elio-cespedes-b-61763331</t>
        </is>
      </c>
      <c r="G80" s="59" t="inlineStr">
        <is>
          <t>Elio Cespedes B (Gerente General Hispanoamerica)</t>
        </is>
      </c>
      <c r="H80" s="59" t="n"/>
      <c r="I80" s="59" t="inlineStr">
        <is>
          <t>(56) 2 2963 9920</t>
        </is>
      </c>
      <c r="J80" s="59" t="n"/>
      <c r="K80" s="59" t="inlineStr">
        <is>
          <t>96.783.640-0</t>
        </is>
      </c>
      <c r="L80" s="59" t="inlineStr">
        <is>
          <t>Ventas: GRANDE 2 (200.000 - 600.000 UF) | Empleados: 72</t>
        </is>
      </c>
      <c r="M80" s="59" t="inlineStr">
        <is>
          <t>Tier 1 - OPORTUNIDAD ACTIVA (VIP)</t>
        </is>
      </c>
      <c r="N80" s="61" t="n"/>
      <c r="O80" s="61" t="n"/>
      <c r="P80" s="61" t="n"/>
      <c r="Q80" s="61" t="n"/>
      <c r="R80" s="61" t="n"/>
      <c r="S80" s="62" t="n"/>
      <c r="T80" s="61" t="n"/>
    </row>
    <row r="81" ht="15.75" customHeight="1" s="38">
      <c r="A81" s="66" t="inlineStr">
        <is>
          <t>Diexa S.A.</t>
        </is>
      </c>
      <c r="B81" s="66" t="inlineStr">
        <is>
          <t>Sistemas para Tronaduras</t>
        </is>
      </c>
      <c r="C81" s="66" t="inlineStr">
        <is>
          <t>Santiago</t>
        </is>
      </c>
      <c r="D81" s="66" t="n"/>
      <c r="E81" s="66" t="n"/>
      <c r="F81" s="66" t="n"/>
      <c r="G81" s="66" t="inlineStr">
        <is>
          <t>Gerente de TI / CIO (Director de Tecnología)</t>
        </is>
      </c>
      <c r="H81" s="66" t="n"/>
      <c r="I81" s="66" t="inlineStr">
        <is>
          <t>(56) 2 2728 0004</t>
        </is>
      </c>
      <c r="J81" s="66" t="n"/>
      <c r="K81" s="66" t="inlineStr">
        <is>
          <t>99.505.900-2</t>
        </is>
      </c>
      <c r="L81" s="66" t="inlineStr">
        <is>
          <t>Ventas: GRANDE 4 (Mas de 1.000.000 UF) | Empleados: 397</t>
        </is>
      </c>
      <c r="M81" s="66" t="inlineStr">
        <is>
          <t>Tier 1 - VIP (Alta Venta + DM)</t>
        </is>
      </c>
      <c r="N81" s="61" t="n"/>
      <c r="O81" s="61" t="n"/>
      <c r="P81" s="61" t="n"/>
      <c r="Q81" s="61" t="n"/>
      <c r="R81" s="61" t="n"/>
      <c r="S81" s="62" t="n"/>
      <c r="T81" s="61" t="n"/>
    </row>
    <row r="82" ht="15.75" customHeight="1" s="38">
      <c r="A82" s="66" t="inlineStr">
        <is>
          <t>Drillco S.A.</t>
        </is>
      </c>
      <c r="B82" s="66" t="inlineStr">
        <is>
          <t>Brocas</t>
        </is>
      </c>
      <c r="C82" s="66" t="inlineStr">
        <is>
          <t>Santiago</t>
        </is>
      </c>
      <c r="D82" s="66" t="n"/>
      <c r="E82" s="66" t="n"/>
      <c r="F82" s="66" t="n"/>
      <c r="G82" s="66" t="inlineStr">
        <is>
          <t>Gerente de TI / CIO (Director de Tecnología)</t>
        </is>
      </c>
      <c r="H82" s="66" t="n"/>
      <c r="I82" s="66" t="inlineStr">
        <is>
          <t>(56) 2 2431 2200</t>
        </is>
      </c>
      <c r="J82" s="66" t="n"/>
      <c r="K82" s="66" t="inlineStr">
        <is>
          <t>88.859.600-3</t>
        </is>
      </c>
      <c r="L82" s="66" t="inlineStr">
        <is>
          <t>Ventas: GRANDE 4 (Mas de 1.000.000 UF) | Empleados: 141</t>
        </is>
      </c>
      <c r="M82" s="66" t="inlineStr">
        <is>
          <t>Tier 1 - VIP (Alta Venta + DM)</t>
        </is>
      </c>
      <c r="N82" s="61" t="n"/>
      <c r="O82" s="61" t="n"/>
      <c r="P82" s="61" t="n"/>
      <c r="Q82" s="61" t="n"/>
      <c r="R82" s="61" t="n"/>
      <c r="S82" s="62" t="n"/>
      <c r="T82" s="61" t="n"/>
    </row>
    <row r="83" ht="15.75" customHeight="1" s="38">
      <c r="A83" s="66" t="inlineStr">
        <is>
          <t>Dräger Chile</t>
        </is>
      </c>
      <c r="B83" s="66" t="inlineStr">
        <is>
          <t>Equipos de Emergencia, Equipos de Protección Personal (EPP), Equipos de Protección Respiratoria</t>
        </is>
      </c>
      <c r="C83" s="66" t="inlineStr">
        <is>
          <t>Santiago</t>
        </is>
      </c>
      <c r="D83" s="66" t="n"/>
      <c r="E83" s="66" t="n"/>
      <c r="F83" s="66" t="n"/>
      <c r="G83" s="66" t="inlineStr">
        <is>
          <t>Gerente de TI / CIO (Director de Tecnología)</t>
        </is>
      </c>
      <c r="H83" s="66" t="n"/>
      <c r="I83" s="66" t="inlineStr">
        <is>
          <t>600 006 0001</t>
        </is>
      </c>
      <c r="J83" s="66" t="n"/>
      <c r="K83" s="66" t="inlineStr">
        <is>
          <t>76.033.880-K</t>
        </is>
      </c>
      <c r="L83" s="66" t="inlineStr">
        <is>
          <t>Ventas: GRANDE 4 (Mas de 1.000.000 UF) | Empleados: 143</t>
        </is>
      </c>
      <c r="M83" s="66" t="inlineStr">
        <is>
          <t>Tier 1 - VIP (Alta Venta + DM)</t>
        </is>
      </c>
      <c r="N83" s="61" t="n"/>
      <c r="O83" s="61" t="n"/>
      <c r="P83" s="61" t="n"/>
      <c r="Q83" s="61" t="n"/>
      <c r="R83" s="61" t="n"/>
      <c r="S83" s="62" t="n"/>
      <c r="T83" s="61" t="n"/>
    </row>
    <row r="84" ht="15.75" customHeight="1" s="38">
      <c r="A84" s="59" t="inlineStr">
        <is>
          <t>Dyno Nobel Explosivos Chile</t>
        </is>
      </c>
      <c r="B84" s="59" t="inlineStr">
        <is>
          <t>Proveedor Destacado, Administración de Polvorines, Asistencia Técnica de Tronadura, Asistencia Técnica Geomecánica, Servicios de Tronadura</t>
        </is>
      </c>
      <c r="C84" s="59" t="inlineStr">
        <is>
          <t>Santiago</t>
        </is>
      </c>
      <c r="D84" s="59" t="inlineStr">
        <is>
          <t>Cibersegurida Industrial</t>
        </is>
      </c>
      <c r="E84" s="59" t="inlineStr">
        <is>
          <t>LinkedIn CIO</t>
        </is>
      </c>
      <c r="F84" s="59" t="n"/>
      <c r="G84" s="59" t="inlineStr">
        <is>
          <t>Julio Solari (CIO &amp; CISO)</t>
        </is>
      </c>
      <c r="H84" s="59" t="inlineStr">
        <is>
          <t>julio.solari@am.dynonobel.com</t>
        </is>
      </c>
      <c r="I84" s="59" t="inlineStr">
        <is>
          <t>(56) 9 3924 1455</t>
        </is>
      </c>
      <c r="J84" s="59" t="inlineStr">
        <is>
          <t>http://www.dynonobel.lat</t>
        </is>
      </c>
      <c r="K84" s="59" t="inlineStr">
        <is>
          <t>76.040.923-5</t>
        </is>
      </c>
      <c r="L84" s="59" t="inlineStr">
        <is>
          <t>Ventas: GRANDE 4 (Mas de 1.000.000 UF) | Empleados: 158</t>
        </is>
      </c>
      <c r="M84" s="59" t="inlineStr">
        <is>
          <t>Tier 1 - OPORTUNIDAD ACTIVA (VIP)</t>
        </is>
      </c>
      <c r="N84" s="61" t="n"/>
      <c r="O84" s="61" t="n"/>
      <c r="P84" s="61" t="n"/>
      <c r="Q84" s="61" t="n"/>
      <c r="R84" s="61" t="n"/>
      <c r="S84" s="62" t="n"/>
      <c r="T84" s="61" t="n"/>
    </row>
    <row r="85" ht="15.75" customHeight="1" s="38">
      <c r="A85" s="59" t="inlineStr">
        <is>
          <t>ELB - Transportes Libertador</t>
        </is>
      </c>
      <c r="B85" s="59" t="inlineStr">
        <is>
          <t>Proveedor Destacado, Transporte de Carga por Carretera, Transporte de Carga Sobredimensionada, Transporte de Cargas Especiales, Transporte de Maquinaria, Transporte de NFU, Transporte en Faena (Home Delivery), Transporte para la Minería</t>
        </is>
      </c>
      <c r="C85" s="59" t="inlineStr">
        <is>
          <t>Santiago</t>
        </is>
      </c>
      <c r="D85" s="59" t="inlineStr">
        <is>
          <t>Investigación en Proceso</t>
        </is>
      </c>
      <c r="E85" s="59" t="n"/>
      <c r="F85" s="59" t="n"/>
      <c r="G85" s="59" t="inlineStr">
        <is>
          <t>Miguel Angel Vergara (Jefe de Sistemas)</t>
        </is>
      </c>
      <c r="H85" s="59" t="inlineStr">
        <is>
          <t>mvergara@elb.cl</t>
        </is>
      </c>
      <c r="I85" s="59" t="inlineStr">
        <is>
          <t>(56) 9 9344 0371</t>
        </is>
      </c>
      <c r="J85" s="59" t="inlineStr">
        <is>
          <t>http://www.elb.cl</t>
        </is>
      </c>
      <c r="K85" s="59" t="inlineStr">
        <is>
          <t>79.554.850-5</t>
        </is>
      </c>
      <c r="L85" s="59" t="inlineStr">
        <is>
          <t>Ventas: GRANDE 3 (600.000 - 1.000.000 UF) | Empleados: 212</t>
        </is>
      </c>
      <c r="M85" s="59" t="inlineStr">
        <is>
          <t>Tier 1 - OPORTUNIDAD ACTIVA (VIP)</t>
        </is>
      </c>
      <c r="N85" s="61" t="n"/>
      <c r="O85" s="61" t="n"/>
      <c r="P85" s="61" t="n"/>
      <c r="Q85" s="61" t="n"/>
      <c r="R85" s="61" t="n"/>
      <c r="S85" s="62" t="n"/>
      <c r="T85" s="61" t="n"/>
    </row>
    <row r="86" ht="15.75" customHeight="1" s="38">
      <c r="A86" s="59" t="inlineStr">
        <is>
          <t>EPM Chile S.A.</t>
        </is>
      </c>
      <c r="B86" s="59" t="inlineStr">
        <is>
          <t>Proyectos para Infraestructura</t>
        </is>
      </c>
      <c r="C86" s="59" t="inlineStr">
        <is>
          <t>Santiago</t>
        </is>
      </c>
      <c r="D86" s="59" t="inlineStr">
        <is>
          <t>Investigación en Proceso</t>
        </is>
      </c>
      <c r="E86" s="59" t="n"/>
      <c r="F86" s="59" t="n"/>
      <c r="G86" s="59" t="inlineStr">
        <is>
          <t>Fernando Meza (Gerente General (Tech Decision Maker))</t>
        </is>
      </c>
      <c r="H86" s="59" t="inlineStr">
        <is>
          <t>fmeza@epmchile.cl</t>
        </is>
      </c>
      <c r="I86" s="59" t="inlineStr">
        <is>
          <t>(56) 2 2953 6631</t>
        </is>
      </c>
      <c r="J86" s="59" t="n"/>
      <c r="K86" s="59" t="inlineStr">
        <is>
          <t>76.266.933-1</t>
        </is>
      </c>
      <c r="L86" s="59" t="inlineStr">
        <is>
          <t>Ventas: GRANDE 3 (600.000 - 1.000.000 UF) | Empleados: 3</t>
        </is>
      </c>
      <c r="M86" s="59" t="inlineStr">
        <is>
          <t>Tier 1 - OPORTUNIDAD ACTIVA (VIP)</t>
        </is>
      </c>
      <c r="N86" s="61" t="n"/>
      <c r="O86" s="61" t="n"/>
      <c r="P86" s="61" t="n"/>
      <c r="Q86" s="61" t="n"/>
      <c r="R86" s="61" t="n"/>
      <c r="S86" s="62" t="n"/>
      <c r="T86" s="61" t="n"/>
    </row>
    <row r="87" ht="15.75" customHeight="1" s="38">
      <c r="A87" s="59" t="inlineStr">
        <is>
          <t>Eaton Chile</t>
        </is>
      </c>
      <c r="B87" s="59" t="inlineStr">
        <is>
          <t>Salas Eléctricas, Tableros Eléctricos</t>
        </is>
      </c>
      <c r="C87" s="59" t="inlineStr">
        <is>
          <t>Santiago</t>
        </is>
      </c>
      <c r="D87" s="59" t="inlineStr">
        <is>
          <t>Fabricación Electrónica para Proyectos EPC</t>
        </is>
      </c>
      <c r="E87" s="59" t="n"/>
      <c r="F87" s="59" t="inlineStr">
        <is>
          <t>https://cl.linkedin.com/in/miguel-gonzalez-moraga-b3a91962</t>
        </is>
      </c>
      <c r="G87" s="59" t="inlineStr">
        <is>
          <t>Miguel Gonzalez Moraga (Project Manager)</t>
        </is>
      </c>
      <c r="H87" s="59" t="n"/>
      <c r="I87" s="59" t="inlineStr">
        <is>
          <t>(56) 2 2640 8165</t>
        </is>
      </c>
      <c r="J87" s="59" t="n"/>
      <c r="K87" s="59" t="inlineStr">
        <is>
          <t>76.103.571-1</t>
        </is>
      </c>
      <c r="L87" s="59" t="inlineStr">
        <is>
          <t>Ventas: GRANDE (Estimado por Empleados) | Empleados: 437</t>
        </is>
      </c>
      <c r="M87" s="59" t="inlineStr">
        <is>
          <t>Tier 1 - OPORTUNIDAD ACTIVA (VIP)</t>
        </is>
      </c>
      <c r="N87" s="61" t="n"/>
      <c r="O87" s="61" t="n"/>
      <c r="P87" s="61" t="n"/>
      <c r="Q87" s="61" t="n"/>
      <c r="R87" s="61" t="n"/>
      <c r="S87" s="62" t="n"/>
      <c r="T87" s="61" t="n"/>
    </row>
    <row r="88" ht="15.75" customHeight="1" s="38">
      <c r="A88" s="59" t="inlineStr">
        <is>
          <t>Ecopreneur Chile S.A.</t>
        </is>
      </c>
      <c r="B88" s="59" t="inlineStr">
        <is>
          <t>Contratos Llave en Mano</t>
        </is>
      </c>
      <c r="C88" s="59" t="inlineStr">
        <is>
          <t>Santiago</t>
        </is>
      </c>
      <c r="D88" s="59" t="inlineStr">
        <is>
          <t>Investigación en Proceso</t>
        </is>
      </c>
      <c r="E88" s="59" t="n"/>
      <c r="F88" s="59" t="n"/>
      <c r="G88" s="59" t="inlineStr">
        <is>
          <t>Claudio Fredes (Jefe de Tecnologías)</t>
        </is>
      </c>
      <c r="H88" s="59" t="inlineStr">
        <is>
          <t>cfredes@ecopreneur.cl</t>
        </is>
      </c>
      <c r="I88" s="59" t="inlineStr">
        <is>
          <t>(56) 2 2334 6422</t>
        </is>
      </c>
      <c r="J88" s="59" t="n"/>
      <c r="K88" s="59" t="inlineStr">
        <is>
          <t>96.778.160-6</t>
        </is>
      </c>
      <c r="L88" s="59" t="inlineStr">
        <is>
          <t>Ventas: GRANDE 3 (600.000 - 1.000.000 UF) | Empleados: 44</t>
        </is>
      </c>
      <c r="M88" s="59" t="inlineStr">
        <is>
          <t>Tier 1 - OPORTUNIDAD ACTIVA (VIP)</t>
        </is>
      </c>
      <c r="N88" s="61" t="n"/>
      <c r="O88" s="61" t="n"/>
      <c r="P88" s="61" t="n"/>
      <c r="Q88" s="61" t="n"/>
      <c r="R88" s="61" t="n"/>
      <c r="S88" s="62" t="n"/>
      <c r="T88" s="61" t="n"/>
    </row>
    <row r="89" ht="15.75" customHeight="1" s="38">
      <c r="A89" s="66" t="inlineStr">
        <is>
          <t>Ecoriles S.A.</t>
        </is>
      </c>
      <c r="B89" s="66" t="inlineStr">
        <is>
          <t>Tratamiento de Residuos Industriales, Tratamiento de Riles</t>
        </is>
      </c>
      <c r="C89" s="66" t="inlineStr">
        <is>
          <t>Santiago</t>
        </is>
      </c>
      <c r="D89" s="66" t="n"/>
      <c r="E89" s="66" t="n"/>
      <c r="F89" s="66" t="n"/>
      <c r="G89" s="66" t="inlineStr">
        <is>
          <t>Gerente de TI / CIO (Director de Tecnología)</t>
        </is>
      </c>
      <c r="H89" s="66" t="n"/>
      <c r="I89" s="66" t="inlineStr">
        <is>
          <t>(56) 2 2569 2238</t>
        </is>
      </c>
      <c r="J89" s="66" t="n"/>
      <c r="K89" s="66" t="inlineStr">
        <is>
          <t>96.945.210-3</t>
        </is>
      </c>
      <c r="L89" s="66" t="inlineStr">
        <is>
          <t>Ventas: GRANDE 4 (Mas de 1.000.000 UF) | Empleados: 324</t>
        </is>
      </c>
      <c r="M89" s="66" t="inlineStr">
        <is>
          <t>Tier 1 - VIP (Alta Venta + DM)</t>
        </is>
      </c>
      <c r="N89" s="61" t="n"/>
      <c r="O89" s="61" t="n"/>
      <c r="P89" s="61" t="n"/>
      <c r="Q89" s="61" t="n"/>
      <c r="R89" s="61" t="n"/>
      <c r="S89" s="62" t="n"/>
      <c r="T89" s="61" t="n"/>
    </row>
    <row r="90" ht="15.75" customHeight="1" s="38">
      <c r="A90" s="66" t="inlineStr">
        <is>
          <t>Ecse Construcciones y Servicios Ltda.</t>
        </is>
      </c>
      <c r="B90" s="66" t="inlineStr">
        <is>
          <t>Revestimientos Antiácidos</t>
        </is>
      </c>
      <c r="C90" s="66" t="inlineStr">
        <is>
          <t>Talcahuano</t>
        </is>
      </c>
      <c r="D90" s="66" t="n"/>
      <c r="E90" s="66" t="n"/>
      <c r="F90" s="66" t="n"/>
      <c r="G90" s="66" t="inlineStr">
        <is>
          <t>Gerente de TI / CIO (Director de Tecnología)</t>
        </is>
      </c>
      <c r="H90" s="66" t="n"/>
      <c r="I90" s="66" t="inlineStr">
        <is>
          <t>(56) 41 256 1000</t>
        </is>
      </c>
      <c r="J90" s="66" t="n"/>
      <c r="K90" s="66" t="inlineStr">
        <is>
          <t>86.680.300-5</t>
        </is>
      </c>
      <c r="L90" s="66" t="inlineStr">
        <is>
          <t>Ventas: GRANDE 3 (600.000 - 1.000.000 UF) | Empleados: 447</t>
        </is>
      </c>
      <c r="M90" s="66" t="inlineStr">
        <is>
          <t>Tier 1 - VIP (Alta Venta + DM)</t>
        </is>
      </c>
      <c r="N90" s="61" t="n"/>
      <c r="O90" s="61" t="n"/>
      <c r="P90" s="61" t="n"/>
      <c r="Q90" s="61" t="n"/>
      <c r="R90" s="61" t="n"/>
      <c r="S90" s="62" t="n"/>
      <c r="T90" s="61" t="n"/>
    </row>
    <row r="91" ht="15.75" customHeight="1" s="38">
      <c r="A91" s="66" t="inlineStr">
        <is>
          <t>Efco de Chile S.A.</t>
        </is>
      </c>
      <c r="B91" s="66" t="inlineStr">
        <is>
          <t>Alzaprimas, Encofrados</t>
        </is>
      </c>
      <c r="C91" s="66" t="inlineStr">
        <is>
          <t>Santiago</t>
        </is>
      </c>
      <c r="D91" s="66" t="n"/>
      <c r="E91" s="66" t="n"/>
      <c r="F91" s="66" t="n"/>
      <c r="G91" s="66" t="inlineStr">
        <is>
          <t>Gerente de TI / CIO (Director de Tecnología)</t>
        </is>
      </c>
      <c r="H91" s="66" t="n"/>
      <c r="I91" s="66" t="inlineStr">
        <is>
          <t>(56) 2 2591 4000</t>
        </is>
      </c>
      <c r="J91" s="66" t="n"/>
      <c r="K91" s="66" t="inlineStr">
        <is>
          <t>96.842.020-8</t>
        </is>
      </c>
      <c r="L91" s="66" t="inlineStr">
        <is>
          <t>Ventas: GRANDE 3 (600.000 - 1.000.000 UF) | Empleados: 111</t>
        </is>
      </c>
      <c r="M91" s="66" t="inlineStr">
        <is>
          <t>Tier 1 - VIP (Alta Venta + DM)</t>
        </is>
      </c>
      <c r="N91" s="61" t="n"/>
      <c r="O91" s="61" t="n"/>
      <c r="P91" s="61" t="n"/>
      <c r="Q91" s="61" t="n"/>
      <c r="R91" s="61" t="n"/>
      <c r="S91" s="62" t="n"/>
      <c r="T91" s="61" t="n"/>
    </row>
    <row r="92" ht="15.75" customHeight="1" s="38">
      <c r="A92" s="66" t="inlineStr">
        <is>
          <t>Electricidad Guzmán S.A.</t>
        </is>
      </c>
      <c r="B92" s="66" t="inlineStr">
        <is>
          <t>Conductores Eléctricos</t>
        </is>
      </c>
      <c r="C92" s="66" t="inlineStr">
        <is>
          <t>Santiago</t>
        </is>
      </c>
      <c r="D92" s="66" t="n"/>
      <c r="E92" s="66" t="n"/>
      <c r="F92" s="66" t="n"/>
      <c r="G92" s="66" t="inlineStr">
        <is>
          <t>Gerente de TI / CIO (Director de Tecnología)</t>
        </is>
      </c>
      <c r="H92" s="66" t="n"/>
      <c r="I92" s="66" t="inlineStr">
        <is>
          <t>(56) 2 2387 1100</t>
        </is>
      </c>
      <c r="J92" s="66" t="n"/>
      <c r="K92" s="66" t="inlineStr">
        <is>
          <t>79.748.470-9</t>
        </is>
      </c>
      <c r="L92" s="66" t="inlineStr">
        <is>
          <t>Ventas: GRANDE 3 (600.000 - 1.000.000 UF) | Empleados: 113</t>
        </is>
      </c>
      <c r="M92" s="66" t="inlineStr">
        <is>
          <t>Tier 1 - VIP (Alta Venta + DM)</t>
        </is>
      </c>
      <c r="N92" s="61" t="n"/>
      <c r="O92" s="61" t="n"/>
      <c r="P92" s="61" t="n"/>
      <c r="Q92" s="61" t="n"/>
      <c r="R92" s="61" t="n"/>
      <c r="S92" s="62" t="n"/>
      <c r="T92" s="61" t="n"/>
    </row>
    <row r="93" ht="15.75" customHeight="1" s="38">
      <c r="A93" s="66" t="inlineStr">
        <is>
          <t>Electropower</t>
        </is>
      </c>
      <c r="B93" s="66" t="inlineStr">
        <is>
          <t>Torres de Iluminación</t>
        </is>
      </c>
      <c r="C93" s="66" t="inlineStr">
        <is>
          <t>Santiago</t>
        </is>
      </c>
      <c r="D93" s="66" t="n"/>
      <c r="E93" s="66" t="n"/>
      <c r="F93" s="66" t="n"/>
      <c r="G93" s="66" t="inlineStr">
        <is>
          <t>Gerente de TI / CIO (Director de Tecnología)</t>
        </is>
      </c>
      <c r="H93" s="66" t="n"/>
      <c r="I93" s="66" t="inlineStr">
        <is>
          <t>(56) 9 5404 2333</t>
        </is>
      </c>
      <c r="J93" s="66" t="n"/>
      <c r="K93" s="66" t="inlineStr">
        <is>
          <t>76.257.832-8</t>
        </is>
      </c>
      <c r="L93" s="66" t="inlineStr">
        <is>
          <t>Ventas: GRANDE 3 (600.000 - 1.000.000 UF) | Empleados: 31</t>
        </is>
      </c>
      <c r="M93" s="66" t="inlineStr">
        <is>
          <t>Tier 1 - VIP (Alta Venta + DM)</t>
        </is>
      </c>
      <c r="N93" s="61" t="n"/>
      <c r="O93" s="61" t="n"/>
      <c r="P93" s="61" t="n"/>
      <c r="Q93" s="61" t="n"/>
      <c r="R93" s="61" t="n"/>
      <c r="S93" s="62" t="n"/>
      <c r="T93" s="61" t="n"/>
    </row>
    <row r="94" ht="15.75" customHeight="1" s="38">
      <c r="A94" s="59" t="inlineStr">
        <is>
          <t>Electroram Telecomunicaciones Ltda.</t>
        </is>
      </c>
      <c r="B94" s="59" t="inlineStr">
        <is>
          <t>Radiocomunicaciones, Telecomunicaciones</t>
        </is>
      </c>
      <c r="C94" s="59" t="inlineStr">
        <is>
          <t>Antofagasta</t>
        </is>
      </c>
      <c r="D94" s="59" t="inlineStr">
        <is>
          <t>Conectividad Satelital Fleet Space Minería</t>
        </is>
      </c>
      <c r="E94" s="59" t="n"/>
      <c r="F94" s="59" t="inlineStr">
        <is>
          <t>https://cl.linkedin.com/in/martha-aguilera-alderete-850117121</t>
        </is>
      </c>
      <c r="G94" s="59" t="inlineStr">
        <is>
          <t>Martha Aguilera (Gerente Innovación)</t>
        </is>
      </c>
      <c r="H94" s="59" t="n"/>
      <c r="I94" s="59" t="inlineStr">
        <is>
          <t>(56) 55 256 1670</t>
        </is>
      </c>
      <c r="J94" s="59" t="n"/>
      <c r="K94" s="59" t="inlineStr">
        <is>
          <t>76025110-0</t>
        </is>
      </c>
      <c r="L94" s="59" t="inlineStr">
        <is>
          <t>Ventas: GRANDE 2 (200.000 - 600.000 UF) | Empleados: 102</t>
        </is>
      </c>
      <c r="M94" s="59" t="inlineStr">
        <is>
          <t>Tier 1 - OPORTUNIDAD ACTIVA (VIP)</t>
        </is>
      </c>
      <c r="N94" s="61" t="n"/>
      <c r="O94" s="61" t="n"/>
      <c r="P94" s="61" t="n"/>
      <c r="Q94" s="61" t="n"/>
      <c r="R94" s="61" t="n"/>
      <c r="S94" s="62" t="n"/>
      <c r="T94" s="61" t="n"/>
    </row>
    <row r="95" ht="15.75" customHeight="1" s="38">
      <c r="A95" s="59" t="inlineStr">
        <is>
          <t>Elfle Comercial Dos Ltda.</t>
        </is>
      </c>
      <c r="B95" s="59" t="inlineStr">
        <is>
          <t>Artículos Eléctricos, Suministros para Computación</t>
        </is>
      </c>
      <c r="C95" s="59" t="inlineStr">
        <is>
          <t>Santiago</t>
        </is>
      </c>
      <c r="D95" s="59" t="inlineStr">
        <is>
          <t>Investigación en Proceso</t>
        </is>
      </c>
      <c r="E95" s="59" t="n"/>
      <c r="F95" s="59" t="n"/>
      <c r="G95" s="59" t="inlineStr">
        <is>
          <t>Gabriel Andres Pérez Gonzalez (Encargado TI)</t>
        </is>
      </c>
      <c r="H95" s="59" t="inlineStr">
        <is>
          <t>gabriel.perez@elfle.cl</t>
        </is>
      </c>
      <c r="I95" s="59" t="inlineStr">
        <is>
          <t>(56) 2 2733 3000</t>
        </is>
      </c>
      <c r="J95" s="59" t="n"/>
      <c r="K95" s="59" t="inlineStr">
        <is>
          <t>76.085.400-K</t>
        </is>
      </c>
      <c r="L95" s="59" t="inlineStr">
        <is>
          <t>Ventas: GRANDE 3 (600.000 - 1.000.000 UF) | Empleados: 24</t>
        </is>
      </c>
      <c r="M95" s="59" t="inlineStr">
        <is>
          <t>Tier 1 - OPORTUNIDAD ACTIVA (VIP)</t>
        </is>
      </c>
      <c r="N95" s="61" t="n"/>
      <c r="O95" s="61" t="n"/>
      <c r="P95" s="61" t="n"/>
      <c r="Q95" s="61" t="n"/>
      <c r="R95" s="61" t="n"/>
      <c r="S95" s="62" t="n"/>
      <c r="T95" s="61" t="n"/>
    </row>
    <row r="96" ht="15.75" customHeight="1" s="38">
      <c r="A96" s="59" t="inlineStr">
        <is>
          <t>Empresas Perrot</t>
        </is>
      </c>
      <c r="B96" s="59" t="inlineStr">
        <is>
          <t>Transporte Terrestre</t>
        </is>
      </c>
      <c r="C96" s="59" t="inlineStr">
        <is>
          <t>Santiago</t>
        </is>
      </c>
      <c r="D96" s="59" t="inlineStr">
        <is>
          <t>Investigación en Proceso</t>
        </is>
      </c>
      <c r="E96" s="59" t="n"/>
      <c r="F96" s="59" t="n"/>
      <c r="G96" s="59" t="inlineStr">
        <is>
          <t>Mario Ceron (Gerente TI &amp; Digital)</t>
        </is>
      </c>
      <c r="H96" s="59" t="inlineStr">
        <is>
          <t>mario.ceron@perrot.cl</t>
        </is>
      </c>
      <c r="I96" s="59" t="inlineStr">
        <is>
          <t>(56) 2 2876 2700</t>
        </is>
      </c>
      <c r="J96" s="59" t="n"/>
      <c r="K96" s="59" t="inlineStr">
        <is>
          <t>77.532.910-6</t>
        </is>
      </c>
      <c r="L96" s="59" t="inlineStr">
        <is>
          <t>Ventas: GRANDE 3 (600.000 - 1.000.000 UF) | Empleados: 146</t>
        </is>
      </c>
      <c r="M96" s="59" t="inlineStr">
        <is>
          <t>Tier 1 - OPORTUNIDAD ACTIVA (VIP)</t>
        </is>
      </c>
      <c r="N96" s="61" t="n"/>
      <c r="O96" s="61" t="n"/>
      <c r="P96" s="61" t="n"/>
      <c r="Q96" s="61" t="n"/>
      <c r="R96" s="61" t="n"/>
      <c r="S96" s="62" t="n"/>
      <c r="T96" s="61" t="n"/>
    </row>
    <row r="97" ht="15.75" customHeight="1" s="38">
      <c r="A97" s="66" t="inlineStr">
        <is>
          <t>Emsipor Ltda.</t>
        </is>
      </c>
      <c r="B97" s="66" t="inlineStr">
        <is>
          <t>Seguridad Industrial y Minera</t>
        </is>
      </c>
      <c r="C97" s="66" t="inlineStr">
        <is>
          <t>Antofagasta</t>
        </is>
      </c>
      <c r="D97" s="66" t="n"/>
      <c r="E97" s="66" t="n"/>
      <c r="F97" s="66" t="n"/>
      <c r="G97" s="66" t="inlineStr">
        <is>
          <t>Gerente de TI / CIO (Director de Tecnología)</t>
        </is>
      </c>
      <c r="H97" s="66" t="n"/>
      <c r="I97" s="66" t="inlineStr">
        <is>
          <t>(56) 55 293 0571</t>
        </is>
      </c>
      <c r="J97" s="66" t="n"/>
      <c r="K97" s="66" t="inlineStr">
        <is>
          <t>77.134.000-8</t>
        </is>
      </c>
      <c r="L97" s="66" t="inlineStr">
        <is>
          <t>Ventas: GRANDE 3 (600.000 - 1.000.000 UF) | Empleados: 479</t>
        </is>
      </c>
      <c r="M97" s="66" t="inlineStr">
        <is>
          <t>Tier 1 - VIP (Alta Venta + DM)</t>
        </is>
      </c>
      <c r="N97" s="61" t="n"/>
      <c r="O97" s="61" t="n"/>
      <c r="P97" s="61" t="n"/>
      <c r="Q97" s="61" t="n"/>
      <c r="R97" s="61" t="n"/>
      <c r="S97" s="62" t="n"/>
      <c r="T97" s="61" t="n"/>
    </row>
    <row r="98" ht="15.75" customHeight="1" s="38">
      <c r="A98" s="59" t="inlineStr">
        <is>
          <t>Enaex Servicios</t>
        </is>
      </c>
      <c r="B98" s="59" t="inlineStr">
        <is>
          <t>Servicios para Tronaduras</t>
        </is>
      </c>
      <c r="C98" s="59" t="inlineStr">
        <is>
          <t>Santiago</t>
        </is>
      </c>
      <c r="D98" s="59" t="inlineStr">
        <is>
          <t>Transf. Digital OCC &amp; Soluciones IT/OT</t>
        </is>
      </c>
      <c r="E98" s="59" t="n"/>
      <c r="F98" s="59" t="inlineStr">
        <is>
          <t>https://cl.linkedin.com/in/jcastrogorostiza</t>
        </is>
      </c>
      <c r="G98" s="59" t="inlineStr">
        <is>
          <t>Jose Miguel Castro Gorostiza (Gerente Tecnologia)</t>
        </is>
      </c>
      <c r="H98" s="59" t="n"/>
      <c r="I98" s="59" t="inlineStr">
        <is>
          <t>(56) 2 2837 7600</t>
        </is>
      </c>
      <c r="J98" s="59" t="n"/>
      <c r="K98" s="59" t="inlineStr">
        <is>
          <t>76.041.871-4</t>
        </is>
      </c>
      <c r="L98" s="59" t="inlineStr">
        <is>
          <t>Ventas: GRANDE (Estimado por Empleados) | Empleados: 2168</t>
        </is>
      </c>
      <c r="M98" s="59" t="inlineStr">
        <is>
          <t>Tier 1 - OPORTUNIDAD ACTIVA (VIP)</t>
        </is>
      </c>
      <c r="N98" s="61" t="n"/>
      <c r="O98" s="61" t="n"/>
      <c r="P98" s="61" t="n"/>
      <c r="Q98" s="61" t="n"/>
      <c r="R98" s="61" t="n"/>
      <c r="S98" s="62" t="n"/>
      <c r="T98" s="61" t="n"/>
    </row>
    <row r="99" ht="15.75" customHeight="1" s="38">
      <c r="A99" s="66" t="inlineStr">
        <is>
          <t>Energía Llaima SpA</t>
        </is>
      </c>
      <c r="B99" s="66" t="inlineStr">
        <is>
          <t>Energías Renovables</t>
        </is>
      </c>
      <c r="C99" s="66" t="inlineStr">
        <is>
          <t>Santiago</t>
        </is>
      </c>
      <c r="D99" s="66" t="n"/>
      <c r="E99" s="66" t="n"/>
      <c r="F99" s="66" t="n"/>
      <c r="G99" s="66" t="inlineStr">
        <is>
          <t>Gerente de TI / CIO (Director de Tecnología)</t>
        </is>
      </c>
      <c r="H99" s="66" t="n"/>
      <c r="I99" s="66" t="inlineStr">
        <is>
          <t>(56) 2 2378 7979</t>
        </is>
      </c>
      <c r="J99" s="66" t="n"/>
      <c r="K99" s="66" t="inlineStr">
        <is>
          <t>76.097.069-7</t>
        </is>
      </c>
      <c r="L99" s="66" t="inlineStr">
        <is>
          <t>Ventas: GRANDE 3 (600.000 - 1.000.000 UF) | Empleados: 49</t>
        </is>
      </c>
      <c r="M99" s="66" t="inlineStr">
        <is>
          <t>Tier 1 - VIP (Alta Venta + DM)</t>
        </is>
      </c>
      <c r="N99" s="61" t="n"/>
      <c r="O99" s="61" t="n"/>
      <c r="P99" s="61" t="n"/>
      <c r="Q99" s="61" t="n"/>
      <c r="R99" s="61" t="n"/>
      <c r="S99" s="62" t="n"/>
      <c r="T99" s="61" t="n"/>
    </row>
    <row r="100" ht="15.75" customHeight="1" s="38">
      <c r="A100" s="59" t="inlineStr">
        <is>
          <t>Energías Industriales S.A. (EISA)</t>
        </is>
      </c>
      <c r="B100" s="59" t="inlineStr">
        <is>
          <t>Arriendo de Calderas Generadoras a Vapor y Agua Caliente, Asesoría Eficiencia Calderas y Equipos Relacionados, Reparación de Calderas</t>
        </is>
      </c>
      <c r="C100" s="59" t="inlineStr">
        <is>
          <t>Santiago</t>
        </is>
      </c>
      <c r="D100" s="59" t="inlineStr">
        <is>
          <t>Investigación en Proceso</t>
        </is>
      </c>
      <c r="E100" s="59" t="n"/>
      <c r="F100" s="59" t="n"/>
      <c r="G100" s="59" t="inlineStr">
        <is>
          <t>Mario Tapia Sottorff (Gerente de Operaciones)</t>
        </is>
      </c>
      <c r="H100" s="59" t="inlineStr">
        <is>
          <t>mtapia@eisa.cl</t>
        </is>
      </c>
      <c r="I100" s="59" t="inlineStr">
        <is>
          <t>(56) 2 2440 8300</t>
        </is>
      </c>
      <c r="J100" s="59" t="n"/>
      <c r="K100" s="59" t="inlineStr">
        <is>
          <t>85.145.500-0</t>
        </is>
      </c>
      <c r="L100" s="59" t="inlineStr">
        <is>
          <t>Ventas: GRANDE 3 (600.000 - 1.000.000 UF) | Empleados: 198</t>
        </is>
      </c>
      <c r="M100" s="59" t="inlineStr">
        <is>
          <t>Tier 1 - OPORTUNIDAD ACTIVA (VIP)</t>
        </is>
      </c>
      <c r="N100" s="61" t="n"/>
      <c r="O100" s="61" t="n"/>
      <c r="P100" s="61" t="n"/>
      <c r="Q100" s="61" t="n"/>
      <c r="R100" s="61" t="n"/>
      <c r="S100" s="62" t="n"/>
      <c r="T100" s="61" t="n"/>
    </row>
    <row r="101" ht="15.75" customHeight="1" s="38">
      <c r="A101" s="59" t="inlineStr">
        <is>
          <t>Engineering Composites SpA</t>
        </is>
      </c>
      <c r="B101" s="59" t="inlineStr">
        <is>
          <t>Revestimientos de FRP</t>
        </is>
      </c>
      <c r="C101" s="59" t="inlineStr">
        <is>
          <t>Santiago</t>
        </is>
      </c>
      <c r="D101" s="59" t="inlineStr">
        <is>
          <t>Investigación en Proceso</t>
        </is>
      </c>
      <c r="E101" s="59" t="n"/>
      <c r="F101" s="59" t="n"/>
      <c r="G101" s="59" t="inlineStr">
        <is>
          <t>Alfredo Jose Gonzalez (Jefe de Operaciones TI)</t>
        </is>
      </c>
      <c r="H101" s="59" t="inlineStr">
        <is>
          <t>alfredo.gonzalez@engineering.cl</t>
        </is>
      </c>
      <c r="I101" s="59" t="n"/>
      <c r="J101" s="59" t="n"/>
      <c r="K101" s="59" t="inlineStr">
        <is>
          <t>76479832-5</t>
        </is>
      </c>
      <c r="L101" s="59" t="inlineStr">
        <is>
          <t>Ventas: GRANDE 3 (600.000 - 1.000.000 UF) | Empleados: 460</t>
        </is>
      </c>
      <c r="M101" s="59" t="inlineStr">
        <is>
          <t>Tier 1 - OPORTUNIDAD ACTIVA (VIP)</t>
        </is>
      </c>
      <c r="N101" s="61" t="n"/>
      <c r="O101" s="61" t="n"/>
      <c r="P101" s="61" t="n"/>
      <c r="Q101" s="61" t="n"/>
      <c r="R101" s="61" t="n"/>
      <c r="S101" s="62" t="n"/>
      <c r="T101" s="61" t="n"/>
    </row>
    <row r="102" ht="15.75" customHeight="1" s="38">
      <c r="A102" s="66" t="inlineStr">
        <is>
          <t>Esol Energía Solar</t>
        </is>
      </c>
      <c r="B102" s="66" t="inlineStr">
        <is>
          <t>Energía Solar, Energías Renovables</t>
        </is>
      </c>
      <c r="C102" s="66" t="inlineStr">
        <is>
          <t>Santiago</t>
        </is>
      </c>
      <c r="D102" s="66" t="n"/>
      <c r="E102" s="66" t="n"/>
      <c r="F102" s="66" t="n"/>
      <c r="G102" s="66" t="inlineStr">
        <is>
          <t>Gerente de TI / CIO (Director de Tecnología)</t>
        </is>
      </c>
      <c r="H102" s="66" t="n"/>
      <c r="I102" s="66" t="inlineStr">
        <is>
          <t>(56) 2 2556 4871</t>
        </is>
      </c>
      <c r="J102" s="66" t="n"/>
      <c r="K102" s="66" t="inlineStr">
        <is>
          <t>76.637.060-8</t>
        </is>
      </c>
      <c r="L102" s="66" t="inlineStr">
        <is>
          <t>Ventas: GRANDE 4 (Mas de 1.000.000 UF) | Empleados: 26</t>
        </is>
      </c>
      <c r="M102" s="66" t="inlineStr">
        <is>
          <t>Tier 1 - VIP (Alta Venta + DM)</t>
        </is>
      </c>
      <c r="N102" s="61" t="n"/>
      <c r="O102" s="61" t="n"/>
      <c r="P102" s="61" t="n"/>
      <c r="Q102" s="61" t="n"/>
      <c r="R102" s="61" t="n"/>
      <c r="S102" s="62" t="n"/>
      <c r="T102" s="61" t="n"/>
    </row>
    <row r="103" ht="15.75" customHeight="1" s="38">
      <c r="A103" s="59" t="inlineStr">
        <is>
          <t>Esri Chile S.A.</t>
        </is>
      </c>
      <c r="B103" s="59" t="inlineStr">
        <is>
          <t>Productos Percepción Remota (RS), Sistemas de Información Geográfica (GIS), Sistemas GPS/GNSS Geodésicos y Cartográficos</t>
        </is>
      </c>
      <c r="C103" s="59" t="inlineStr">
        <is>
          <t>Santiago</t>
        </is>
      </c>
      <c r="D103" s="59" t="inlineStr">
        <is>
          <t>Investigación en Proceso</t>
        </is>
      </c>
      <c r="E103" s="59" t="n"/>
      <c r="F103" s="59" t="n"/>
      <c r="G103" s="59" t="inlineStr">
        <is>
          <t>Ignacio Vergara López (IT Leader)</t>
        </is>
      </c>
      <c r="H103" s="59" t="inlineStr">
        <is>
          <t>ivergara@esri.cl</t>
        </is>
      </c>
      <c r="I103" s="59" t="inlineStr">
        <is>
          <t>(56) 2 2481 9000</t>
        </is>
      </c>
      <c r="J103" s="59" t="n"/>
      <c r="K103" s="59" t="inlineStr">
        <is>
          <t>76.504.980-6</t>
        </is>
      </c>
      <c r="L103" s="59" t="inlineStr">
        <is>
          <t>Ventas: GRANDE 3 (600.000 - 1.000.000 UF) | Empleados: 106</t>
        </is>
      </c>
      <c r="M103" s="59" t="inlineStr">
        <is>
          <t>Tier 1 - OPORTUNIDAD ACTIVA (VIP)</t>
        </is>
      </c>
      <c r="N103" s="61" t="n"/>
      <c r="O103" s="61" t="n"/>
      <c r="P103" s="61" t="n"/>
      <c r="Q103" s="61" t="n"/>
      <c r="R103" s="61" t="n"/>
      <c r="S103" s="62" t="n"/>
      <c r="T103" s="61" t="n"/>
    </row>
    <row r="104" ht="15.75" customHeight="1" s="38">
      <c r="A104" s="59" t="inlineStr">
        <is>
          <t>Euro Rent a Car</t>
        </is>
      </c>
      <c r="B104" s="59" t="inlineStr">
        <is>
          <t>Arriendo de Camionetas</t>
        </is>
      </c>
      <c r="C104" s="59" t="inlineStr">
        <is>
          <t>Santiago</t>
        </is>
      </c>
      <c r="D104" s="59" t="inlineStr">
        <is>
          <t>Transf. Digital Gestión Flota</t>
        </is>
      </c>
      <c r="E104" s="59" t="n"/>
      <c r="F104" s="59" t="inlineStr">
        <is>
          <t>https://www.google.com/search?q=Euro+Rent+a+Car+Chile+Gerente+IT+LinkedIn</t>
        </is>
      </c>
      <c r="G104" s="59" t="inlineStr">
        <is>
          <t>Christian Meza (Sub-Gerente TI)</t>
        </is>
      </c>
      <c r="H104" s="59" t="n"/>
      <c r="I104" s="59" t="inlineStr">
        <is>
          <t>(56) 2 2478 9000</t>
        </is>
      </c>
      <c r="J104" s="59" t="n"/>
      <c r="K104" s="59" t="inlineStr">
        <is>
          <t>99.501.690-7</t>
        </is>
      </c>
      <c r="L104" s="59" t="inlineStr">
        <is>
          <t>Ventas: GRANDE 2 (200.000 - 600.000 UF) | Empleados: 77</t>
        </is>
      </c>
      <c r="M104" s="59" t="inlineStr">
        <is>
          <t>Tier 1 - OPORTUNIDAD ACTIVA (VIP)</t>
        </is>
      </c>
      <c r="N104" s="61" t="n"/>
      <c r="O104" s="61" t="n"/>
      <c r="P104" s="61" t="n"/>
      <c r="Q104" s="61" t="n"/>
      <c r="R104" s="61" t="n"/>
      <c r="S104" s="62" t="n"/>
      <c r="T104" s="61" t="n"/>
    </row>
    <row r="105" ht="15.75" customHeight="1" s="38">
      <c r="A105" s="66" t="inlineStr">
        <is>
          <t>Evalc</t>
        </is>
      </c>
      <c r="B105" s="66" t="inlineStr">
        <is>
          <t>Spools, Válvulas</t>
        </is>
      </c>
      <c r="C105" s="66" t="inlineStr">
        <is>
          <t>Santiago</t>
        </is>
      </c>
      <c r="D105" s="66" t="n"/>
      <c r="E105" s="66" t="n"/>
      <c r="F105" s="66" t="n"/>
      <c r="G105" s="66" t="inlineStr">
        <is>
          <t>Gerente de TI / CIO (Director de Tecnología)</t>
        </is>
      </c>
      <c r="H105" s="66" t="n"/>
      <c r="I105" s="66" t="inlineStr">
        <is>
          <t>(56) 2 2876 4500</t>
        </is>
      </c>
      <c r="J105" s="66" t="n"/>
      <c r="K105" s="66" t="inlineStr">
        <is>
          <t>77.753.400-9</t>
        </is>
      </c>
      <c r="L105" s="66" t="inlineStr">
        <is>
          <t>Ventas: GRANDE 3 (600.000 - 1.000.000 UF) | Empleados: 51</t>
        </is>
      </c>
      <c r="M105" s="66" t="inlineStr">
        <is>
          <t>Tier 1 - VIP (Alta Venta + DM)</t>
        </is>
      </c>
      <c r="N105" s="61" t="n"/>
      <c r="O105" s="61" t="n"/>
      <c r="P105" s="61" t="n"/>
      <c r="Q105" s="61" t="n"/>
      <c r="R105" s="61" t="n"/>
      <c r="S105" s="62" t="n"/>
      <c r="T105" s="61" t="n"/>
    </row>
    <row r="106" ht="15.75" customHeight="1" s="38">
      <c r="A106" s="66" t="inlineStr">
        <is>
          <t>Exploration Drill Masters</t>
        </is>
      </c>
      <c r="B106" s="66" t="inlineStr">
        <is>
          <t>Equipos de Apoyo para Perforación</t>
        </is>
      </c>
      <c r="C106" s="66" t="inlineStr">
        <is>
          <t>Santiago</t>
        </is>
      </c>
      <c r="D106" s="66" t="n"/>
      <c r="E106" s="66" t="n"/>
      <c r="F106" s="66" t="n"/>
      <c r="G106" s="66" t="inlineStr">
        <is>
          <t>Gerente de TI / CIO (Director de Tecnología)</t>
        </is>
      </c>
      <c r="H106" s="66" t="n"/>
      <c r="I106" s="66" t="inlineStr">
        <is>
          <t>(56) 2 2519 0100</t>
        </is>
      </c>
      <c r="J106" s="66" t="n"/>
      <c r="K106" s="66" t="inlineStr">
        <is>
          <t>76.011.773-0</t>
        </is>
      </c>
      <c r="L106" s="66" t="inlineStr">
        <is>
          <t>Ventas: GRANDE 3 (600.000 - 1.000.000 UF) | Empleados: 118</t>
        </is>
      </c>
      <c r="M106" s="66" t="inlineStr">
        <is>
          <t>Tier 1 - VIP (Alta Venta + DM)</t>
        </is>
      </c>
      <c r="N106" s="61" t="n"/>
      <c r="O106" s="61" t="n"/>
      <c r="P106" s="61" t="n"/>
      <c r="Q106" s="61" t="n"/>
      <c r="R106" s="61" t="n"/>
      <c r="S106" s="62" t="n"/>
      <c r="T106" s="61" t="n"/>
    </row>
    <row r="107" ht="15.75" customHeight="1" s="38">
      <c r="A107" s="66" t="inlineStr">
        <is>
          <t>F.H. Engel S.A.</t>
        </is>
      </c>
      <c r="B107" s="66" t="inlineStr">
        <is>
          <t>Productos Químicos</t>
        </is>
      </c>
      <c r="C107" s="66" t="inlineStr">
        <is>
          <t>Santiago</t>
        </is>
      </c>
      <c r="D107" s="66" t="n"/>
      <c r="E107" s="66" t="n"/>
      <c r="F107" s="66" t="n"/>
      <c r="G107" s="66" t="inlineStr">
        <is>
          <t>Gerente de TI / CIO (Director de Tecnología)</t>
        </is>
      </c>
      <c r="H107" s="66" t="n"/>
      <c r="I107" s="66" t="inlineStr">
        <is>
          <t>(56) 2 2510 7000</t>
        </is>
      </c>
      <c r="J107" s="66" t="n"/>
      <c r="K107" s="66" t="inlineStr">
        <is>
          <t>86.399.900-6</t>
        </is>
      </c>
      <c r="L107" s="66" t="inlineStr">
        <is>
          <t>Ventas: GRANDE 3 (600.000 - 1.000.000 UF) | Empleados: 21</t>
        </is>
      </c>
      <c r="M107" s="66" t="inlineStr">
        <is>
          <t>Tier 1 - VIP (Alta Venta + DM)</t>
        </is>
      </c>
      <c r="N107" s="61" t="n"/>
      <c r="O107" s="61" t="n"/>
      <c r="P107" s="61" t="n"/>
      <c r="Q107" s="61" t="n"/>
      <c r="R107" s="61" t="n"/>
      <c r="S107" s="62" t="n"/>
      <c r="T107" s="61" t="n"/>
    </row>
    <row r="108" ht="15.75" customHeight="1" s="38">
      <c r="A108" s="66" t="inlineStr">
        <is>
          <t>FC More</t>
        </is>
      </c>
      <c r="B108" s="66" t="inlineStr">
        <is>
          <t>Equipos para la Minería</t>
        </is>
      </c>
      <c r="C108" s="66" t="inlineStr">
        <is>
          <t>Antofagasta</t>
        </is>
      </c>
      <c r="D108" s="66" t="n"/>
      <c r="E108" s="66" t="n"/>
      <c r="F108" s="66" t="n"/>
      <c r="G108" s="66" t="inlineStr">
        <is>
          <t>Gerente de TI / CIO (Director de Tecnología)</t>
        </is>
      </c>
      <c r="H108" s="66" t="n"/>
      <c r="I108" s="66" t="inlineStr">
        <is>
          <t>(56) 9 6147 6272</t>
        </is>
      </c>
      <c r="J108" s="66" t="n"/>
      <c r="K108" s="66" t="inlineStr">
        <is>
          <t>76.424.249-1</t>
        </is>
      </c>
      <c r="L108" s="66" t="inlineStr">
        <is>
          <t>Ventas: GRANDE 3 (600.000 - 1.000.000 UF) | Empleados: 30</t>
        </is>
      </c>
      <c r="M108" s="66" t="inlineStr">
        <is>
          <t>Tier 1 - VIP (Alta Venta + DM)</t>
        </is>
      </c>
      <c r="N108" s="61" t="n"/>
      <c r="O108" s="61" t="n"/>
      <c r="P108" s="61" t="n"/>
      <c r="Q108" s="61" t="n"/>
      <c r="R108" s="61" t="n"/>
      <c r="S108" s="62" t="n"/>
      <c r="T108" s="61" t="n"/>
    </row>
    <row r="109" ht="15.75" customHeight="1" s="38">
      <c r="A109" s="66" t="inlineStr">
        <is>
          <t>FDA Ingenieros S.A.</t>
        </is>
      </c>
      <c r="B109" s="66" t="inlineStr">
        <is>
          <t>Proveedor Destacado, Asesorías en Ingeniería Multidisciplinaria, Consultoría en Ingeniería, Consultoría en Minería, Consultoría en Proyectos Mineros, Desarrollo de Ingeniería, Desarrollo de Proyectos Mineros, Proyectos de Ingeniería, Proyectos Multidisciplinarios de Ingeniería, Servicios de Ingeniería, Servicios Profesionales</t>
        </is>
      </c>
      <c r="C109" s="66" t="inlineStr">
        <is>
          <t>Santiago</t>
        </is>
      </c>
      <c r="D109" s="66" t="n"/>
      <c r="E109" s="66" t="n"/>
      <c r="F109" s="66" t="n"/>
      <c r="G109" s="66" t="inlineStr">
        <is>
          <t>Gerente de TI / CIO (Director de Tecnología)</t>
        </is>
      </c>
      <c r="H109" s="66" t="n"/>
      <c r="I109" s="66" t="inlineStr">
        <is>
          <t>(56) 2 2432 0200</t>
        </is>
      </c>
      <c r="J109" s="66" t="inlineStr">
        <is>
          <t>http://www.fda.cl</t>
        </is>
      </c>
      <c r="K109" s="66" t="inlineStr">
        <is>
          <t>77.760.300-0</t>
        </is>
      </c>
      <c r="L109" s="66" t="inlineStr">
        <is>
          <t>Ventas: GRANDE 3 (600.000 - 1.000.000 UF) | Empleados: 225</t>
        </is>
      </c>
      <c r="M109" s="66" t="inlineStr">
        <is>
          <t>Tier 1 - VIP (Alta Venta + DM)</t>
        </is>
      </c>
      <c r="N109" s="61" t="n"/>
      <c r="O109" s="61" t="n"/>
      <c r="P109" s="61" t="n"/>
      <c r="Q109" s="61" t="n"/>
      <c r="R109" s="61" t="n"/>
      <c r="S109" s="62" t="n"/>
      <c r="T109" s="61" t="n"/>
    </row>
    <row r="110" ht="15.75" customHeight="1" s="38">
      <c r="A110" s="59" t="inlineStr">
        <is>
          <t>Faiveley Transport Chile (Wabtec Corporation)</t>
        </is>
      </c>
      <c r="B110" s="59" t="inlineStr">
        <is>
          <t>Componentes y Servicios para Trenes de Pasajeros, Soluciones Digitales Mercado Ferroviario</t>
        </is>
      </c>
      <c r="C110" s="59" t="inlineStr">
        <is>
          <t>Santiago</t>
        </is>
      </c>
      <c r="D110" s="59" t="inlineStr">
        <is>
          <t>Infraestructura Ferroviaria Metro &amp; EFE</t>
        </is>
      </c>
      <c r="E110" s="59" t="n"/>
      <c r="F110" s="59" t="inlineStr">
        <is>
          <t>https://cl.linkedin.com/in/sergio-brito-p</t>
        </is>
      </c>
      <c r="G110" s="59" t="inlineStr">
        <is>
          <t>Sergio Brito (Country Manager)</t>
        </is>
      </c>
      <c r="H110" s="59" t="n"/>
      <c r="I110" s="59" t="inlineStr">
        <is>
          <t>(56) 2 2426 8558</t>
        </is>
      </c>
      <c r="J110" s="59" t="n"/>
      <c r="K110" s="59" t="inlineStr">
        <is>
          <t>76.153.216-2</t>
        </is>
      </c>
      <c r="L110" s="59" t="inlineStr">
        <is>
          <t>Ventas: GRANDE 2 (200.000 - 600.000 UF) | Empleados: 8</t>
        </is>
      </c>
      <c r="M110" s="59" t="inlineStr">
        <is>
          <t>Tier 1 - OPORTUNIDAD ACTIVA (VIP)</t>
        </is>
      </c>
      <c r="N110" s="61" t="n"/>
      <c r="O110" s="61" t="n"/>
      <c r="P110" s="61" t="n"/>
      <c r="Q110" s="61" t="n"/>
      <c r="R110" s="61" t="n"/>
      <c r="S110" s="62" t="n"/>
      <c r="T110" s="61" t="n"/>
    </row>
    <row r="111" ht="15.75" customHeight="1" s="38">
      <c r="A111" s="66" t="inlineStr">
        <is>
          <t>Famesa Chile</t>
        </is>
      </c>
      <c r="B111" s="66" t="inlineStr">
        <is>
          <t>Agentes de Tronadura, Asistencia Técnica Post Venta e Ingeniería de Tronadura</t>
        </is>
      </c>
      <c r="C111" s="66" t="inlineStr">
        <is>
          <t>La Serena</t>
        </is>
      </c>
      <c r="D111" s="66" t="n"/>
      <c r="E111" s="66" t="n"/>
      <c r="F111" s="66" t="n"/>
      <c r="G111" s="66" t="inlineStr">
        <is>
          <t>Gerente de TI / CIO (Director de Tecnología)</t>
        </is>
      </c>
      <c r="H111" s="66" t="n"/>
      <c r="I111" s="66" t="inlineStr">
        <is>
          <t>(56) 51 247 2401</t>
        </is>
      </c>
      <c r="J111" s="66" t="n"/>
      <c r="K111" s="66" t="inlineStr">
        <is>
          <t>96.845.740-3</t>
        </is>
      </c>
      <c r="L111" s="66" t="inlineStr">
        <is>
          <t>Ventas: GRANDE 4 (Mas de 1.000.000 UF) | Empleados: 168</t>
        </is>
      </c>
      <c r="M111" s="66" t="inlineStr">
        <is>
          <t>Tier 1 - VIP (Alta Venta + DM)</t>
        </is>
      </c>
      <c r="N111" s="61" t="n"/>
      <c r="O111" s="61" t="n"/>
      <c r="P111" s="61" t="n"/>
      <c r="Q111" s="61" t="n"/>
      <c r="R111" s="61" t="n"/>
      <c r="S111" s="62" t="n"/>
      <c r="T111" s="61" t="n"/>
    </row>
    <row r="112" ht="15.75" customHeight="1" s="38">
      <c r="A112" s="59" t="inlineStr">
        <is>
          <t>Fenner Dunlop Chile S.A.</t>
        </is>
      </c>
      <c r="B112" s="59" t="inlineStr">
        <is>
          <t>Proveedor Destacado, Correas Transportadoras de Tela y Cables de Acero, Equipos de Monitoreo, Raspadores para Correas Transportadoras, Rayos X y Scanners</t>
        </is>
      </c>
      <c r="C112" s="59" t="inlineStr">
        <is>
          <t>Antofagasta</t>
        </is>
      </c>
      <c r="D112" s="59" t="inlineStr">
        <is>
          <t>Investigación en Proceso</t>
        </is>
      </c>
      <c r="E112" s="59" t="n"/>
      <c r="F112" s="59" t="n"/>
      <c r="G112" s="59" t="inlineStr">
        <is>
          <t>Manuel García (IT Engineer)</t>
        </is>
      </c>
      <c r="H112" s="59" t="inlineStr">
        <is>
          <t>manuel.garcia@fennerdunlop.com</t>
        </is>
      </c>
      <c r="I112" s="59" t="inlineStr">
        <is>
          <t>(56) 55 249 2314</t>
        </is>
      </c>
      <c r="J112" s="59" t="inlineStr">
        <is>
          <t>http://www.fennerdunlopamericas.com</t>
        </is>
      </c>
      <c r="K112" s="59" t="inlineStr">
        <is>
          <t>76.450.610-3</t>
        </is>
      </c>
      <c r="L112" s="59" t="inlineStr">
        <is>
          <t>Ventas: GRANDE 3 (600.000 - 1.000.000 UF) | Empleados: 26</t>
        </is>
      </c>
      <c r="M112" s="59" t="inlineStr">
        <is>
          <t>Tier 1 - OPORTUNIDAD ACTIVA (VIP)</t>
        </is>
      </c>
      <c r="N112" s="61" t="n"/>
      <c r="O112" s="61" t="n"/>
      <c r="P112" s="61" t="n"/>
      <c r="Q112" s="61" t="n"/>
      <c r="R112" s="61" t="n"/>
      <c r="S112" s="62" t="n"/>
      <c r="T112" s="61" t="n"/>
    </row>
    <row r="113" ht="15.75" customHeight="1" s="38">
      <c r="A113" s="66" t="inlineStr">
        <is>
          <t>Ferretería Oviedo S.A.</t>
        </is>
      </c>
      <c r="B113" s="66" t="inlineStr">
        <is>
          <t>Compresores</t>
        </is>
      </c>
      <c r="C113" s="66" t="inlineStr">
        <is>
          <t>Santiago</t>
        </is>
      </c>
      <c r="D113" s="66" t="n"/>
      <c r="E113" s="66" t="n"/>
      <c r="F113" s="66" t="n"/>
      <c r="G113" s="66" t="inlineStr">
        <is>
          <t>Gerente de TI / CIO (Director de Tecnología)</t>
        </is>
      </c>
      <c r="H113" s="66" t="n"/>
      <c r="I113" s="66" t="inlineStr">
        <is>
          <t>(56) 2 2958 9619</t>
        </is>
      </c>
      <c r="J113" s="66" t="n"/>
      <c r="K113" s="66" t="inlineStr">
        <is>
          <t>86.053.400-2</t>
        </is>
      </c>
      <c r="L113" s="66" t="inlineStr">
        <is>
          <t>Ventas: GRANDE 3 (600.000 - 1.000.000 UF) | Empleados: 181</t>
        </is>
      </c>
      <c r="M113" s="66" t="inlineStr">
        <is>
          <t>Tier 1 - VIP (Alta Venta + DM)</t>
        </is>
      </c>
      <c r="N113" s="61" t="n"/>
      <c r="O113" s="61" t="n"/>
      <c r="P113" s="61" t="n"/>
      <c r="Q113" s="61" t="n"/>
      <c r="R113" s="61" t="n"/>
      <c r="S113" s="62" t="n"/>
      <c r="T113" s="61" t="n"/>
    </row>
    <row r="114" ht="15.75" customHeight="1" s="38">
      <c r="A114" s="59" t="inlineStr">
        <is>
          <t>Ferrocentro - Maestranza Maipú</t>
        </is>
      </c>
      <c r="B114" s="59" t="inlineStr">
        <is>
          <t>Servicios en Productos de Acero</t>
        </is>
      </c>
      <c r="C114" s="59" t="inlineStr">
        <is>
          <t>Santiago</t>
        </is>
      </c>
      <c r="D114" s="59" t="inlineStr">
        <is>
          <t>Investigación en Proceso</t>
        </is>
      </c>
      <c r="E114" s="59" t="n"/>
      <c r="F114" s="59" t="n"/>
      <c r="G114" s="59" t="inlineStr">
        <is>
          <t>Gerente General (Gerente General)</t>
        </is>
      </c>
      <c r="H114" s="59" t="inlineStr">
        <is>
          <t>sistemas@ferrocentro.cl</t>
        </is>
      </c>
      <c r="I114" s="59" t="inlineStr">
        <is>
          <t>(56) 2 2836 4900</t>
        </is>
      </c>
      <c r="J114" s="59" t="n"/>
      <c r="K114" s="59" t="inlineStr">
        <is>
          <t>79.677.100-3</t>
        </is>
      </c>
      <c r="L114" s="59" t="inlineStr">
        <is>
          <t>Ventas: GRANDE 3 (600.000 - 1.000.000 UF) | Empleados: 161</t>
        </is>
      </c>
      <c r="M114" s="59" t="inlineStr">
        <is>
          <t>Tier 1 - OPORTUNIDAD ACTIVA (VIP)</t>
        </is>
      </c>
      <c r="N114" s="61" t="n"/>
      <c r="O114" s="61" t="n"/>
      <c r="P114" s="61" t="n"/>
      <c r="Q114" s="61" t="n"/>
      <c r="R114" s="61" t="n"/>
      <c r="S114" s="62" t="n"/>
      <c r="T114" s="61" t="n"/>
    </row>
    <row r="115" ht="15.75" customHeight="1" s="38">
      <c r="A115" s="59" t="inlineStr">
        <is>
          <t>Fertec</t>
        </is>
      </c>
      <c r="B115" s="59" t="inlineStr">
        <is>
          <t>Proveedor Destacado, Abrasivos, Corte y Mecanizado, Equipos de Levante, Equipos de Medición y Precisión, Equipos Hidráulicos</t>
        </is>
      </c>
      <c r="C115" s="59" t="inlineStr">
        <is>
          <t>Santiago</t>
        </is>
      </c>
      <c r="D115" s="59" t="inlineStr">
        <is>
          <t>Investigación en Proceso</t>
        </is>
      </c>
      <c r="E115" s="59" t="n"/>
      <c r="F115" s="59" t="n"/>
      <c r="G115" s="59" t="inlineStr">
        <is>
          <t>Camilo Román Celis (Soporte TI)</t>
        </is>
      </c>
      <c r="H115" s="59" t="inlineStr">
        <is>
          <t>c.roman@fertec.cl</t>
        </is>
      </c>
      <c r="I115" s="59" t="inlineStr">
        <is>
          <t>(56) 55 247 6985</t>
        </is>
      </c>
      <c r="J115" s="59" t="inlineStr">
        <is>
          <t>http://www.fertec.cl</t>
        </is>
      </c>
      <c r="K115" s="59" t="inlineStr">
        <is>
          <t>99.552.660-3</t>
        </is>
      </c>
      <c r="L115" s="59" t="inlineStr">
        <is>
          <t>Ventas: GRANDE 3 (600.000 - 1.000.000 UF) | Empleados: 63</t>
        </is>
      </c>
      <c r="M115" s="59" t="inlineStr">
        <is>
          <t>Tier 1 - OPORTUNIDAD ACTIVA (VIP)</t>
        </is>
      </c>
      <c r="N115" s="61" t="n"/>
      <c r="O115" s="61" t="n"/>
      <c r="P115" s="61" t="n"/>
      <c r="Q115" s="61" t="n"/>
      <c r="R115" s="61" t="n"/>
      <c r="S115" s="62" t="n"/>
      <c r="T115" s="61" t="n"/>
    </row>
    <row r="116" ht="15.75" customHeight="1" s="38">
      <c r="A116" s="59" t="inlineStr">
        <is>
          <t>Festo S.A.</t>
        </is>
      </c>
      <c r="B116" s="59" t="inlineStr">
        <is>
          <t>Automatización Industrial, Robots industriales</t>
        </is>
      </c>
      <c r="C116" s="59" t="inlineStr">
        <is>
          <t>Santiago</t>
        </is>
      </c>
      <c r="D116" s="59" t="inlineStr">
        <is>
          <t>Investigación en Proceso</t>
        </is>
      </c>
      <c r="E116" s="59" t="n"/>
      <c r="F116" s="59" t="n"/>
      <c r="G116" s="59" t="inlineStr">
        <is>
          <t>Mauricio Tapia (Regional Head of IT)</t>
        </is>
      </c>
      <c r="H116" s="59" t="inlineStr">
        <is>
          <t>m.tapia@festo.com</t>
        </is>
      </c>
      <c r="I116" s="59" t="inlineStr">
        <is>
          <t>(56) 2 2690 2800</t>
        </is>
      </c>
      <c r="J116" s="59" t="n"/>
      <c r="K116" s="59" t="inlineStr">
        <is>
          <t>96.951.450-8</t>
        </is>
      </c>
      <c r="L116" s="59" t="inlineStr">
        <is>
          <t>Ventas: GRANDE 3 (600.000 - 1.000.000 UF) | Empleados: 42</t>
        </is>
      </c>
      <c r="M116" s="59" t="inlineStr">
        <is>
          <t>Tier 1 - OPORTUNIDAD ACTIVA (VIP)</t>
        </is>
      </c>
      <c r="N116" s="61" t="n"/>
      <c r="O116" s="61" t="n"/>
      <c r="P116" s="61" t="n"/>
      <c r="Q116" s="61" t="n"/>
      <c r="R116" s="61" t="n"/>
      <c r="S116" s="62" t="n"/>
      <c r="T116" s="61" t="n"/>
    </row>
    <row r="117" ht="15.75" customHeight="1" s="38">
      <c r="A117" s="59" t="inlineStr">
        <is>
          <t>FitFlow</t>
        </is>
      </c>
      <c r="B117" s="59" t="inlineStr">
        <is>
          <t>Equipos contra Incendios, Sistemas contra Incendios</t>
        </is>
      </c>
      <c r="C117" s="59" t="inlineStr">
        <is>
          <t>Santiago</t>
        </is>
      </c>
      <c r="D117" s="59" t="inlineStr">
        <is>
          <t>Investigación en Proceso</t>
        </is>
      </c>
      <c r="E117" s="59" t="n"/>
      <c r="F117" s="59" t="n"/>
      <c r="G117" s="59" t="inlineStr">
        <is>
          <t>Bruno Turrarol (Gerente de Operaciones (IT Resp))</t>
        </is>
      </c>
      <c r="H117" s="59" t="inlineStr">
        <is>
          <t>b.turrarol@fitflow.com</t>
        </is>
      </c>
      <c r="I117" s="59" t="inlineStr">
        <is>
          <t>(56) 2 2706 6920</t>
        </is>
      </c>
      <c r="J117" s="59" t="n"/>
      <c r="K117" s="59" t="inlineStr">
        <is>
          <t>76.652.750-7</t>
        </is>
      </c>
      <c r="L117" s="59" t="inlineStr">
        <is>
          <t>Ventas: GRANDE 3 (600.000 - 1.000.000 UF) | Empleados: 158</t>
        </is>
      </c>
      <c r="M117" s="59" t="inlineStr">
        <is>
          <t>Tier 1 - OPORTUNIDAD ACTIVA (VIP)</t>
        </is>
      </c>
      <c r="N117" s="61" t="n"/>
      <c r="O117" s="61" t="n"/>
      <c r="P117" s="61" t="n"/>
      <c r="Q117" s="61" t="n"/>
      <c r="R117" s="61" t="n"/>
      <c r="S117" s="62" t="n"/>
      <c r="T117" s="61" t="n"/>
    </row>
    <row r="118" ht="15.75" customHeight="1" s="38">
      <c r="A118" s="66" t="inlineStr">
        <is>
          <t>Fittex</t>
        </is>
      </c>
      <c r="B118" s="66" t="inlineStr">
        <is>
          <t>Tuberías</t>
        </is>
      </c>
      <c r="C118" s="66" t="inlineStr">
        <is>
          <t>Santiago</t>
        </is>
      </c>
      <c r="D118" s="66" t="n"/>
      <c r="E118" s="66" t="n"/>
      <c r="F118" s="66" t="n"/>
      <c r="G118" s="66" t="inlineStr">
        <is>
          <t>Gerente de TI / CIO (Director de Tecnología)</t>
        </is>
      </c>
      <c r="H118" s="66" t="n"/>
      <c r="I118" s="66" t="inlineStr">
        <is>
          <t>(56) 2 2947 9300</t>
        </is>
      </c>
      <c r="J118" s="66" t="n"/>
      <c r="K118" s="66" t="inlineStr">
        <is>
          <t>76.140.214-5</t>
        </is>
      </c>
      <c r="L118" s="66" t="inlineStr">
        <is>
          <t>Ventas: GRANDE 4 (Mas de 1.000.000 UF) | Empleados: 78</t>
        </is>
      </c>
      <c r="M118" s="66" t="inlineStr">
        <is>
          <t>Tier 1 - VIP (Alta Venta + DM)</t>
        </is>
      </c>
      <c r="N118" s="61" t="n"/>
      <c r="O118" s="61" t="n"/>
      <c r="P118" s="61" t="n"/>
      <c r="Q118" s="61" t="n"/>
      <c r="R118" s="61" t="n"/>
      <c r="S118" s="62" t="n"/>
      <c r="T118" s="61" t="n"/>
    </row>
    <row r="119" ht="15.75" customHeight="1" s="38">
      <c r="A119" s="59" t="inlineStr">
        <is>
          <t>Flender SpA</t>
        </is>
      </c>
      <c r="B119" s="59" t="inlineStr">
        <is>
          <t>Acoplamientos, Reductores</t>
        </is>
      </c>
      <c r="C119" s="59" t="inlineStr">
        <is>
          <t>Santiago</t>
        </is>
      </c>
      <c r="D119" s="59" t="inlineStr">
        <is>
          <t>Digitalización Accionamientos AI-IQ</t>
        </is>
      </c>
      <c r="E119" s="59" t="n"/>
      <c r="F119" s="59" t="inlineStr">
        <is>
          <t>https://www.flender.com/en/service/digital-services</t>
        </is>
      </c>
      <c r="G119" s="59" t="inlineStr">
        <is>
          <t>Javier Iglesias (Gerente Centro Servicios)</t>
        </is>
      </c>
      <c r="H119" s="59" t="n"/>
      <c r="I119" s="59" t="inlineStr">
        <is>
          <t>(56) 9 8808 3824</t>
        </is>
      </c>
      <c r="J119" s="59" t="n"/>
      <c r="K119" s="59" t="inlineStr">
        <is>
          <t>76879562-2</t>
        </is>
      </c>
      <c r="L119" s="59" t="inlineStr">
        <is>
          <t>Ventas: GRANDE 3 (600.000 - 1.000.000 UF) | Empleados: 25</t>
        </is>
      </c>
      <c r="M119" s="59" t="inlineStr">
        <is>
          <t>Tier 1 - OPORTUNIDAD ACTIVA (VIP)</t>
        </is>
      </c>
      <c r="N119" s="61" t="n"/>
      <c r="O119" s="61" t="n"/>
      <c r="P119" s="61" t="n"/>
      <c r="Q119" s="61" t="n"/>
      <c r="R119" s="61" t="n"/>
      <c r="S119" s="62" t="n"/>
      <c r="T119" s="61" t="n"/>
    </row>
    <row r="120" ht="15.75" customHeight="1" s="38">
      <c r="A120" s="66" t="inlineStr">
        <is>
          <t>Flesan</t>
        </is>
      </c>
      <c r="B120" s="66" t="inlineStr">
        <is>
          <t>Desmantelamientos Industriales y Demoliciones</t>
        </is>
      </c>
      <c r="C120" s="66" t="inlineStr">
        <is>
          <t>Santiago</t>
        </is>
      </c>
      <c r="D120" s="66" t="n"/>
      <c r="E120" s="66" t="n"/>
      <c r="F120" s="66" t="n"/>
      <c r="G120" s="66" t="inlineStr">
        <is>
          <t>Gerente de TI / CIO (Director de Tecnología)</t>
        </is>
      </c>
      <c r="H120" s="66" t="n"/>
      <c r="I120" s="66" t="inlineStr">
        <is>
          <t>(56) 2 2530 9900</t>
        </is>
      </c>
      <c r="J120" s="66" t="n"/>
      <c r="K120" s="66" t="inlineStr">
        <is>
          <t>76.727.168-9</t>
        </is>
      </c>
      <c r="L120" s="66" t="inlineStr">
        <is>
          <t>Ventas: GRANDE 4 (Mas de 1.000.000 UF) | Empleados: 908</t>
        </is>
      </c>
      <c r="M120" s="66" t="inlineStr">
        <is>
          <t>Tier 1 - VIP (Alta Venta + DM)</t>
        </is>
      </c>
      <c r="N120" s="61" t="n"/>
      <c r="O120" s="61" t="n"/>
      <c r="P120" s="61" t="n"/>
      <c r="Q120" s="61" t="n"/>
      <c r="R120" s="61" t="n"/>
      <c r="S120" s="62" t="n"/>
      <c r="T120" s="61" t="n"/>
    </row>
    <row r="121" ht="15.75" customHeight="1" s="38">
      <c r="A121" s="59" t="inlineStr">
        <is>
          <t>Flexco de Chile SpA</t>
        </is>
      </c>
      <c r="B121" s="59" t="inlineStr">
        <is>
          <t>Alineadores para Correas Transportadoras</t>
        </is>
      </c>
      <c r="C121" s="59" t="inlineStr">
        <is>
          <t>Santiago</t>
        </is>
      </c>
      <c r="D121" s="59" t="inlineStr">
        <is>
          <t>IoT en Cintas Transportadoras Inteligentes</t>
        </is>
      </c>
      <c r="E121" s="59" t="n"/>
      <c r="F121" s="59" t="inlineStr">
        <is>
          <t>https://www.flexco.com/ES/ES/Flexco.htm</t>
        </is>
      </c>
      <c r="G121" s="59" t="inlineStr">
        <is>
          <t>Franklin Mendoza (Gerente Operaciones)</t>
        </is>
      </c>
      <c r="H121" s="59" t="n"/>
      <c r="I121" s="59" t="inlineStr">
        <is>
          <t>(56) 2 2896 7870</t>
        </is>
      </c>
      <c r="J121" s="59" t="n"/>
      <c r="K121" s="59" t="inlineStr">
        <is>
          <t>76.126.089-8</t>
        </is>
      </c>
      <c r="L121" s="59" t="inlineStr">
        <is>
          <t>Ventas: GRANDE 3 (600.000 - 1.000.000 UF) | Empleados: 42</t>
        </is>
      </c>
      <c r="M121" s="59" t="inlineStr">
        <is>
          <t>Tier 1 - OPORTUNIDAD ACTIVA (VIP)</t>
        </is>
      </c>
      <c r="N121" s="61" t="n"/>
      <c r="O121" s="61" t="n"/>
      <c r="P121" s="61" t="n"/>
      <c r="Q121" s="61" t="n"/>
      <c r="R121" s="61" t="n"/>
      <c r="S121" s="62" t="n"/>
      <c r="T121" s="61" t="n"/>
    </row>
    <row r="122" ht="15.75" customHeight="1" s="38">
      <c r="A122" s="66" t="inlineStr">
        <is>
          <t>Flowserve Chile S.A.</t>
        </is>
      </c>
      <c r="B122" s="66" t="inlineStr">
        <is>
          <t>Bombas, Sellos Mecánicos, Válvulas</t>
        </is>
      </c>
      <c r="C122" s="66" t="inlineStr">
        <is>
          <t>Santiago</t>
        </is>
      </c>
      <c r="D122" s="66" t="n"/>
      <c r="E122" s="66" t="n"/>
      <c r="F122" s="66" t="n"/>
      <c r="G122" s="66" t="inlineStr">
        <is>
          <t>Gerente de TI / CIO (Director de Tecnología)</t>
        </is>
      </c>
      <c r="H122" s="66" t="n"/>
      <c r="I122" s="66" t="inlineStr">
        <is>
          <t>(56) 2 2979 9600</t>
        </is>
      </c>
      <c r="J122" s="66" t="n"/>
      <c r="K122" s="66" t="inlineStr">
        <is>
          <t>96.959.580-K</t>
        </is>
      </c>
      <c r="L122" s="66" t="inlineStr">
        <is>
          <t>Ventas: GRANDE 4 (Mas de 1.000.000 UF) | Empleados: 92</t>
        </is>
      </c>
      <c r="M122" s="66" t="inlineStr">
        <is>
          <t>Tier 1 - VIP (Alta Venta + DM)</t>
        </is>
      </c>
      <c r="N122" s="61" t="n"/>
      <c r="O122" s="61" t="n"/>
      <c r="P122" s="61" t="n"/>
      <c r="Q122" s="61" t="n"/>
      <c r="R122" s="61" t="n"/>
      <c r="S122" s="62" t="n"/>
      <c r="T122" s="61" t="n"/>
    </row>
    <row r="123" ht="15.75" customHeight="1" s="38">
      <c r="A123" s="59" t="inlineStr">
        <is>
          <t>Fourthane</t>
        </is>
      </c>
      <c r="B123" s="59" t="inlineStr">
        <is>
          <t>Reparación de Correas Transportadoras</t>
        </is>
      </c>
      <c r="C123" s="59" t="inlineStr">
        <is>
          <t>Santiago</t>
        </is>
      </c>
      <c r="D123" s="59" t="inlineStr">
        <is>
          <t>Soluciones Tecnológicas Reparación Cintas</t>
        </is>
      </c>
      <c r="E123" s="59" t="n"/>
      <c r="F123" s="59" t="inlineStr">
        <is>
          <t>http://www.fourthane.com/</t>
        </is>
      </c>
      <c r="G123" s="59" t="inlineStr">
        <is>
          <t>Gerente de Innovación (Gerente Innovación)</t>
        </is>
      </c>
      <c r="H123" s="59" t="n"/>
      <c r="I123" s="59" t="inlineStr">
        <is>
          <t>(56) 2 2443 6031</t>
        </is>
      </c>
      <c r="J123" s="59" t="n"/>
      <c r="K123" s="59" t="inlineStr">
        <is>
          <t>76.526.130-9</t>
        </is>
      </c>
      <c r="L123" s="59" t="inlineStr">
        <is>
          <t>Ventas: GRANDE 3 (600.000 - 1.000.000 UF) | Empleados: 551</t>
        </is>
      </c>
      <c r="M123" s="59" t="inlineStr">
        <is>
          <t>Tier 1 - OPORTUNIDAD ACTIVA (VIP)</t>
        </is>
      </c>
      <c r="N123" s="61" t="n"/>
      <c r="O123" s="61" t="n"/>
      <c r="P123" s="61" t="n"/>
      <c r="Q123" s="61" t="n"/>
      <c r="R123" s="61" t="n"/>
      <c r="S123" s="62" t="n"/>
      <c r="T123" s="61" t="n"/>
    </row>
    <row r="124" ht="15.75" customHeight="1" s="38">
      <c r="A124" s="59" t="inlineStr">
        <is>
          <t>Freeport-Mcmoran South America</t>
        </is>
      </c>
      <c r="B124" s="59" t="inlineStr">
        <is>
          <t>Concentrados de Cobre</t>
        </is>
      </c>
      <c r="C124" s="59" t="inlineStr">
        <is>
          <t>Santiago</t>
        </is>
      </c>
      <c r="D124" s="59" t="inlineStr">
        <is>
          <t>Inversión Continuidad El Abra</t>
        </is>
      </c>
      <c r="E124" s="59" t="inlineStr">
        <is>
          <t>LinkedIn</t>
        </is>
      </c>
      <c r="F124" s="59" t="inlineStr">
        <is>
          <t>https://cl.linkedin.com/in/mariolarenas</t>
        </is>
      </c>
      <c r="G124" s="59" t="inlineStr">
        <is>
          <t>Mario Larenas (Country Manager)</t>
        </is>
      </c>
      <c r="H124" s="59" t="n"/>
      <c r="I124" s="59" t="inlineStr">
        <is>
          <t>(56) 2 2873 1200</t>
        </is>
      </c>
      <c r="J124" s="59" t="n"/>
      <c r="K124" s="59" t="inlineStr">
        <is>
          <t>78.273.180-7</t>
        </is>
      </c>
      <c r="L124" s="59" t="inlineStr">
        <is>
          <t>Ventas: GRANDE 4 (Mas de 1.000.000 UF) | Empleados: 72</t>
        </is>
      </c>
      <c r="M124" s="59" t="inlineStr">
        <is>
          <t>Tier 1 - OPORTUNIDAD ACTIVA (VIP)</t>
        </is>
      </c>
      <c r="N124" s="61" t="n"/>
      <c r="O124" s="61" t="n"/>
      <c r="P124" s="61" t="n"/>
      <c r="Q124" s="61" t="n"/>
      <c r="R124" s="61" t="n"/>
      <c r="S124" s="62" t="n"/>
      <c r="T124" s="61" t="n"/>
    </row>
    <row r="125" ht="15.75" customHeight="1" s="38">
      <c r="A125" s="59" t="inlineStr">
        <is>
          <t>Fundación Ceduc - UCN (Centro de Educación y Capacitación de la U. Católica del Norte)</t>
        </is>
      </c>
      <c r="B125" s="59" t="inlineStr">
        <is>
          <t>Capacitación en Especialidades Mineras, Certificación de Operadores de Maquinarias y Equipos</t>
        </is>
      </c>
      <c r="C125" s="59" t="inlineStr">
        <is>
          <t>Coquimbo</t>
        </is>
      </c>
      <c r="D125" s="59" t="inlineStr">
        <is>
          <t>Investigación en Proceso</t>
        </is>
      </c>
      <c r="E125" s="59" t="n"/>
      <c r="F125" s="59" t="n"/>
      <c r="G125" s="59" t="inlineStr">
        <is>
          <t>Claudio Fredes F. (Jefe TI)</t>
        </is>
      </c>
      <c r="H125" s="59" t="inlineStr">
        <is>
          <t>cfredes@ceduc.cl</t>
        </is>
      </c>
      <c r="I125" s="59" t="inlineStr">
        <is>
          <t>(56) 51 254 7000</t>
        </is>
      </c>
      <c r="J125" s="59" t="n"/>
      <c r="K125" s="59" t="inlineStr">
        <is>
          <t>74.822.900-0</t>
        </is>
      </c>
      <c r="L125" s="59" t="inlineStr">
        <is>
          <t>Ventas: GRANDE 3 (600.000 - 1.000.000 UF) | Empleados: 603</t>
        </is>
      </c>
      <c r="M125" s="59" t="inlineStr">
        <is>
          <t>Tier 1 - OPORTUNIDAD ACTIVA (VIP)</t>
        </is>
      </c>
      <c r="N125" s="61" t="n"/>
      <c r="O125" s="61" t="n"/>
      <c r="P125" s="61" t="n"/>
      <c r="Q125" s="61" t="n"/>
      <c r="R125" s="61" t="n"/>
      <c r="S125" s="62" t="n"/>
      <c r="T125" s="61" t="n"/>
    </row>
    <row r="126" ht="15.75" customHeight="1" s="38">
      <c r="A126" s="59" t="inlineStr">
        <is>
          <t>Fundación Chile</t>
        </is>
      </c>
      <c r="B126" s="59" t="inlineStr">
        <is>
          <t>Asesorías en Medioambiente, Capacitación de Personal</t>
        </is>
      </c>
      <c r="C126" s="59" t="inlineStr">
        <is>
          <t>Santiago</t>
        </is>
      </c>
      <c r="D126" s="59" t="inlineStr">
        <is>
          <t>Hub Metropolitano &amp; Escalado Startups Científico-Tecnológicas</t>
        </is>
      </c>
      <c r="E126" s="59" t="inlineStr">
        <is>
          <t>Fch.cl / Talento Digital</t>
        </is>
      </c>
      <c r="F126" s="59" t="n"/>
      <c r="G126" s="59" t="inlineStr">
        <is>
          <t>Iván Córdova Concha (Subgerente Tecnología)</t>
        </is>
      </c>
      <c r="H126" s="59" t="inlineStr">
        <is>
          <t>ivan.cordova@fch.cl</t>
        </is>
      </c>
      <c r="I126" s="59" t="inlineStr">
        <is>
          <t>(56) 2 2240 0300</t>
        </is>
      </c>
      <c r="J126" s="59" t="n"/>
      <c r="K126" s="59" t="inlineStr">
        <is>
          <t>70.300.000-2</t>
        </is>
      </c>
      <c r="L126" s="59" t="inlineStr">
        <is>
          <t>Ventas: GRANDE 3 (600.000 - 1.000.000 UF) | Empleados: 203</t>
        </is>
      </c>
      <c r="M126" s="59" t="inlineStr">
        <is>
          <t>Tier 1 - OPORTUNIDAD ACTIVA (VIP)</t>
        </is>
      </c>
      <c r="N126" s="61" t="n"/>
      <c r="O126" s="61" t="n"/>
      <c r="P126" s="61" t="n"/>
      <c r="Q126" s="61" t="n"/>
      <c r="R126" s="61" t="n"/>
      <c r="S126" s="62" t="n"/>
      <c r="T126" s="61" t="n"/>
    </row>
    <row r="127" ht="15.75" customHeight="1" s="38">
      <c r="A127" s="59" t="inlineStr">
        <is>
          <t>Fundición Chagres - Anglo American Sur</t>
        </is>
      </c>
      <c r="B127" s="59" t="inlineStr">
        <is>
          <t>Anodos de Cobre, Concentrado de Cobre</t>
        </is>
      </c>
      <c r="C127" s="59" t="inlineStr">
        <is>
          <t>Valparaíso</t>
        </is>
      </c>
      <c r="D127" s="59" t="inlineStr">
        <is>
          <t>Centro Remoto IROC</t>
        </is>
      </c>
      <c r="E127" s="59" t="inlineStr">
        <is>
          <t>LinkedIn</t>
        </is>
      </c>
      <c r="F127" s="59" t="inlineStr">
        <is>
          <t>https://cl.linkedin.com/in/rodrigosubiabre</t>
        </is>
      </c>
      <c r="G127" s="59" t="inlineStr">
        <is>
          <t>Rodrigo Subiabre (VP Tech &amp; Innov)</t>
        </is>
      </c>
      <c r="H127" s="59" t="n"/>
      <c r="I127" s="59" t="inlineStr">
        <is>
          <t>(56) 2 2230 8600</t>
        </is>
      </c>
      <c r="J127" s="59" t="n"/>
      <c r="K127" s="59" t="inlineStr">
        <is>
          <t>77.762.940-9</t>
        </is>
      </c>
      <c r="L127" s="59" t="inlineStr">
        <is>
          <t>Ventas: GRANDE (Estimado por Empleados) | Empleados: 2517</t>
        </is>
      </c>
      <c r="M127" s="59" t="inlineStr">
        <is>
          <t>Tier 1 - OPORTUNIDAD ACTIVA (VIP)</t>
        </is>
      </c>
      <c r="N127" s="61" t="n"/>
      <c r="O127" s="61" t="n"/>
      <c r="P127" s="61" t="n"/>
      <c r="Q127" s="61" t="n"/>
      <c r="R127" s="61" t="n"/>
      <c r="S127" s="62" t="n"/>
      <c r="T127" s="61" t="n"/>
    </row>
    <row r="128" ht="15.75" customHeight="1" s="38">
      <c r="A128" s="59" t="inlineStr">
        <is>
          <t>GE Mining</t>
        </is>
      </c>
      <c r="B128" s="59" t="inlineStr">
        <is>
          <t>Equipos para Minería de Superficie, Equipos para Minería Subterránea</t>
        </is>
      </c>
      <c r="C128" s="59" t="inlineStr">
        <is>
          <t>Santiago</t>
        </is>
      </c>
      <c r="D128" s="59" t="inlineStr">
        <is>
          <t>Investigación en Proceso</t>
        </is>
      </c>
      <c r="E128" s="59" t="n"/>
      <c r="F128" s="59" t="n"/>
      <c r="G128" s="59" t="inlineStr">
        <is>
          <t>Franco Francino (Digital Mining)</t>
        </is>
      </c>
      <c r="H128" s="59" t="inlineStr">
        <is>
          <t>franco.francino@ge.com</t>
        </is>
      </c>
      <c r="I128" s="59" t="inlineStr">
        <is>
          <t>(56) 2 2652 6500</t>
        </is>
      </c>
      <c r="J128" s="59" t="n"/>
      <c r="K128" s="59" t="inlineStr">
        <is>
          <t>59.010.820-0</t>
        </is>
      </c>
      <c r="L128" s="59" t="inlineStr">
        <is>
          <t>Ventas: GRANDE 3 (600.000 - 1.000.000 UF) | Empleados: 18</t>
        </is>
      </c>
      <c r="M128" s="59" t="inlineStr">
        <is>
          <t>Tier 1 - OPORTUNIDAD ACTIVA (VIP)</t>
        </is>
      </c>
      <c r="N128" s="61" t="n"/>
      <c r="O128" s="61" t="n"/>
      <c r="P128" s="61" t="n"/>
      <c r="Q128" s="61" t="n"/>
      <c r="R128" s="61" t="n"/>
      <c r="S128" s="62" t="n"/>
      <c r="T128" s="61" t="n"/>
    </row>
    <row r="129" ht="15.75" customHeight="1" s="38">
      <c r="A129" s="59" t="inlineStr">
        <is>
          <t>GEA Chile</t>
        </is>
      </c>
      <c r="B129" s="59" t="inlineStr">
        <is>
          <t>Tratamiento de Efluentes</t>
        </is>
      </c>
      <c r="C129" s="59" t="inlineStr">
        <is>
          <t>Santiago</t>
        </is>
      </c>
      <c r="D129" s="59" t="inlineStr">
        <is>
          <t>Investigación en Proceso</t>
        </is>
      </c>
      <c r="E129" s="59" t="n"/>
      <c r="F129" s="59" t="n"/>
      <c r="G129" s="59" t="inlineStr">
        <is>
          <t>Francisco Miño Kraus (Soluciones Digitales)</t>
        </is>
      </c>
      <c r="H129" s="59" t="inlineStr">
        <is>
          <t>francisco.mino@gea.com</t>
        </is>
      </c>
      <c r="I129" s="59" t="inlineStr">
        <is>
          <t>(56) 2 3210 9302</t>
        </is>
      </c>
      <c r="J129" s="59" t="n"/>
      <c r="K129" s="59" t="inlineStr">
        <is>
          <t>96.573.980-7</t>
        </is>
      </c>
      <c r="L129" s="59" t="inlineStr">
        <is>
          <t>Ventas: GRANDE 3 (600.000 - 1.000.000 UF) | Empleados: 27</t>
        </is>
      </c>
      <c r="M129" s="59" t="inlineStr">
        <is>
          <t>Tier 1 - OPORTUNIDAD ACTIVA (VIP)</t>
        </is>
      </c>
      <c r="N129" s="61" t="n"/>
      <c r="O129" s="61" t="n"/>
      <c r="P129" s="61" t="n"/>
      <c r="Q129" s="61" t="n"/>
      <c r="R129" s="61" t="n"/>
      <c r="S129" s="62" t="n"/>
      <c r="T129" s="61" t="n"/>
    </row>
    <row r="130" ht="15.75" customHeight="1" s="38">
      <c r="A130" s="66" t="inlineStr">
        <is>
          <t>GHD S.A.</t>
        </is>
      </c>
      <c r="B130" s="66" t="inlineStr">
        <is>
          <t>Consultoría en Minería</t>
        </is>
      </c>
      <c r="C130" s="66" t="inlineStr">
        <is>
          <t>Santiago</t>
        </is>
      </c>
      <c r="D130" s="66" t="n"/>
      <c r="E130" s="66" t="n"/>
      <c r="F130" s="66" t="n"/>
      <c r="G130" s="66" t="inlineStr">
        <is>
          <t>Gerente de TI / CIO (Director de Tecnología)</t>
        </is>
      </c>
      <c r="H130" s="66" t="n"/>
      <c r="I130" s="66" t="inlineStr">
        <is>
          <t>(56) 2 2433 5400</t>
        </is>
      </c>
      <c r="J130" s="66" t="n"/>
      <c r="K130" s="66" t="inlineStr">
        <is>
          <t>96.974.000-1</t>
        </is>
      </c>
      <c r="L130" s="66" t="inlineStr">
        <is>
          <t>Ventas: GRANDE 4 (Mas de 1.000.000 UF) | Empleados: 549</t>
        </is>
      </c>
      <c r="M130" s="66" t="inlineStr">
        <is>
          <t>Tier 1 - VIP (Alta Venta + DM)</t>
        </is>
      </c>
      <c r="N130" s="61" t="n"/>
      <c r="O130" s="61" t="n"/>
      <c r="P130" s="61" t="n"/>
      <c r="Q130" s="61" t="n"/>
      <c r="R130" s="61" t="n"/>
      <c r="S130" s="62" t="n"/>
      <c r="T130" s="61" t="n"/>
    </row>
    <row r="131" ht="15.75" customHeight="1" s="38">
      <c r="A131" s="59" t="inlineStr">
        <is>
          <t>GL Group</t>
        </is>
      </c>
      <c r="B131" s="59" t="inlineStr">
        <is>
          <t>Circuitos Cerrados de Televisión (CCTV)</t>
        </is>
      </c>
      <c r="C131" s="59" t="inlineStr">
        <is>
          <t>Santiago</t>
        </is>
      </c>
      <c r="D131" s="59" t="inlineStr">
        <is>
          <t>Tecnología RFID &amp; Transf. Digital Retail</t>
        </is>
      </c>
      <c r="E131" s="59" t="n"/>
      <c r="F131" s="59" t="inlineStr">
        <is>
          <t>https://cl.linkedin.com/company/glgroup-s-a</t>
        </is>
      </c>
      <c r="G131" s="59" t="inlineStr">
        <is>
          <t>Luis Caravello (Gerente Operaciones)</t>
        </is>
      </c>
      <c r="H131" s="59" t="n"/>
      <c r="I131" s="59" t="inlineStr">
        <is>
          <t>(56) 2 2629 2222</t>
        </is>
      </c>
      <c r="J131" s="59" t="n"/>
      <c r="K131" s="59" t="inlineStr">
        <is>
          <t>77.375.090-4</t>
        </is>
      </c>
      <c r="L131" s="59" t="inlineStr">
        <is>
          <t>Ventas: GRANDE 2 (200.000 - 600.000 UF) | Empleados: 68</t>
        </is>
      </c>
      <c r="M131" s="59" t="inlineStr">
        <is>
          <t>Tier 1 - OPORTUNIDAD ACTIVA (VIP)</t>
        </is>
      </c>
      <c r="N131" s="61" t="n"/>
      <c r="O131" s="61" t="n"/>
      <c r="P131" s="61" t="n"/>
      <c r="Q131" s="61" t="n"/>
      <c r="R131" s="61" t="n"/>
      <c r="S131" s="62" t="n"/>
      <c r="T131" s="61" t="n"/>
    </row>
    <row r="132" ht="15.75" customHeight="1" s="38">
      <c r="A132" s="59" t="inlineStr">
        <is>
          <t>GPS Chile SpA</t>
        </is>
      </c>
      <c r="B132" s="59" t="inlineStr">
        <is>
          <t>Dispositivos para Control de Conducción de Vehículos, Plataformas GPS para Control y Gestión</t>
        </is>
      </c>
      <c r="C132" s="59" t="inlineStr">
        <is>
          <t>Santiago</t>
        </is>
      </c>
      <c r="D132" s="59" t="inlineStr">
        <is>
          <t>Investigación en Proceso</t>
        </is>
      </c>
      <c r="E132" s="59" t="n"/>
      <c r="F132" s="59" t="n"/>
      <c r="G132" s="59" t="inlineStr">
        <is>
          <t>Tomás Gantes (Gte Innovación y Producto)</t>
        </is>
      </c>
      <c r="H132" s="59" t="inlineStr">
        <is>
          <t>tgantes@gpschile.com</t>
        </is>
      </c>
      <c r="I132" s="59" t="inlineStr">
        <is>
          <t>(56) 2 2940 4911</t>
        </is>
      </c>
      <c r="J132" s="59" t="n"/>
      <c r="K132" s="59" t="inlineStr">
        <is>
          <t>96.941.960-2</t>
        </is>
      </c>
      <c r="L132" s="59" t="inlineStr">
        <is>
          <t>Ventas: GRANDE 3 (600.000 - 1.000.000 UF) | Empleados: 152</t>
        </is>
      </c>
      <c r="M132" s="59" t="inlineStr">
        <is>
          <t>Tier 1 - OPORTUNIDAD ACTIVA (VIP)</t>
        </is>
      </c>
      <c r="N132" s="61" t="n"/>
      <c r="O132" s="61" t="n"/>
      <c r="P132" s="61" t="n"/>
      <c r="Q132" s="61" t="n"/>
      <c r="R132" s="61" t="n"/>
      <c r="S132" s="62" t="n"/>
      <c r="T132" s="61" t="n"/>
    </row>
    <row r="133" ht="15.75" customHeight="1" s="38">
      <c r="A133" s="66" t="inlineStr">
        <is>
          <t>GWE Tubomin S.A.</t>
        </is>
      </c>
      <c r="B133" s="66" t="inlineStr">
        <is>
          <t>Bombas, Diseño y Planificación de Pozos</t>
        </is>
      </c>
      <c r="C133" s="66" t="inlineStr">
        <is>
          <t>Santiago</t>
        </is>
      </c>
      <c r="D133" s="66" t="n"/>
      <c r="E133" s="66" t="n"/>
      <c r="F133" s="66" t="n"/>
      <c r="G133" s="66" t="inlineStr">
        <is>
          <t>Gerente de TI / CIO (Director de Tecnología)</t>
        </is>
      </c>
      <c r="H133" s="66" t="n"/>
      <c r="I133" s="66" t="inlineStr">
        <is>
          <t>(56) 2 2678 4000</t>
        </is>
      </c>
      <c r="J133" s="66" t="n"/>
      <c r="K133" s="66" t="inlineStr">
        <is>
          <t>77.265.980-6</t>
        </is>
      </c>
      <c r="L133" s="66" t="inlineStr">
        <is>
          <t>Ventas: GRANDE 3 (600.000 - 1.000.000 UF) | Empleados: 75</t>
        </is>
      </c>
      <c r="M133" s="66" t="inlineStr">
        <is>
          <t>Tier 1 - VIP (Alta Venta + DM)</t>
        </is>
      </c>
      <c r="N133" s="61" t="n"/>
      <c r="O133" s="61" t="n"/>
      <c r="P133" s="61" t="n"/>
      <c r="Q133" s="61" t="n"/>
      <c r="R133" s="61" t="n"/>
      <c r="S133" s="62" t="n"/>
      <c r="T133" s="61" t="n"/>
    </row>
    <row r="134" ht="15.75" customHeight="1" s="38">
      <c r="A134" s="66" t="inlineStr">
        <is>
          <t>GYG Thomas Ltda.</t>
        </is>
      </c>
      <c r="B134" s="66" t="inlineStr">
        <is>
          <t>Ropa de Alta Visibilidad, Ropa para Seguridad</t>
        </is>
      </c>
      <c r="C134" s="66" t="inlineStr">
        <is>
          <t>Iquique</t>
        </is>
      </c>
      <c r="D134" s="66" t="n"/>
      <c r="E134" s="66" t="n"/>
      <c r="F134" s="66" t="n"/>
      <c r="G134" s="66" t="inlineStr">
        <is>
          <t>Gerente de TI / CIO (Director de Tecnología)</t>
        </is>
      </c>
      <c r="H134" s="66" t="n"/>
      <c r="I134" s="66" t="inlineStr">
        <is>
          <t>(56) 57 242 3907</t>
        </is>
      </c>
      <c r="J134" s="66" t="n"/>
      <c r="K134" s="66" t="inlineStr">
        <is>
          <t>77.646.200-4</t>
        </is>
      </c>
      <c r="L134" s="66" t="inlineStr">
        <is>
          <t>Ventas: GRANDE 3 (600.000 - 1.000.000 UF) | Empleados: 86</t>
        </is>
      </c>
      <c r="M134" s="66" t="inlineStr">
        <is>
          <t>Tier 1 - VIP (Alta Venta + DM)</t>
        </is>
      </c>
      <c r="N134" s="61" t="n"/>
      <c r="O134" s="61" t="n"/>
      <c r="P134" s="61" t="n"/>
      <c r="Q134" s="61" t="n"/>
      <c r="R134" s="61" t="n"/>
      <c r="S134" s="62" t="n"/>
      <c r="T134" s="61" t="n"/>
    </row>
    <row r="135" ht="15.75" customHeight="1" s="38">
      <c r="A135" s="66" t="inlineStr">
        <is>
          <t>Garmendia</t>
        </is>
      </c>
      <c r="B135" s="66" t="inlineStr">
        <is>
          <t>Calzado para Seguridad, Ropa para Seguridad</t>
        </is>
      </c>
      <c r="C135" s="66" t="inlineStr">
        <is>
          <t>Santiago</t>
        </is>
      </c>
      <c r="D135" s="66" t="n"/>
      <c r="E135" s="66" t="n"/>
      <c r="F135" s="66" t="n"/>
      <c r="G135" s="66" t="inlineStr">
        <is>
          <t>Gerente de TI / CIO (Director de Tecnología)</t>
        </is>
      </c>
      <c r="H135" s="66" t="n"/>
      <c r="I135" s="66" t="inlineStr">
        <is>
          <t>600 426 7000</t>
        </is>
      </c>
      <c r="J135" s="66" t="n"/>
      <c r="K135" s="66" t="inlineStr">
        <is>
          <t>96.889.950-3</t>
        </is>
      </c>
      <c r="L135" s="66" t="inlineStr">
        <is>
          <t>Ventas: GRANDE 3 (600.000 - 1.000.000 UF) | Empleados: 211</t>
        </is>
      </c>
      <c r="M135" s="66" t="inlineStr">
        <is>
          <t>Tier 1 - VIP (Alta Venta + DM)</t>
        </is>
      </c>
      <c r="N135" s="61" t="n"/>
      <c r="O135" s="61" t="n"/>
      <c r="P135" s="61" t="n"/>
      <c r="Q135" s="61" t="n"/>
      <c r="R135" s="61" t="n"/>
      <c r="S135" s="62" t="n"/>
      <c r="T135" s="61" t="n"/>
    </row>
    <row r="136" ht="15.75" customHeight="1" s="38">
      <c r="A136" s="59" t="inlineStr">
        <is>
          <t>Gasco</t>
        </is>
      </c>
      <c r="B136" s="59" t="inlineStr">
        <is>
          <t>Proveedor Destacado, Energía Eléctrica Distribuida, Energía para Calefacción Industrial, Energía para Hornos de Tratamiento Térmico, Energía para Hornos Rotatorios, Energía para Procesos Metalúrgicos y de Metalmecánica</t>
        </is>
      </c>
      <c r="C136" s="59" t="inlineStr">
        <is>
          <t>Santiago</t>
        </is>
      </c>
      <c r="D136" s="59" t="inlineStr">
        <is>
          <t>Optimización SAP &amp; Transf. Digital CX</t>
        </is>
      </c>
      <c r="E136" s="59" t="n"/>
      <c r="F136" s="59" t="inlineStr">
        <is>
          <t>https://cl.linkedin.com/in/gsalazarp/</t>
        </is>
      </c>
      <c r="G136" s="59" t="inlineStr">
        <is>
          <t>Guillermo Salazar (Gte Corp Tecnología)</t>
        </is>
      </c>
      <c r="H136" s="59" t="n"/>
      <c r="I136" s="59" t="inlineStr">
        <is>
          <t>600 822 2222</t>
        </is>
      </c>
      <c r="J136" s="59" t="inlineStr">
        <is>
          <t>http://solucionesenergeticas.gasco.cl</t>
        </is>
      </c>
      <c r="K136" s="59" t="inlineStr">
        <is>
          <t>96.568.740-8</t>
        </is>
      </c>
      <c r="L136" s="59" t="inlineStr">
        <is>
          <t>Ventas: GRANDE (Estimado por Empleados) | Empleados: 1059</t>
        </is>
      </c>
      <c r="M136" s="59" t="inlineStr">
        <is>
          <t>Tier 1 - OPORTUNIDAD ACTIVA (VIP)</t>
        </is>
      </c>
      <c r="N136" s="61" t="n"/>
      <c r="O136" s="61" t="n"/>
      <c r="P136" s="61" t="n"/>
      <c r="Q136" s="61" t="n"/>
      <c r="R136" s="61" t="n"/>
      <c r="S136" s="62" t="n"/>
      <c r="T136" s="61" t="n"/>
    </row>
    <row r="137" ht="15.75" customHeight="1" s="38">
      <c r="A137" s="59" t="inlineStr">
        <is>
          <t>Geo Operaciones Ltda.</t>
        </is>
      </c>
      <c r="B137" s="59" t="inlineStr">
        <is>
          <t>Servicios para la Minería, Sondajes</t>
        </is>
      </c>
      <c r="C137" s="59" t="inlineStr">
        <is>
          <t>Copiapó</t>
        </is>
      </c>
      <c r="D137" s="59" t="inlineStr">
        <is>
          <t>Investigación en Proceso</t>
        </is>
      </c>
      <c r="E137" s="59" t="n"/>
      <c r="F137" s="59" t="n"/>
      <c r="G137" s="59" t="inlineStr">
        <is>
          <t>Ricardo Soto (Jefe de Informática)</t>
        </is>
      </c>
      <c r="H137" s="59" t="inlineStr">
        <is>
          <t>r.soto@geo-operaciones.cl</t>
        </is>
      </c>
      <c r="I137" s="59" t="inlineStr">
        <is>
          <t>(56) 52 220 2900</t>
        </is>
      </c>
      <c r="J137" s="59" t="n"/>
      <c r="K137" s="59" t="inlineStr">
        <is>
          <t>79.634.910-7</t>
        </is>
      </c>
      <c r="L137" s="59" t="inlineStr">
        <is>
          <t>Ventas: GRANDE 3 (600.000 - 1.000.000 UF) | Empleados: 315</t>
        </is>
      </c>
      <c r="M137" s="59" t="inlineStr">
        <is>
          <t>Tier 1 - OPORTUNIDAD ACTIVA (VIP)</t>
        </is>
      </c>
      <c r="N137" s="61" t="n"/>
      <c r="O137" s="61" t="n"/>
      <c r="P137" s="61" t="n"/>
      <c r="Q137" s="61" t="n"/>
      <c r="R137" s="61" t="n"/>
      <c r="S137" s="62" t="n"/>
      <c r="T137" s="61" t="n"/>
    </row>
    <row r="138" ht="15.75" customHeight="1" s="38">
      <c r="A138" s="66" t="inlineStr">
        <is>
          <t>Geoassay Group</t>
        </is>
      </c>
      <c r="B138" s="66" t="inlineStr">
        <is>
          <t>Proveedor Destacado</t>
        </is>
      </c>
      <c r="C138" s="66" t="inlineStr">
        <is>
          <t>Santiago</t>
        </is>
      </c>
      <c r="D138" s="66" t="n"/>
      <c r="E138" s="66" t="n"/>
      <c r="F138" s="66" t="n"/>
      <c r="G138" s="66" t="inlineStr">
        <is>
          <t>Gerente de TI / CIO (Director de Tecnología)</t>
        </is>
      </c>
      <c r="H138" s="66" t="n"/>
      <c r="I138" s="66" t="n"/>
      <c r="J138" s="66" t="inlineStr">
        <is>
          <t>http://www.geoassay.cl</t>
        </is>
      </c>
      <c r="K138" s="66" t="inlineStr">
        <is>
          <t>76.040.561-2</t>
        </is>
      </c>
      <c r="L138" s="66" t="inlineStr">
        <is>
          <t>Ventas: GRANDE 4 (Mas de 1.000.000 UF) | Empleados: 505</t>
        </is>
      </c>
      <c r="M138" s="66" t="inlineStr">
        <is>
          <t>Tier 1 - VIP (Alta Venta + DM)</t>
        </is>
      </c>
      <c r="N138" s="61" t="n"/>
      <c r="O138" s="61" t="n"/>
      <c r="P138" s="61" t="n"/>
      <c r="Q138" s="61" t="n"/>
      <c r="R138" s="61" t="n"/>
      <c r="S138" s="62" t="n"/>
      <c r="T138" s="61" t="n"/>
    </row>
    <row r="139" ht="15.75" customHeight="1" s="38">
      <c r="A139" s="59" t="inlineStr">
        <is>
          <t>Geobarra Exins S.A.</t>
        </is>
      </c>
      <c r="B139" s="59" t="inlineStr">
        <is>
          <t>Tratamiento de Residuos</t>
        </is>
      </c>
      <c r="C139" s="59" t="inlineStr">
        <is>
          <t>Rancagua</t>
        </is>
      </c>
      <c r="D139" s="59" t="inlineStr">
        <is>
          <t>Investigación en Proceso</t>
        </is>
      </c>
      <c r="E139" s="59" t="n"/>
      <c r="F139" s="59" t="n"/>
      <c r="G139" s="59" t="inlineStr">
        <is>
          <t>Emilio Briceño (Gerente de Operaciones)</t>
        </is>
      </c>
      <c r="H139" s="59" t="inlineStr">
        <is>
          <t>e.briceno@geobarra.cl</t>
        </is>
      </c>
      <c r="I139" s="59" t="inlineStr">
        <is>
          <t>(56) 72 252 2143</t>
        </is>
      </c>
      <c r="J139" s="59" t="n"/>
      <c r="K139" s="59" t="inlineStr">
        <is>
          <t>76.562.260-3</t>
        </is>
      </c>
      <c r="L139" s="59" t="inlineStr">
        <is>
          <t>Ventas: GRANDE 3 (600.000 - 1.000.000 UF) | Empleados: 311</t>
        </is>
      </c>
      <c r="M139" s="59" t="inlineStr">
        <is>
          <t>Tier 1 - OPORTUNIDAD ACTIVA (VIP)</t>
        </is>
      </c>
      <c r="N139" s="61" t="n"/>
      <c r="O139" s="61" t="n"/>
      <c r="P139" s="61" t="n"/>
      <c r="Q139" s="61" t="n"/>
      <c r="R139" s="61" t="n"/>
      <c r="S139" s="62" t="n"/>
      <c r="T139" s="61" t="n"/>
    </row>
    <row r="140" ht="15.75" customHeight="1" s="38">
      <c r="A140" s="66" t="inlineStr">
        <is>
          <t>Georock S.A.</t>
        </is>
      </c>
      <c r="B140" s="66" t="inlineStr">
        <is>
          <t>Preacondicionamiento de Macizos Rocosos</t>
        </is>
      </c>
      <c r="C140" s="66" t="inlineStr">
        <is>
          <t>Santiago</t>
        </is>
      </c>
      <c r="D140" s="66" t="n"/>
      <c r="E140" s="66" t="n"/>
      <c r="F140" s="66" t="n"/>
      <c r="G140" s="66" t="inlineStr">
        <is>
          <t>Gerente de TI / CIO (Director de Tecnología)</t>
        </is>
      </c>
      <c r="H140" s="66" t="n"/>
      <c r="I140" s="66" t="inlineStr">
        <is>
          <t>(56) 2 2208 1615</t>
        </is>
      </c>
      <c r="J140" s="66" t="n"/>
      <c r="K140" s="66" t="inlineStr">
        <is>
          <t>77.842.840-7</t>
        </is>
      </c>
      <c r="L140" s="66" t="inlineStr">
        <is>
          <t>Ventas: GRANDE 4 (Mas de 1.000.000 UF) | Empleados: 698</t>
        </is>
      </c>
      <c r="M140" s="66" t="inlineStr">
        <is>
          <t>Tier 1 - VIP (Alta Venta + DM)</t>
        </is>
      </c>
      <c r="N140" s="61" t="n"/>
      <c r="O140" s="61" t="n"/>
      <c r="P140" s="61" t="n"/>
      <c r="Q140" s="61" t="n"/>
      <c r="R140" s="61" t="n"/>
      <c r="S140" s="62" t="n"/>
      <c r="T140" s="61" t="n"/>
    </row>
    <row r="141" ht="15.75" customHeight="1" s="38">
      <c r="A141" s="59" t="inlineStr">
        <is>
          <t>Gestión Ambiental Consultores S.A.</t>
        </is>
      </c>
      <c r="B141" s="59" t="inlineStr">
        <is>
          <t>Asesorías en Medioambiente</t>
        </is>
      </c>
      <c r="C141" s="59" t="inlineStr">
        <is>
          <t>Santiago</t>
        </is>
      </c>
      <c r="D141" s="59" t="inlineStr">
        <is>
          <t>Investigación en Proceso</t>
        </is>
      </c>
      <c r="E141" s="59" t="n"/>
      <c r="F141" s="59" t="n"/>
      <c r="G141" s="59" t="inlineStr">
        <is>
          <t>Daniel Maturana (Jefe de TI)</t>
        </is>
      </c>
      <c r="H141" s="59" t="inlineStr">
        <is>
          <t>daturana@gac.cl</t>
        </is>
      </c>
      <c r="I141" s="59" t="inlineStr">
        <is>
          <t>(56) 2 2719 5600</t>
        </is>
      </c>
      <c r="J141" s="59" t="n"/>
      <c r="K141" s="59" t="inlineStr">
        <is>
          <t>78.174.910-9</t>
        </is>
      </c>
      <c r="L141" s="59" t="inlineStr">
        <is>
          <t>Ventas: GRANDE 3 (600.000 - 1.000.000 UF) | Empleados: 314</t>
        </is>
      </c>
      <c r="M141" s="59" t="inlineStr">
        <is>
          <t>Tier 1 - OPORTUNIDAD ACTIVA (VIP)</t>
        </is>
      </c>
      <c r="N141" s="61" t="n"/>
      <c r="O141" s="61" t="n"/>
      <c r="P141" s="61" t="n"/>
      <c r="Q141" s="61" t="n"/>
      <c r="R141" s="61" t="n"/>
      <c r="S141" s="62" t="n"/>
      <c r="T141" s="61" t="n"/>
    </row>
    <row r="142" ht="15.75" customHeight="1" s="38">
      <c r="A142" s="66" t="inlineStr">
        <is>
          <t>Goren Ltda.</t>
        </is>
      </c>
      <c r="B142" s="66" t="inlineStr">
        <is>
          <t>Remolques, Semiremolques</t>
        </is>
      </c>
      <c r="C142" s="66" t="inlineStr">
        <is>
          <t>Santiago</t>
        </is>
      </c>
      <c r="D142" s="66" t="n"/>
      <c r="E142" s="66" t="n"/>
      <c r="F142" s="66" t="n"/>
      <c r="G142" s="66" t="inlineStr">
        <is>
          <t>Gerente de TI / CIO (Director de Tecnología)</t>
        </is>
      </c>
      <c r="H142" s="66" t="n"/>
      <c r="I142" s="66" t="inlineStr">
        <is>
          <t>(56) 2 2745 3610</t>
        </is>
      </c>
      <c r="J142" s="66" t="n"/>
      <c r="K142" s="66" t="inlineStr">
        <is>
          <t>77.461.660-8</t>
        </is>
      </c>
      <c r="L142" s="66" t="inlineStr">
        <is>
          <t>Ventas: GRANDE 3 (600.000 - 1.000.000 UF) | Empleados: 24</t>
        </is>
      </c>
      <c r="M142" s="66" t="inlineStr">
        <is>
          <t>Tier 1 - VIP (Alta Venta + DM)</t>
        </is>
      </c>
      <c r="N142" s="61" t="n"/>
      <c r="O142" s="61" t="n"/>
      <c r="P142" s="61" t="n"/>
      <c r="Q142" s="61" t="n"/>
      <c r="R142" s="61" t="n"/>
      <c r="S142" s="62" t="n"/>
      <c r="T142" s="61" t="n"/>
    </row>
    <row r="143" ht="15.75" customHeight="1" s="38">
      <c r="A143" s="59" t="inlineStr">
        <is>
          <t>Grafton Recruitment</t>
        </is>
      </c>
      <c r="B143" s="59" t="inlineStr">
        <is>
          <t>Selección y Búsqueda de Personal</t>
        </is>
      </c>
      <c r="C143" s="59" t="inlineStr">
        <is>
          <t>Santiago</t>
        </is>
      </c>
      <c r="D143" s="59" t="inlineStr">
        <is>
          <t>Investigación en Proceso</t>
        </is>
      </c>
      <c r="E143" s="59" t="n"/>
      <c r="F143" s="59" t="n"/>
      <c r="G143" s="59" t="inlineStr">
        <is>
          <t>Marcelo Muñoz (Analista TI)</t>
        </is>
      </c>
      <c r="H143" s="59" t="inlineStr">
        <is>
          <t>marcelo.munoz@grafton.cl</t>
        </is>
      </c>
      <c r="I143" s="59" t="inlineStr">
        <is>
          <t>(56) 2 2327 3000</t>
        </is>
      </c>
      <c r="J143" s="59" t="n"/>
      <c r="K143" s="59" t="inlineStr">
        <is>
          <t>96.816.540-2</t>
        </is>
      </c>
      <c r="L143" s="59" t="inlineStr">
        <is>
          <t>Ventas: GRANDE 3 (600.000 - 1.000.000 UF) | Empleados: 457</t>
        </is>
      </c>
      <c r="M143" s="59" t="inlineStr">
        <is>
          <t>Tier 1 - OPORTUNIDAD ACTIVA (VIP)</t>
        </is>
      </c>
      <c r="N143" s="61" t="n"/>
      <c r="O143" s="61" t="n"/>
      <c r="P143" s="61" t="n"/>
      <c r="Q143" s="61" t="n"/>
      <c r="R143" s="61" t="n"/>
      <c r="S143" s="62" t="n"/>
      <c r="T143" s="61" t="n"/>
    </row>
    <row r="144" ht="15.75" customHeight="1" s="38">
      <c r="A144" s="59" t="inlineStr">
        <is>
          <t>Grandleasing</t>
        </is>
      </c>
      <c r="B144" s="59" t="inlineStr">
        <is>
          <t>Equipos de Izaje, Vehículos Eléctricos</t>
        </is>
      </c>
      <c r="C144" s="59" t="inlineStr">
        <is>
          <t>Santiago</t>
        </is>
      </c>
      <c r="D144" s="59" t="inlineStr">
        <is>
          <t>Estrategia Electromovilidad &amp; Monitoreo Telemático de Flotas</t>
        </is>
      </c>
      <c r="E144" s="59" t="inlineStr">
        <is>
          <t>LinkedIn / Jedimar</t>
        </is>
      </c>
      <c r="F144" s="59" t="inlineStr">
        <is>
          <t>https://www.revistalogistec.com/index.php/2025/02/19/entregan-flota-de-camionetas-electricas-4x4-por-primera-vez-en-chile/</t>
        </is>
      </c>
      <c r="G144" s="59" t="inlineStr">
        <is>
          <t>Marco Rojas (Jefe de TI)</t>
        </is>
      </c>
      <c r="H144" s="59" t="inlineStr">
        <is>
          <t>mrojas@grandleasing.cl</t>
        </is>
      </c>
      <c r="I144" s="59" t="inlineStr">
        <is>
          <t>(56) 9 8239 3092</t>
        </is>
      </c>
      <c r="J144" s="59" t="n"/>
      <c r="K144" s="59" t="inlineStr">
        <is>
          <t>76976580-8</t>
        </is>
      </c>
      <c r="L144" s="59" t="inlineStr">
        <is>
          <t>Ventas: GRANDE 4 (Mas de 1.000.000 UF) | Empleados: 159</t>
        </is>
      </c>
      <c r="M144" s="59" t="inlineStr">
        <is>
          <t>Tier 1 - OPORTUNIDAD ACTIVA (VIP)</t>
        </is>
      </c>
      <c r="N144" s="61" t="n"/>
      <c r="O144" s="61" t="n"/>
      <c r="P144" s="61" t="n"/>
      <c r="Q144" s="61" t="n"/>
      <c r="R144" s="61" t="n"/>
      <c r="S144" s="62" t="n"/>
      <c r="T144" s="61" t="n"/>
    </row>
    <row r="145" ht="15.75" customHeight="1" s="38">
      <c r="A145" s="66" t="inlineStr">
        <is>
          <t>GroundProbe</t>
        </is>
      </c>
      <c r="B145" s="66" t="inlineStr">
        <is>
          <t>Radares para Monitorear Estabilidad de Taludes</t>
        </is>
      </c>
      <c r="C145" s="66" t="inlineStr">
        <is>
          <t>Santiago</t>
        </is>
      </c>
      <c r="D145" s="66" t="n"/>
      <c r="E145" s="66" t="n"/>
      <c r="F145" s="66" t="n"/>
      <c r="G145" s="66" t="inlineStr">
        <is>
          <t>Gerente de TI / CIO (Director de Tecnología)</t>
        </is>
      </c>
      <c r="H145" s="66" t="n"/>
      <c r="I145" s="66" t="inlineStr">
        <is>
          <t>(56) 2 2586 4200</t>
        </is>
      </c>
      <c r="J145" s="66" t="n"/>
      <c r="K145" s="66" t="inlineStr">
        <is>
          <t>76.497.680-0</t>
        </is>
      </c>
      <c r="L145" s="66" t="inlineStr">
        <is>
          <t>Ventas: GRANDE 3 (600.000 - 1.000.000 UF) | Empleados: 70</t>
        </is>
      </c>
      <c r="M145" s="66" t="inlineStr">
        <is>
          <t>Tier 1 - VIP (Alta Venta + DM)</t>
        </is>
      </c>
      <c r="N145" s="61" t="n"/>
      <c r="O145" s="61" t="n"/>
      <c r="P145" s="61" t="n"/>
      <c r="Q145" s="61" t="n"/>
      <c r="R145" s="61" t="n"/>
      <c r="S145" s="62" t="n"/>
      <c r="T145" s="61" t="n"/>
    </row>
    <row r="146" ht="15.75" customHeight="1" s="38">
      <c r="A146" s="59" t="inlineStr">
        <is>
          <t>Grupo Avanza</t>
        </is>
      </c>
      <c r="B146" s="59" t="inlineStr">
        <is>
          <t>Selección de Personal</t>
        </is>
      </c>
      <c r="C146" s="59" t="inlineStr">
        <is>
          <t>Santiago</t>
        </is>
      </c>
      <c r="D146" s="59" t="inlineStr">
        <is>
          <t>Investigación en Proceso</t>
        </is>
      </c>
      <c r="E146" s="59" t="n"/>
      <c r="F146" s="59" t="n"/>
      <c r="G146" s="59" t="inlineStr">
        <is>
          <t>Carlos Recabarren (Gerente Avanza Tech)</t>
        </is>
      </c>
      <c r="H146" s="59" t="inlineStr">
        <is>
          <t>carlos.recabarren@grupoavanza.cl</t>
        </is>
      </c>
      <c r="I146" s="59" t="inlineStr">
        <is>
          <t>(56) 2 2240 3963</t>
        </is>
      </c>
      <c r="J146" s="59" t="n"/>
      <c r="K146" s="59" t="inlineStr">
        <is>
          <t>76008458-1</t>
        </is>
      </c>
      <c r="L146" s="59" t="inlineStr">
        <is>
          <t>Ventas: GRANDE 3 (600.000 - 1.000.000 UF) | Empleados: 309</t>
        </is>
      </c>
      <c r="M146" s="59" t="inlineStr">
        <is>
          <t>Tier 1 - OPORTUNIDAD ACTIVA (VIP)</t>
        </is>
      </c>
      <c r="N146" s="61" t="n"/>
      <c r="O146" s="61" t="n"/>
      <c r="P146" s="61" t="n"/>
      <c r="Q146" s="61" t="n"/>
      <c r="R146" s="61" t="n"/>
      <c r="S146" s="62" t="n"/>
      <c r="T146" s="61" t="n"/>
    </row>
    <row r="147" ht="15.75" customHeight="1" s="38">
      <c r="A147" s="66" t="inlineStr">
        <is>
          <t>Grupo Condumex Ltda.</t>
        </is>
      </c>
      <c r="B147" s="66" t="inlineStr">
        <is>
          <t>Conductores Eléctricos</t>
        </is>
      </c>
      <c r="C147" s="66" t="inlineStr">
        <is>
          <t>Santiago</t>
        </is>
      </c>
      <c r="D147" s="66" t="n"/>
      <c r="E147" s="66" t="n"/>
      <c r="F147" s="66" t="n"/>
      <c r="G147" s="66" t="inlineStr">
        <is>
          <t>Gerente de TI / CIO (Director de Tecnología)</t>
        </is>
      </c>
      <c r="H147" s="66" t="n"/>
      <c r="I147" s="66" t="inlineStr">
        <is>
          <t>(56) 2 2719 6806</t>
        </is>
      </c>
      <c r="J147" s="66" t="n"/>
      <c r="K147" s="66" t="inlineStr">
        <is>
          <t>96.775.240-1</t>
        </is>
      </c>
      <c r="L147" s="66" t="inlineStr">
        <is>
          <t>Ventas: GRANDE 3 (600.000 - 1.000.000 UF) | Empleados: 14</t>
        </is>
      </c>
      <c r="M147" s="66" t="inlineStr">
        <is>
          <t>Tier 1 - VIP (Alta Venta + DM)</t>
        </is>
      </c>
      <c r="N147" s="61" t="n"/>
      <c r="O147" s="61" t="n"/>
      <c r="P147" s="61" t="n"/>
      <c r="Q147" s="61" t="n"/>
      <c r="R147" s="61" t="n"/>
      <c r="S147" s="62" t="n"/>
      <c r="T147" s="61" t="n"/>
    </row>
    <row r="148" ht="15.75" customHeight="1" s="38">
      <c r="A148" s="59" t="inlineStr">
        <is>
          <t>Grupo Eulen Chile</t>
        </is>
      </c>
      <c r="B148" s="59" t="inlineStr">
        <is>
          <t>Servicios de Limpieza y Aseo Industrial, Servicios de Seguridad y Vigilancia</t>
        </is>
      </c>
      <c r="C148" s="59" t="inlineStr">
        <is>
          <t>Santiago</t>
        </is>
      </c>
      <c r="D148" s="59" t="inlineStr">
        <is>
          <t>Ciberseguridad &amp; IA Seguridad Inteligente</t>
        </is>
      </c>
      <c r="E148" s="59" t="n"/>
      <c r="F148" s="59" t="inlineStr">
        <is>
          <t>https://cl.linkedin.com/in/pablo-ignacio-flores-7aa484106</t>
        </is>
      </c>
      <c r="G148" s="59" t="inlineStr">
        <is>
          <t>Pablo Ignacio Flores (Gerente Op. Seg. Electrónica)</t>
        </is>
      </c>
      <c r="H148" s="59" t="n"/>
      <c r="I148" s="59" t="inlineStr">
        <is>
          <t>(56) 2 2685 9500</t>
        </is>
      </c>
      <c r="J148" s="59" t="n"/>
      <c r="K148" s="59" t="inlineStr">
        <is>
          <t>96.997.370-7</t>
        </is>
      </c>
      <c r="L148" s="59" t="inlineStr">
        <is>
          <t>Ventas: GRANDE 2 (200.000 - 600.000 UF) | Empleados: 169</t>
        </is>
      </c>
      <c r="M148" s="59" t="inlineStr">
        <is>
          <t>Tier 1 - OPORTUNIDAD ACTIVA (VIP)</t>
        </is>
      </c>
      <c r="N148" s="61" t="n"/>
      <c r="O148" s="61" t="n"/>
      <c r="P148" s="61" t="n"/>
      <c r="Q148" s="61" t="n"/>
      <c r="R148" s="61" t="n"/>
      <c r="S148" s="62" t="n"/>
      <c r="T148" s="61" t="n"/>
    </row>
    <row r="149" ht="15.75" customHeight="1" s="38">
      <c r="A149" s="66" t="inlineStr">
        <is>
          <t>Grupo Ibereólica Renovables</t>
        </is>
      </c>
      <c r="B149" s="66" t="inlineStr">
        <is>
          <t>Energías Renovables</t>
        </is>
      </c>
      <c r="C149" s="66" t="inlineStr">
        <is>
          <t>Santiago</t>
        </is>
      </c>
      <c r="D149" s="66" t="n"/>
      <c r="E149" s="66" t="n"/>
      <c r="F149" s="66" t="n"/>
      <c r="G149" s="66" t="inlineStr">
        <is>
          <t>Gerente de TI / CIO (Director de Tecnología)</t>
        </is>
      </c>
      <c r="H149" s="66" t="n"/>
      <c r="I149" s="66" t="inlineStr">
        <is>
          <t>(56) 2 2333 3540</t>
        </is>
      </c>
      <c r="J149" s="66" t="n"/>
      <c r="K149" s="66" t="inlineStr">
        <is>
          <t>76.131.562-5</t>
        </is>
      </c>
      <c r="L149" s="66" t="inlineStr">
        <is>
          <t>Ventas: GRANDE 3 (600.000 - 1.000.000 UF) | Empleados: 4</t>
        </is>
      </c>
      <c r="M149" s="66" t="inlineStr">
        <is>
          <t>Tier 1 - VIP (Alta Venta + DM)</t>
        </is>
      </c>
      <c r="N149" s="61" t="n"/>
      <c r="O149" s="61" t="n"/>
      <c r="P149" s="61" t="n"/>
      <c r="Q149" s="61" t="n"/>
      <c r="R149" s="61" t="n"/>
      <c r="S149" s="62" t="n"/>
      <c r="T149" s="61" t="n"/>
    </row>
    <row r="150" ht="15.75" customHeight="1" s="38">
      <c r="A150" s="59" t="inlineStr">
        <is>
          <t>Grúas y Equipos Cruz del Sur</t>
        </is>
      </c>
      <c r="B150" s="59" t="inlineStr">
        <is>
          <t>Arriendo de Grúas</t>
        </is>
      </c>
      <c r="C150" s="59" t="inlineStr">
        <is>
          <t>Santiago</t>
        </is>
      </c>
      <c r="D150" s="59" t="inlineStr">
        <is>
          <t>Investigación en Proceso</t>
        </is>
      </c>
      <c r="E150" s="59" t="n"/>
      <c r="F150" s="59" t="n"/>
      <c r="G150" s="59" t="inlineStr">
        <is>
          <t>José Andrés Castro Borquez (Gerente TI Corporativo)</t>
        </is>
      </c>
      <c r="H150" s="59" t="inlineStr">
        <is>
          <t>jose.castro@cruzdelsur.cl</t>
        </is>
      </c>
      <c r="I150" s="59" t="inlineStr">
        <is>
          <t>(56) 2 2484 2100</t>
        </is>
      </c>
      <c r="J150" s="59" t="n"/>
      <c r="K150" s="59" t="inlineStr">
        <is>
          <t>86.117.800-5</t>
        </is>
      </c>
      <c r="L150" s="59" t="inlineStr">
        <is>
          <t>Ventas: GRANDE 3 (600.000 - 1.000.000 UF) | Empleados: 278</t>
        </is>
      </c>
      <c r="M150" s="59" t="inlineStr">
        <is>
          <t>Tier 1 - OPORTUNIDAD ACTIVA (VIP)</t>
        </is>
      </c>
      <c r="N150" s="61" t="n"/>
      <c r="O150" s="61" t="n"/>
      <c r="P150" s="61" t="n"/>
      <c r="Q150" s="61" t="n"/>
      <c r="R150" s="61" t="n"/>
      <c r="S150" s="62" t="n"/>
      <c r="T150" s="61" t="n"/>
    </row>
    <row r="151" ht="15.75" customHeight="1" s="38">
      <c r="A151" s="66" t="inlineStr">
        <is>
          <t>Gymsa</t>
        </is>
      </c>
      <c r="B151" s="66" t="inlineStr">
        <is>
          <t>Aceros Galvanizados, Canalización Eléctrica</t>
        </is>
      </c>
      <c r="C151" s="66" t="inlineStr">
        <is>
          <t>Santiago</t>
        </is>
      </c>
      <c r="D151" s="66" t="n"/>
      <c r="E151" s="66" t="n"/>
      <c r="F151" s="66" t="n"/>
      <c r="G151" s="66" t="inlineStr">
        <is>
          <t>Gerente de TI / CIO (Director de Tecnología)</t>
        </is>
      </c>
      <c r="H151" s="66" t="n"/>
      <c r="I151" s="66" t="inlineStr">
        <is>
          <t>(56) 2 2790 1900</t>
        </is>
      </c>
      <c r="J151" s="66" t="n"/>
      <c r="K151" s="66" t="inlineStr">
        <is>
          <t>96.562.040-0</t>
        </is>
      </c>
      <c r="L151" s="66" t="inlineStr">
        <is>
          <t>Ventas: GRANDE 3 (600.000 - 1.000.000 UF) | Empleados: 214</t>
        </is>
      </c>
      <c r="M151" s="66" t="inlineStr">
        <is>
          <t>Tier 1 - VIP (Alta Venta + DM)</t>
        </is>
      </c>
      <c r="N151" s="61" t="n"/>
      <c r="O151" s="61" t="n"/>
      <c r="P151" s="61" t="n"/>
      <c r="Q151" s="61" t="n"/>
      <c r="R151" s="61" t="n"/>
      <c r="S151" s="62" t="n"/>
      <c r="T151" s="61" t="n"/>
    </row>
    <row r="152" ht="15.75" customHeight="1" s="38">
      <c r="A152" s="66" t="inlineStr">
        <is>
          <t>H. Briones S.A.</t>
        </is>
      </c>
      <c r="B152" s="66" t="inlineStr">
        <is>
          <t>Sistemas Eléctricos</t>
        </is>
      </c>
      <c r="C152" s="66" t="inlineStr">
        <is>
          <t>Santiago</t>
        </is>
      </c>
      <c r="D152" s="66" t="n"/>
      <c r="E152" s="66" t="n"/>
      <c r="F152" s="66" t="n"/>
      <c r="G152" s="66" t="inlineStr">
        <is>
          <t>Gerente de TI / CIO (Director de Tecnología)</t>
        </is>
      </c>
      <c r="H152" s="66" t="n"/>
      <c r="I152" s="66" t="inlineStr">
        <is>
          <t>(56) 2 2412 0791</t>
        </is>
      </c>
      <c r="J152" s="66" t="n"/>
      <c r="K152" s="66" t="inlineStr">
        <is>
          <t>92.519.000-4</t>
        </is>
      </c>
      <c r="L152" s="66" t="inlineStr">
        <is>
          <t>Ventas: GRANDE 3 (600.000 - 1.000.000 UF) | Empleados: 45</t>
        </is>
      </c>
      <c r="M152" s="66" t="inlineStr">
        <is>
          <t>Tier 1 - VIP (Alta Venta + DM)</t>
        </is>
      </c>
      <c r="N152" s="61" t="n"/>
      <c r="O152" s="61" t="n"/>
      <c r="P152" s="61" t="n"/>
      <c r="Q152" s="61" t="n"/>
      <c r="R152" s="61" t="n"/>
      <c r="S152" s="62" t="n"/>
      <c r="T152" s="61" t="n"/>
    </row>
    <row r="153" ht="15.75" customHeight="1" s="38">
      <c r="A153" s="66" t="inlineStr">
        <is>
          <t>Heavenward Ascensores S.A.</t>
        </is>
      </c>
      <c r="B153" s="66" t="inlineStr">
        <is>
          <t>Ascensores</t>
        </is>
      </c>
      <c r="C153" s="66" t="inlineStr">
        <is>
          <t>Santiago</t>
        </is>
      </c>
      <c r="D153" s="66" t="n"/>
      <c r="E153" s="66" t="n"/>
      <c r="F153" s="66" t="n"/>
      <c r="G153" s="66" t="inlineStr">
        <is>
          <t>Gerente de TI / CIO (Director de Tecnología)</t>
        </is>
      </c>
      <c r="H153" s="66" t="n"/>
      <c r="I153" s="66" t="inlineStr">
        <is>
          <t>(56) 2 2731 8000</t>
        </is>
      </c>
      <c r="J153" s="66" t="n"/>
      <c r="K153" s="66" t="inlineStr">
        <is>
          <t>96.794.440-8</t>
        </is>
      </c>
      <c r="L153" s="66" t="inlineStr">
        <is>
          <t>Ventas: GRANDE 4 (Mas de 1.000.000 UF) | Empleados: 353</t>
        </is>
      </c>
      <c r="M153" s="66" t="inlineStr">
        <is>
          <t>Tier 1 - VIP (Alta Venta + DM)</t>
        </is>
      </c>
      <c r="N153" s="61" t="n"/>
      <c r="O153" s="61" t="n"/>
      <c r="P153" s="61" t="n"/>
      <c r="Q153" s="61" t="n"/>
      <c r="R153" s="61" t="n"/>
      <c r="S153" s="62" t="n"/>
      <c r="T153" s="61" t="n"/>
    </row>
    <row r="154" ht="15.75" customHeight="1" s="38">
      <c r="A154" s="66" t="inlineStr">
        <is>
          <t>Hellema Holland Engineering Ltda.</t>
        </is>
      </c>
      <c r="B154" s="66" t="inlineStr">
        <is>
          <t>Captación de Aguas Subterráneas, Sondajes</t>
        </is>
      </c>
      <c r="C154" s="66" t="inlineStr">
        <is>
          <t>Coquimbo</t>
        </is>
      </c>
      <c r="D154" s="66" t="n"/>
      <c r="E154" s="66" t="n"/>
      <c r="F154" s="66" t="n"/>
      <c r="G154" s="66" t="inlineStr">
        <is>
          <t>Gerente de TI / CIO (Director de Tecnología)</t>
        </is>
      </c>
      <c r="H154" s="66" t="n"/>
      <c r="I154" s="66" t="inlineStr">
        <is>
          <t>(56) 51 254 5444</t>
        </is>
      </c>
      <c r="J154" s="66" t="n"/>
      <c r="K154" s="66" t="inlineStr">
        <is>
          <t>77.334.290-3</t>
        </is>
      </c>
      <c r="L154" s="66" t="inlineStr">
        <is>
          <t>Ventas: GRANDE 4 (Mas de 1.000.000 UF) | Empleados: 572</t>
        </is>
      </c>
      <c r="M154" s="66" t="inlineStr">
        <is>
          <t>Tier 1 - VIP (Alta Venta + DM)</t>
        </is>
      </c>
      <c r="N154" s="61" t="n"/>
      <c r="O154" s="61" t="n"/>
      <c r="P154" s="61" t="n"/>
      <c r="Q154" s="61" t="n"/>
      <c r="R154" s="61" t="n"/>
      <c r="S154" s="62" t="n"/>
      <c r="T154" s="61" t="n"/>
    </row>
    <row r="155" ht="15.75" customHeight="1" s="38">
      <c r="A155" s="66" t="inlineStr">
        <is>
          <t>Hexagon Mining Chile</t>
        </is>
      </c>
      <c r="B155" s="66" t="inlineStr">
        <is>
          <t>Automatización Industrial, Software Minero</t>
        </is>
      </c>
      <c r="C155" s="66" t="inlineStr">
        <is>
          <t>Santiago</t>
        </is>
      </c>
      <c r="D155" s="66" t="n"/>
      <c r="E155" s="66" t="n"/>
      <c r="F155" s="66" t="n"/>
      <c r="G155" s="66" t="inlineStr">
        <is>
          <t>Gerente de TI / CIO (Director de Tecnología)</t>
        </is>
      </c>
      <c r="H155" s="66" t="n"/>
      <c r="I155" s="66" t="inlineStr">
        <is>
          <t>(56) 2 2678 7800</t>
        </is>
      </c>
      <c r="J155" s="66" t="n"/>
      <c r="K155" s="66" t="inlineStr">
        <is>
          <t>76015699-K</t>
        </is>
      </c>
      <c r="L155" s="66" t="inlineStr">
        <is>
          <t>Ventas: GRANDE 4 (Mas de 1.000.000 UF) | Empleados: 250</t>
        </is>
      </c>
      <c r="M155" s="66" t="inlineStr">
        <is>
          <t>Tier 1 - VIP (Alta Venta + DM)</t>
        </is>
      </c>
      <c r="N155" s="61" t="n"/>
      <c r="O155" s="61" t="n"/>
      <c r="P155" s="61" t="n"/>
      <c r="Q155" s="61" t="n"/>
      <c r="R155" s="61" t="n"/>
      <c r="S155" s="62" t="n"/>
      <c r="T155" s="61" t="n"/>
    </row>
    <row r="156" ht="15.75" customHeight="1" s="38">
      <c r="A156" s="59" t="inlineStr">
        <is>
          <t>HidroMobile S.A.</t>
        </is>
      </c>
      <c r="B156" s="59" t="inlineStr">
        <is>
          <t>Andamios, Plataformas Eléctricas</t>
        </is>
      </c>
      <c r="C156" s="59" t="inlineStr">
        <is>
          <t>Santiago</t>
        </is>
      </c>
      <c r="D156" s="59" t="inlineStr">
        <is>
          <t>Investigación en Proceso</t>
        </is>
      </c>
      <c r="E156" s="59" t="n"/>
      <c r="F156" s="59" t="n"/>
      <c r="G156" s="59" t="inlineStr">
        <is>
          <t>Fernando Mattus (Jefe de Sistemas Logísticos)</t>
        </is>
      </c>
      <c r="H156" s="59" t="inlineStr">
        <is>
          <t>f.mattus@hidromobile.cl</t>
        </is>
      </c>
      <c r="I156" s="59" t="inlineStr">
        <is>
          <t>(56) 9 824 1284</t>
        </is>
      </c>
      <c r="J156" s="59" t="n"/>
      <c r="K156" s="59" t="inlineStr">
        <is>
          <t>99.577.790-8</t>
        </is>
      </c>
      <c r="L156" s="59" t="inlineStr">
        <is>
          <t>Ventas: GRANDE 3 (600.000 - 1.000.000 UF) | Empleados: 186</t>
        </is>
      </c>
      <c r="M156" s="59" t="inlineStr">
        <is>
          <t>Tier 1 - OPORTUNIDAD ACTIVA (VIP)</t>
        </is>
      </c>
      <c r="N156" s="61" t="n"/>
      <c r="O156" s="61" t="n"/>
      <c r="P156" s="61" t="n"/>
      <c r="Q156" s="61" t="n"/>
      <c r="R156" s="61" t="n"/>
      <c r="S156" s="62" t="n"/>
      <c r="T156" s="61" t="n"/>
    </row>
    <row r="157" ht="15.75" customHeight="1" s="38">
      <c r="A157" s="59" t="inlineStr">
        <is>
          <t>HidroTattersall</t>
        </is>
      </c>
      <c r="B157" s="59" t="inlineStr">
        <is>
          <t>Tratamiento de Riles</t>
        </is>
      </c>
      <c r="C157" s="59" t="inlineStr">
        <is>
          <t>Talagante</t>
        </is>
      </c>
      <c r="D157" s="59" t="inlineStr">
        <is>
          <t>Investigación en Proceso</t>
        </is>
      </c>
      <c r="E157" s="59" t="n"/>
      <c r="F157" s="59" t="n"/>
      <c r="G157" s="59" t="inlineStr">
        <is>
          <t>Ivan Correa (Gerente General)</t>
        </is>
      </c>
      <c r="H157" s="59" t="inlineStr">
        <is>
          <t>i.correa@hidrotattersall.cl</t>
        </is>
      </c>
      <c r="I157" s="59" t="inlineStr">
        <is>
          <t>(56) 2 3242 4001</t>
        </is>
      </c>
      <c r="J157" s="59" t="n"/>
      <c r="K157" s="59" t="inlineStr">
        <is>
          <t>76517797-9</t>
        </is>
      </c>
      <c r="L157" s="59" t="inlineStr">
        <is>
          <t>Ventas: GRANDE 3 (600.000 - 1.000.000 UF) | Empleados: 74</t>
        </is>
      </c>
      <c r="M157" s="59" t="inlineStr">
        <is>
          <t>Tier 1 - OPORTUNIDAD ACTIVA (VIP)</t>
        </is>
      </c>
      <c r="N157" s="61" t="n"/>
      <c r="O157" s="61" t="n"/>
      <c r="P157" s="61" t="n"/>
      <c r="Q157" s="61" t="n"/>
      <c r="R157" s="61" t="n"/>
      <c r="S157" s="62" t="n"/>
      <c r="T157" s="61" t="n"/>
    </row>
    <row r="158" ht="15.75" customHeight="1" s="38">
      <c r="A158" s="59" t="inlineStr">
        <is>
          <t>Hidronor Chile</t>
        </is>
      </c>
      <c r="B158" s="59" t="inlineStr">
        <is>
          <t>Remediación y Saneamiento de Terrenos Contaminados, Revalorización Energética, Recuperación y Reciclaje de Residuos, Transporte, Tratamiento y Disposición final de Residuos</t>
        </is>
      </c>
      <c r="C158" s="59" t="inlineStr">
        <is>
          <t>Santiago</t>
        </is>
      </c>
      <c r="D158" s="59" t="inlineStr">
        <is>
          <t>Gestión Datos Medioambientales Digital</t>
        </is>
      </c>
      <c r="E158" s="59" t="n"/>
      <c r="F158" s="59" t="inlineStr">
        <is>
          <t>https://www.hidronor.cl/</t>
        </is>
      </c>
      <c r="G158" s="59" t="inlineStr">
        <is>
          <t>Jorge Stagno (Gerente General)</t>
        </is>
      </c>
      <c r="H158" s="59" t="n"/>
      <c r="I158" s="59" t="inlineStr">
        <is>
          <t>(56) 2 2570 5700</t>
        </is>
      </c>
      <c r="J158" s="59" t="n"/>
      <c r="K158" s="59" t="inlineStr">
        <is>
          <t>96.607.990-8</t>
        </is>
      </c>
      <c r="L158" s="59" t="inlineStr">
        <is>
          <t>Ventas: GRANDE (Estimado por Empleados) | Empleados: 233</t>
        </is>
      </c>
      <c r="M158" s="59" t="inlineStr">
        <is>
          <t>Tier 1 - OPORTUNIDAD ACTIVA (VIP)</t>
        </is>
      </c>
      <c r="N158" s="61" t="n"/>
      <c r="O158" s="61" t="n"/>
      <c r="P158" s="61" t="n"/>
      <c r="Q158" s="61" t="n"/>
      <c r="R158" s="61" t="n"/>
      <c r="S158" s="62" t="n"/>
      <c r="T158" s="61" t="n"/>
    </row>
    <row r="159" ht="15.75" customHeight="1" s="38">
      <c r="A159" s="66" t="inlineStr">
        <is>
          <t>Hilti Chile Ltda.</t>
        </is>
      </c>
      <c r="B159" s="66" t="inlineStr">
        <is>
          <t>Sistemas para Anclaje, Sistemas para Perforación y Demolición</t>
        </is>
      </c>
      <c r="C159" s="66" t="inlineStr">
        <is>
          <t>Santiago</t>
        </is>
      </c>
      <c r="D159" s="66" t="n"/>
      <c r="E159" s="66" t="n"/>
      <c r="F159" s="66" t="n"/>
      <c r="G159" s="66" t="inlineStr">
        <is>
          <t>Gerente de TI / CIO (Director de Tecnología)</t>
        </is>
      </c>
      <c r="H159" s="66" t="n"/>
      <c r="I159" s="66" t="inlineStr">
        <is>
          <t>(56) 2 2655 3000</t>
        </is>
      </c>
      <c r="J159" s="66" t="n"/>
      <c r="K159" s="66" t="inlineStr">
        <is>
          <t>84.708.300-K</t>
        </is>
      </c>
      <c r="L159" s="66" t="inlineStr">
        <is>
          <t>Ventas: GRANDE 4 (Mas de 1.000.000 UF) | Empleados: 176</t>
        </is>
      </c>
      <c r="M159" s="66" t="inlineStr">
        <is>
          <t>Tier 1 - VIP (Alta Venta + DM)</t>
        </is>
      </c>
      <c r="N159" s="61" t="n"/>
      <c r="O159" s="61" t="n"/>
      <c r="P159" s="61" t="n"/>
      <c r="Q159" s="61" t="n"/>
      <c r="R159" s="61" t="n"/>
      <c r="S159" s="62" t="n"/>
      <c r="T159" s="61" t="n"/>
    </row>
    <row r="160" ht="15.75" customHeight="1" s="38">
      <c r="A160" s="59" t="inlineStr">
        <is>
          <t>Hino Chile</t>
        </is>
      </c>
      <c r="B160" s="59" t="inlineStr">
        <is>
          <t>Camiones, Camiones Pesados para Transporte</t>
        </is>
      </c>
      <c r="C160" s="59" t="inlineStr">
        <is>
          <t>Santiago</t>
        </is>
      </c>
      <c r="D160" s="59" t="inlineStr">
        <is>
          <t>Digitalización Flotas Transporte Pesado</t>
        </is>
      </c>
      <c r="E160" s="59" t="n"/>
      <c r="F160" s="59" t="inlineStr">
        <is>
          <t>https://www.google.com/search?q=Hino+Chile+Gerente+General+LinkedIn</t>
        </is>
      </c>
      <c r="G160" s="59" t="inlineStr">
        <is>
          <t>Antonio Belart Fabbri (Gerente General)</t>
        </is>
      </c>
      <c r="H160" s="59" t="n"/>
      <c r="I160" s="59" t="inlineStr">
        <is>
          <t>600 600 2112</t>
        </is>
      </c>
      <c r="J160" s="59" t="n"/>
      <c r="K160" s="59" t="inlineStr">
        <is>
          <t>76.141.853-K</t>
        </is>
      </c>
      <c r="L160" s="59" t="inlineStr">
        <is>
          <t>Ventas: GRANDE 2 (200.000 - 600.000 UF) | Empleados: 10</t>
        </is>
      </c>
      <c r="M160" s="59" t="inlineStr">
        <is>
          <t>Tier 1 - OPORTUNIDAD ACTIVA (VIP)</t>
        </is>
      </c>
      <c r="N160" s="61" t="n"/>
      <c r="O160" s="61" t="n"/>
      <c r="P160" s="61" t="n"/>
      <c r="Q160" s="61" t="n"/>
      <c r="R160" s="61" t="n"/>
      <c r="S160" s="62" t="n"/>
      <c r="T160" s="61" t="n"/>
    </row>
    <row r="161" ht="15.75" customHeight="1" s="38">
      <c r="A161" s="66" t="inlineStr">
        <is>
          <t>Howden</t>
        </is>
      </c>
      <c r="B161" s="66" t="inlineStr">
        <is>
          <t>Sistemas de Refrigeración de Minas, Ventilación de Túneles</t>
        </is>
      </c>
      <c r="C161" s="66" t="inlineStr">
        <is>
          <t>Santiago</t>
        </is>
      </c>
      <c r="D161" s="66" t="n"/>
      <c r="E161" s="66" t="n"/>
      <c r="F161" s="66" t="n"/>
      <c r="G161" s="66" t="inlineStr">
        <is>
          <t>Gerente de TI / CIO (Director de Tecnología)</t>
        </is>
      </c>
      <c r="H161" s="66" t="n"/>
      <c r="I161" s="66" t="n"/>
      <c r="J161" s="66" t="n"/>
      <c r="K161" s="66" t="inlineStr">
        <is>
          <t>76274455-4</t>
        </is>
      </c>
      <c r="L161" s="66" t="inlineStr">
        <is>
          <t>Ventas: GRANDE 4 (Mas de 1.000.000 UF) | Empleados: 49</t>
        </is>
      </c>
      <c r="M161" s="66" t="inlineStr">
        <is>
          <t>Tier 1 - VIP (Alta Venta + DM)</t>
        </is>
      </c>
      <c r="N161" s="61" t="n"/>
      <c r="O161" s="61" t="n"/>
      <c r="P161" s="61" t="n"/>
      <c r="Q161" s="61" t="n"/>
      <c r="R161" s="61" t="n"/>
      <c r="S161" s="62" t="n"/>
      <c r="T161" s="61" t="n"/>
    </row>
    <row r="162" ht="15.75" customHeight="1" s="38">
      <c r="A162" s="59" t="inlineStr">
        <is>
          <t>Hytera Chile</t>
        </is>
      </c>
      <c r="B162" s="59" t="inlineStr">
        <is>
          <t>Radiocomunicaciones, Soluciones de LTE Privado</t>
        </is>
      </c>
      <c r="C162" s="59" t="inlineStr">
        <is>
          <t>Santiago</t>
        </is>
      </c>
      <c r="D162" s="59" t="inlineStr">
        <is>
          <t>Comunicaciones Críticas (TETRA/DMR) Minería</t>
        </is>
      </c>
      <c r="E162" s="59" t="n"/>
      <c r="F162" s="59" t="inlineStr">
        <is>
          <t>https://cl.linkedin.com/in/claudio-l%C3%B3pez-410a654a</t>
        </is>
      </c>
      <c r="G162" s="59" t="inlineStr">
        <is>
          <t>Claudio López (Ingeniero Superior Campo)</t>
        </is>
      </c>
      <c r="H162" s="59" t="n"/>
      <c r="I162" s="59" t="inlineStr">
        <is>
          <t>(56) 9 3299 4410</t>
        </is>
      </c>
      <c r="J162" s="59" t="n"/>
      <c r="K162" s="59" t="inlineStr">
        <is>
          <t>76.825.305-6</t>
        </is>
      </c>
      <c r="L162" s="59" t="inlineStr">
        <is>
          <t>Ventas: GRANDE 2 (200.000 - 600.000 UF) | Empleados: 37</t>
        </is>
      </c>
      <c r="M162" s="59" t="inlineStr">
        <is>
          <t>Tier 1 - OPORTUNIDAD ACTIVA (VIP)</t>
        </is>
      </c>
      <c r="N162" s="61" t="n"/>
      <c r="O162" s="61" t="n"/>
      <c r="P162" s="61" t="n"/>
      <c r="Q162" s="61" t="n"/>
      <c r="R162" s="61" t="n"/>
      <c r="S162" s="62" t="n"/>
      <c r="T162" s="61" t="n"/>
    </row>
    <row r="163" ht="15.75" customHeight="1" s="38">
      <c r="A163" s="66" t="inlineStr">
        <is>
          <t>ITT Goulds Pumps</t>
        </is>
      </c>
      <c r="B163" s="66" t="inlineStr">
        <is>
          <t>Bombas Centrífugas, Soluciones para Bombeo y Control</t>
        </is>
      </c>
      <c r="C163" s="66" t="inlineStr">
        <is>
          <t>Santiago</t>
        </is>
      </c>
      <c r="D163" s="66" t="n"/>
      <c r="E163" s="66" t="n"/>
      <c r="F163" s="66" t="n"/>
      <c r="G163" s="66" t="inlineStr">
        <is>
          <t>Gerente de TI / CIO (Director de Tecnología)</t>
        </is>
      </c>
      <c r="H163" s="66" t="n"/>
      <c r="I163" s="66" t="inlineStr">
        <is>
          <t>(56) 2 2544 7000</t>
        </is>
      </c>
      <c r="J163" s="66" t="n"/>
      <c r="K163" s="66" t="inlineStr">
        <is>
          <t>96.773.770-4</t>
        </is>
      </c>
      <c r="L163" s="66" t="inlineStr">
        <is>
          <t>Ventas: GRANDE 4 (Mas de 1.000.000 UF) | Empleados: 74</t>
        </is>
      </c>
      <c r="M163" s="66" t="inlineStr">
        <is>
          <t>Tier 1 - VIP (Alta Venta + DM)</t>
        </is>
      </c>
      <c r="N163" s="61" t="n"/>
      <c r="O163" s="61" t="n"/>
      <c r="P163" s="61" t="n"/>
      <c r="Q163" s="61" t="n"/>
      <c r="R163" s="61" t="n"/>
      <c r="S163" s="62" t="n"/>
      <c r="T163" s="61" t="n"/>
    </row>
    <row r="164" ht="15.75" customHeight="1" s="38">
      <c r="A164" s="66" t="inlineStr">
        <is>
          <t>Icem S.A.</t>
        </is>
      </c>
      <c r="B164" s="66" t="inlineStr">
        <is>
          <t>Sondajes, Tronaduras</t>
        </is>
      </c>
      <c r="C164" s="66" t="inlineStr">
        <is>
          <t>Santiago</t>
        </is>
      </c>
      <c r="D164" s="66" t="n"/>
      <c r="E164" s="66" t="n"/>
      <c r="F164" s="66" t="n"/>
      <c r="G164" s="66" t="inlineStr">
        <is>
          <t>Gerente de TI / CIO (Director de Tecnología)</t>
        </is>
      </c>
      <c r="H164" s="66" t="n"/>
      <c r="I164" s="66" t="inlineStr">
        <is>
          <t>(56) 2 2902 0697</t>
        </is>
      </c>
      <c r="J164" s="66" t="n"/>
      <c r="K164" s="66" t="inlineStr">
        <is>
          <t>79.723.890-2</t>
        </is>
      </c>
      <c r="L164" s="66" t="inlineStr">
        <is>
          <t>Ventas: GRANDE 4 (Mas de 1.000.000 UF) | Empleados: 757</t>
        </is>
      </c>
      <c r="M164" s="66" t="inlineStr">
        <is>
          <t>Tier 1 - VIP (Alta Venta + DM)</t>
        </is>
      </c>
      <c r="N164" s="61" t="n"/>
      <c r="O164" s="61" t="n"/>
      <c r="P164" s="61" t="n"/>
      <c r="Q164" s="61" t="n"/>
      <c r="R164" s="61" t="n"/>
      <c r="S164" s="62" t="n"/>
      <c r="T164" s="61" t="n"/>
    </row>
    <row r="165" ht="15.75" customHeight="1" s="38">
      <c r="A165" s="59" t="inlineStr">
        <is>
          <t>Icheck Cargo International Logistics</t>
        </is>
      </c>
      <c r="B165" s="59" t="inlineStr">
        <is>
          <t>Agencias de Carga, Transporte Internacional</t>
        </is>
      </c>
      <c r="C165" s="59" t="inlineStr">
        <is>
          <t>Santiago</t>
        </is>
      </c>
      <c r="D165" s="59" t="inlineStr">
        <is>
          <t>Expansión Operaciones Freight Forwarding</t>
        </is>
      </c>
      <c r="E165" s="59" t="n"/>
      <c r="F165" s="59" t="inlineStr">
        <is>
          <t>https://cl.linkedin.com/in/ingrid-montecino-diaz-5a95b024</t>
        </is>
      </c>
      <c r="G165" s="59" t="inlineStr">
        <is>
          <t>Ingrid Montecino Diaz (CEO &amp; Co-Founder)</t>
        </is>
      </c>
      <c r="H165" s="59" t="n"/>
      <c r="I165" s="59" t="inlineStr">
        <is>
          <t>(56) 2 2822 6360</t>
        </is>
      </c>
      <c r="J165" s="59" t="n"/>
      <c r="K165" s="59" t="inlineStr">
        <is>
          <t>76.962.899-1</t>
        </is>
      </c>
      <c r="L165" s="59" t="inlineStr">
        <is>
          <t>Ventas: GRANDE 2 (200.000 - 600.000 UF) | Empleados: 22</t>
        </is>
      </c>
      <c r="M165" s="59" t="inlineStr">
        <is>
          <t>Tier 1 - OPORTUNIDAD ACTIVA (VIP)</t>
        </is>
      </c>
      <c r="N165" s="61" t="n"/>
      <c r="O165" s="61" t="n"/>
      <c r="P165" s="61" t="n"/>
      <c r="Q165" s="61" t="n"/>
      <c r="R165" s="61" t="n"/>
      <c r="S165" s="62" t="n"/>
      <c r="T165" s="61" t="n"/>
    </row>
    <row r="166" ht="15.75" customHeight="1" s="38">
      <c r="A166" s="59" t="inlineStr">
        <is>
          <t>Ienlace SpA</t>
        </is>
      </c>
      <c r="B166" s="59" t="inlineStr">
        <is>
          <t>Circuitos Cerrados de Televisión (CCTV), Sistemas para Detección y Extinción de Incendios</t>
        </is>
      </c>
      <c r="C166" s="59" t="inlineStr">
        <is>
          <t>Santiago</t>
        </is>
      </c>
      <c r="D166" s="59" t="inlineStr">
        <is>
          <t>Ingeniería Seguridad Electrónica &amp; Incendio</t>
        </is>
      </c>
      <c r="E166" s="59" t="n"/>
      <c r="F166" s="59" t="inlineStr">
        <is>
          <t>https://cl.linkedin.com/in/eduardo-vial-lavin-61016710</t>
        </is>
      </c>
      <c r="G166" s="59" t="inlineStr">
        <is>
          <t>Eduardo Vial Lavin (Gerente General)</t>
        </is>
      </c>
      <c r="H166" s="59" t="n"/>
      <c r="I166" s="59" t="inlineStr">
        <is>
          <t>(56) 2 2951 6933</t>
        </is>
      </c>
      <c r="J166" s="59" t="n"/>
      <c r="K166" s="59" t="inlineStr">
        <is>
          <t>76.084.932-4</t>
        </is>
      </c>
      <c r="L166" s="59" t="inlineStr">
        <is>
          <t>Ventas: GRANDE 2 (200.000 - 600.000 UF) | Empleados: 149</t>
        </is>
      </c>
      <c r="M166" s="59" t="inlineStr">
        <is>
          <t>Tier 1 - OPORTUNIDAD ACTIVA (VIP)</t>
        </is>
      </c>
      <c r="N166" s="61" t="n"/>
      <c r="O166" s="61" t="n"/>
      <c r="P166" s="61" t="n"/>
      <c r="Q166" s="61" t="n"/>
      <c r="R166" s="61" t="n"/>
      <c r="S166" s="62" t="n"/>
      <c r="T166" s="61" t="n"/>
    </row>
    <row r="167" ht="15.75" customHeight="1" s="38">
      <c r="A167" s="66" t="inlineStr">
        <is>
          <t>Imporper Ltda.</t>
        </is>
      </c>
      <c r="B167" s="66" t="inlineStr">
        <is>
          <t>Anclajes, Artículos para Fijación y Sujeción</t>
        </is>
      </c>
      <c r="C167" s="66" t="inlineStr">
        <is>
          <t>Santiago</t>
        </is>
      </c>
      <c r="D167" s="66" t="n"/>
      <c r="E167" s="66" t="n"/>
      <c r="F167" s="66" t="n"/>
      <c r="G167" s="66" t="inlineStr">
        <is>
          <t>Gerente de TI / CIO (Director de Tecnología)</t>
        </is>
      </c>
      <c r="H167" s="66" t="n"/>
      <c r="I167" s="66" t="inlineStr">
        <is>
          <t>(56) 2 2821 7000</t>
        </is>
      </c>
      <c r="J167" s="66" t="n"/>
      <c r="K167" s="66" t="inlineStr">
        <is>
          <t>79.921.700-7</t>
        </is>
      </c>
      <c r="L167" s="66" t="inlineStr">
        <is>
          <t>Ventas: GRANDE 4 (Mas de 1.000.000 UF) | Empleados: 295</t>
        </is>
      </c>
      <c r="M167" s="66" t="inlineStr">
        <is>
          <t>Tier 1 - VIP (Alta Venta + DM)</t>
        </is>
      </c>
      <c r="N167" s="61" t="n"/>
      <c r="O167" s="61" t="n"/>
      <c r="P167" s="61" t="n"/>
      <c r="Q167" s="61" t="n"/>
      <c r="R167" s="61" t="n"/>
      <c r="S167" s="62" t="n"/>
      <c r="T167" s="61" t="n"/>
    </row>
    <row r="168" ht="15.75" customHeight="1" s="38">
      <c r="A168" s="59" t="inlineStr">
        <is>
          <t>Indemin S.A.</t>
        </is>
      </c>
      <c r="B168" s="59" t="inlineStr">
        <is>
          <t>Transferencia de Materiales</t>
        </is>
      </c>
      <c r="C168" s="59" t="inlineStr">
        <is>
          <t>Viña del Mar</t>
        </is>
      </c>
      <c r="D168" s="59" t="inlineStr">
        <is>
          <t>Software Gestión Mantenimiento Palas</t>
        </is>
      </c>
      <c r="E168" s="59" t="n"/>
      <c r="F168" s="59" t="inlineStr">
        <is>
          <t>https://indemin.com/</t>
        </is>
      </c>
      <c r="G168" s="59" t="inlineStr">
        <is>
          <t>Gerente de Servicios Mineros (Gerente Servicios)</t>
        </is>
      </c>
      <c r="H168" s="59" t="n"/>
      <c r="I168" s="59" t="inlineStr">
        <is>
          <t>(56) 32 299 0877</t>
        </is>
      </c>
      <c r="J168" s="59" t="n"/>
      <c r="K168" s="59" t="inlineStr">
        <is>
          <t>96.931.410-K</t>
        </is>
      </c>
      <c r="L168" s="59" t="inlineStr">
        <is>
          <t>Ventas: GRANDE 3 (600.000 - 1.000.000 UF) | Empleados: 411</t>
        </is>
      </c>
      <c r="M168" s="59" t="inlineStr">
        <is>
          <t>Tier 1 - OPORTUNIDAD ACTIVA (VIP)</t>
        </is>
      </c>
      <c r="N168" s="61" t="n"/>
      <c r="O168" s="61" t="n"/>
      <c r="P168" s="61" t="n"/>
      <c r="Q168" s="61" t="n"/>
      <c r="R168" s="61" t="n"/>
      <c r="S168" s="62" t="n"/>
      <c r="T168" s="61" t="n"/>
    </row>
    <row r="169" ht="15.75" customHeight="1" s="38">
      <c r="A169" s="66" t="inlineStr">
        <is>
          <t>Ineco SpA</t>
        </is>
      </c>
      <c r="B169" s="66" t="inlineStr">
        <is>
          <t>Automatización Industrial, Válvulas</t>
        </is>
      </c>
      <c r="C169" s="66" t="inlineStr">
        <is>
          <t>Santiago</t>
        </is>
      </c>
      <c r="D169" s="66" t="n"/>
      <c r="E169" s="66" t="n"/>
      <c r="F169" s="66" t="n"/>
      <c r="G169" s="66" t="inlineStr">
        <is>
          <t>Gerente de TI / CIO (Director de Tecnología)</t>
        </is>
      </c>
      <c r="H169" s="66" t="n"/>
      <c r="I169" s="66" t="inlineStr">
        <is>
          <t>(56) 2 2463 8600</t>
        </is>
      </c>
      <c r="J169" s="66" t="n"/>
      <c r="K169" s="66" t="inlineStr">
        <is>
          <t>79.765.510-4</t>
        </is>
      </c>
      <c r="L169" s="66" t="inlineStr">
        <is>
          <t>Ventas: GRANDE 4 (Mas de 1.000.000 UF) | Empleados: 176</t>
        </is>
      </c>
      <c r="M169" s="66" t="inlineStr">
        <is>
          <t>Tier 1 - VIP (Alta Venta + DM)</t>
        </is>
      </c>
      <c r="N169" s="61" t="n"/>
      <c r="O169" s="61" t="n"/>
      <c r="P169" s="61" t="n"/>
      <c r="Q169" s="61" t="n"/>
      <c r="R169" s="61" t="n"/>
      <c r="S169" s="62" t="n"/>
      <c r="T169" s="61" t="n"/>
    </row>
    <row r="170" ht="15.75" customHeight="1" s="38">
      <c r="A170" s="66" t="inlineStr">
        <is>
          <t>Ingenalse</t>
        </is>
      </c>
      <c r="B170" s="66" t="inlineStr">
        <is>
          <t>Celdas para Flotación, Clarificación de Soluciones, Concentración de Minerales, Contratos de Mantenimiento, Contratos EPC-EPCM, Diseño de Transporte de Pulpas a Largas Distancias, Equipos para Filtración, Equipos para Flotación, Proyectos Eléctricos, Servicios de Automatización y Control, Servicios de Ingeniería, Servicios de Recuperación de Aguas, Servicios para Plantas Concentradoras, Sistemas para Tratamiento de Aguas Industriales y Residuales</t>
        </is>
      </c>
      <c r="C170" s="66" t="inlineStr">
        <is>
          <t>Santiago</t>
        </is>
      </c>
      <c r="D170" s="66" t="n"/>
      <c r="E170" s="66" t="n"/>
      <c r="F170" s="66" t="n"/>
      <c r="G170" s="66" t="inlineStr">
        <is>
          <t>Gerente de TI / CIO (Director de Tecnología)</t>
        </is>
      </c>
      <c r="H170" s="66" t="n"/>
      <c r="I170" s="66" t="inlineStr">
        <is>
          <t>(56) 2 3284 1500</t>
        </is>
      </c>
      <c r="J170" s="66" t="inlineStr">
        <is>
          <t>http://www.ingenalse.cl</t>
        </is>
      </c>
      <c r="K170" s="66" t="inlineStr">
        <is>
          <t>76.157.430-2</t>
        </is>
      </c>
      <c r="L170" s="66" t="inlineStr">
        <is>
          <t>Ventas: GRANDE 4 (Mas de 1.000.000 UF) | Empleados: 1127</t>
        </is>
      </c>
      <c r="M170" s="66" t="inlineStr">
        <is>
          <t>Tier 1 - VIP (Alta Venta + DM)</t>
        </is>
      </c>
      <c r="N170" s="61" t="n"/>
      <c r="O170" s="61" t="n"/>
      <c r="P170" s="61" t="n"/>
      <c r="Q170" s="61" t="n"/>
      <c r="R170" s="61" t="n"/>
      <c r="S170" s="62" t="n"/>
      <c r="T170" s="61" t="n"/>
    </row>
    <row r="171" ht="15.75" customHeight="1" s="38">
      <c r="A171" s="66" t="inlineStr">
        <is>
          <t>Ingeniería Desimat Ltda.</t>
        </is>
      </c>
      <c r="B171" s="66" t="inlineStr">
        <is>
          <t>Proyectos Eléctricos</t>
        </is>
      </c>
      <c r="C171" s="66" t="inlineStr">
        <is>
          <t>Santiago</t>
        </is>
      </c>
      <c r="D171" s="66" t="n"/>
      <c r="E171" s="66" t="n"/>
      <c r="F171" s="66" t="n"/>
      <c r="G171" s="66" t="inlineStr">
        <is>
          <t>Gerente de TI / CIO (Director de Tecnología)</t>
        </is>
      </c>
      <c r="H171" s="66" t="n"/>
      <c r="I171" s="66" t="inlineStr">
        <is>
          <t>(56) 2 2585 1200</t>
        </is>
      </c>
      <c r="J171" s="66" t="n"/>
      <c r="K171" s="66" t="inlineStr">
        <is>
          <t>78.131.420-K</t>
        </is>
      </c>
      <c r="L171" s="66" t="inlineStr">
        <is>
          <t>Ventas: GRANDE 4 (Mas de 1.000.000 UF) | Empleados: 101</t>
        </is>
      </c>
      <c r="M171" s="66" t="inlineStr">
        <is>
          <t>Tier 1 - VIP (Alta Venta + DM)</t>
        </is>
      </c>
      <c r="N171" s="61" t="n"/>
      <c r="O171" s="61" t="n"/>
      <c r="P171" s="61" t="n"/>
      <c r="Q171" s="61" t="n"/>
      <c r="R171" s="61" t="n"/>
      <c r="S171" s="62" t="n"/>
      <c r="T171" s="61" t="n"/>
    </row>
    <row r="172" ht="15.75" customHeight="1" s="38">
      <c r="A172" s="66" t="inlineStr">
        <is>
          <t>Inppamet S.A.</t>
        </is>
      </c>
      <c r="B172" s="66" t="inlineStr">
        <is>
          <t>Anodos de Plomo</t>
        </is>
      </c>
      <c r="C172" s="66" t="inlineStr">
        <is>
          <t>Calama</t>
        </is>
      </c>
      <c r="D172" s="66" t="n"/>
      <c r="E172" s="66" t="n"/>
      <c r="F172" s="66" t="n"/>
      <c r="G172" s="66" t="inlineStr">
        <is>
          <t>Gerente de TI / CIO (Director de Tecnología)</t>
        </is>
      </c>
      <c r="H172" s="66" t="n"/>
      <c r="I172" s="66" t="inlineStr">
        <is>
          <t>(56) 55 253 8100</t>
        </is>
      </c>
      <c r="J172" s="66" t="n"/>
      <c r="K172" s="66" t="inlineStr">
        <is>
          <t>79.722.500-2</t>
        </is>
      </c>
      <c r="L172" s="66" t="inlineStr">
        <is>
          <t>Ventas: GRANDE 4 (Mas de 1.000.000 UF) | Empleados: 77</t>
        </is>
      </c>
      <c r="M172" s="66" t="inlineStr">
        <is>
          <t>Tier 1 - VIP (Alta Venta + DM)</t>
        </is>
      </c>
      <c r="N172" s="61" t="n"/>
      <c r="O172" s="61" t="n"/>
      <c r="P172" s="61" t="n"/>
      <c r="Q172" s="61" t="n"/>
      <c r="R172" s="61" t="n"/>
      <c r="S172" s="62" t="n"/>
      <c r="T172" s="61" t="n"/>
    </row>
    <row r="173" ht="15.75" customHeight="1" s="38">
      <c r="A173" s="59" t="inlineStr">
        <is>
          <t>Ipacer S.A.</t>
        </is>
      </c>
      <c r="B173" s="59" t="inlineStr">
        <is>
          <t>Aceros, Aceros Galvanizados</t>
        </is>
      </c>
      <c r="C173" s="59" t="inlineStr">
        <is>
          <t>Santiago</t>
        </is>
      </c>
      <c r="D173" s="59" t="inlineStr">
        <is>
          <t>Modernización Supply Chain Acero</t>
        </is>
      </c>
      <c r="E173" s="59" t="n"/>
      <c r="F173" s="59" t="inlineStr">
        <is>
          <t>https://www.ipacer.cl/</t>
        </is>
      </c>
      <c r="G173" s="59" t="inlineStr">
        <is>
          <t>Marco González (Gerente Comercial)</t>
        </is>
      </c>
      <c r="H173" s="59" t="n"/>
      <c r="I173" s="59" t="inlineStr">
        <is>
          <t>(56) 2 2859 9000</t>
        </is>
      </c>
      <c r="J173" s="59" t="n"/>
      <c r="K173" s="59" t="inlineStr">
        <is>
          <t>99.510.380-K</t>
        </is>
      </c>
      <c r="L173" s="59" t="inlineStr">
        <is>
          <t>Ventas: GRANDE 3 (600.000 - 1.000.000 UF) | Empleados: 60</t>
        </is>
      </c>
      <c r="M173" s="59" t="inlineStr">
        <is>
          <t>Tier 1 - OPORTUNIDAD ACTIVA (VIP)</t>
        </is>
      </c>
      <c r="N173" s="61" t="n"/>
      <c r="O173" s="61" t="n"/>
      <c r="P173" s="61" t="n"/>
      <c r="Q173" s="61" t="n"/>
      <c r="R173" s="61" t="n"/>
      <c r="S173" s="62" t="n"/>
      <c r="T173" s="61" t="n"/>
    </row>
    <row r="174" ht="15.75" customHeight="1" s="38">
      <c r="A174" s="59" t="inlineStr">
        <is>
          <t>Iron Mountain</t>
        </is>
      </c>
      <c r="B174" s="59" t="inlineStr">
        <is>
          <t>Almacenamiento y Custodia de Documentos, Digitalización de Documentos y Planos</t>
        </is>
      </c>
      <c r="C174" s="59" t="inlineStr">
        <is>
          <t>Santiago</t>
        </is>
      </c>
      <c r="D174" s="59" t="inlineStr">
        <is>
          <t>Custodia Digital</t>
        </is>
      </c>
      <c r="E174" s="59" t="inlineStr">
        <is>
          <t>LinkedIn</t>
        </is>
      </c>
      <c r="F174" s="59" t="inlineStr">
        <is>
          <t>https://www.ironmountain.com/es-cl/servicios/digitalizacion-y-escaneo</t>
        </is>
      </c>
      <c r="G174" s="59" t="inlineStr">
        <is>
          <t>Manuel Carrasco Labrín (IT Manager LATAM)</t>
        </is>
      </c>
      <c r="H174" s="59" t="inlineStr">
        <is>
          <t>manuel.carrasco@ironmountain.cl</t>
        </is>
      </c>
      <c r="I174" s="59" t="inlineStr">
        <is>
          <t>(56) 2 2395 7000</t>
        </is>
      </c>
      <c r="J174" s="59" t="n"/>
      <c r="K174" s="59" t="inlineStr">
        <is>
          <t>96.756.680-2</t>
        </is>
      </c>
      <c r="L174" s="59" t="inlineStr">
        <is>
          <t>Ventas: GRANDE 4 (Mas de 1.000.000 UF) | Empleados: 324</t>
        </is>
      </c>
      <c r="M174" s="59" t="inlineStr">
        <is>
          <t>Tier 1 - OPORTUNIDAD ACTIVA (VIP)</t>
        </is>
      </c>
      <c r="N174" s="61" t="n"/>
      <c r="O174" s="61" t="n"/>
      <c r="P174" s="61" t="n"/>
      <c r="Q174" s="61" t="n"/>
      <c r="R174" s="61" t="n"/>
      <c r="S174" s="62" t="n"/>
      <c r="T174" s="61" t="n"/>
    </row>
    <row r="175" ht="15.75" customHeight="1" s="38">
      <c r="A175" s="59" t="inlineStr">
        <is>
          <t>Isoplast SpA</t>
        </is>
      </c>
      <c r="B175" s="59" t="inlineStr">
        <is>
          <t>Aislantes Térmicos, Plásticos</t>
        </is>
      </c>
      <c r="C175" s="59" t="inlineStr">
        <is>
          <t>Santiago</t>
        </is>
      </c>
      <c r="D175" s="59" t="inlineStr">
        <is>
          <t>Optimización Procesos Empaque &amp; Construcción</t>
        </is>
      </c>
      <c r="E175" s="59" t="n"/>
      <c r="F175" s="59" t="inlineStr">
        <is>
          <t>https://cl.linkedin.com/in/sergio-javier-mart%C3%ADnez-vizcarra-b768b01b</t>
        </is>
      </c>
      <c r="G175" s="59" t="inlineStr">
        <is>
          <t>Sergio Javier Martínez Vizcarra (Gerente Operaciones)</t>
        </is>
      </c>
      <c r="H175" s="59" t="n"/>
      <c r="I175" s="59" t="inlineStr">
        <is>
          <t>(56) 2 2275 2511</t>
        </is>
      </c>
      <c r="J175" s="59" t="n"/>
      <c r="K175" s="59" t="inlineStr">
        <is>
          <t>96.779.170-9</t>
        </is>
      </c>
      <c r="L175" s="59" t="inlineStr">
        <is>
          <t>Ventas: GRANDE 2 (200.000 - 600.000 UF) | Empleados: 51</t>
        </is>
      </c>
      <c r="M175" s="59" t="inlineStr">
        <is>
          <t>Tier 1 - OPORTUNIDAD ACTIVA (VIP)</t>
        </is>
      </c>
      <c r="N175" s="61" t="n"/>
      <c r="O175" s="61" t="n"/>
      <c r="P175" s="61" t="n"/>
      <c r="Q175" s="61" t="n"/>
      <c r="R175" s="61" t="n"/>
      <c r="S175" s="62" t="n"/>
      <c r="T175" s="61" t="n"/>
    </row>
    <row r="176" ht="15.75" customHeight="1" s="38">
      <c r="A176" s="59" t="inlineStr">
        <is>
          <t>Itasca S.A.</t>
        </is>
      </c>
      <c r="B176" s="59" t="inlineStr">
        <is>
          <t>Consultoría en Hidrogeología, Consultoría en Ingeniería Geotécnica</t>
        </is>
      </c>
      <c r="C176" s="59" t="inlineStr">
        <is>
          <t>Santiago</t>
        </is>
      </c>
      <c r="D176" s="59" t="inlineStr">
        <is>
          <t>Ingeniería Geotécnica &amp; Mecánica Rocas</t>
        </is>
      </c>
      <c r="E176" s="59" t="n"/>
      <c r="F176" s="59" t="inlineStr">
        <is>
          <t>https://cl.linkedin.com/in/martinbrownrocks</t>
        </is>
      </c>
      <c r="G176" s="59" t="inlineStr">
        <is>
          <t>Martin Brown (Gerente General)</t>
        </is>
      </c>
      <c r="H176" s="59" t="n"/>
      <c r="I176" s="59" t="inlineStr">
        <is>
          <t>(56) 2 2434 1300</t>
        </is>
      </c>
      <c r="J176" s="59" t="n"/>
      <c r="K176" s="59" t="inlineStr">
        <is>
          <t>96.684.920-7</t>
        </is>
      </c>
      <c r="L176" s="59" t="inlineStr">
        <is>
          <t>Ventas: GRANDE 2 (200.000 - 600.000 UF) | Empleados: 75</t>
        </is>
      </c>
      <c r="M176" s="59" t="inlineStr">
        <is>
          <t>Tier 1 - OPORTUNIDAD ACTIVA (VIP)</t>
        </is>
      </c>
      <c r="N176" s="61" t="n"/>
      <c r="O176" s="61" t="n"/>
      <c r="P176" s="61" t="n"/>
      <c r="Q176" s="61" t="n"/>
      <c r="R176" s="61" t="n"/>
      <c r="S176" s="62" t="n"/>
      <c r="T176" s="61" t="n"/>
    </row>
    <row r="177" ht="15.75" customHeight="1" s="38">
      <c r="A177" s="66" t="inlineStr">
        <is>
          <t>Jaime Illanes y Asociados Consultores</t>
        </is>
      </c>
      <c r="B177" s="66" t="inlineStr">
        <is>
          <t>Asesorías en Medioambiente, Sistemas para Gestión</t>
        </is>
      </c>
      <c r="C177" s="66" t="inlineStr">
        <is>
          <t>Santiago</t>
        </is>
      </c>
      <c r="D177" s="66" t="n"/>
      <c r="E177" s="66" t="n"/>
      <c r="F177" s="66" t="n"/>
      <c r="G177" s="66" t="inlineStr">
        <is>
          <t>Gerente de TI / CIO (Director de Tecnología)</t>
        </is>
      </c>
      <c r="H177" s="66" t="n"/>
      <c r="I177" s="66" t="inlineStr">
        <is>
          <t>(56) 2 2550 8900</t>
        </is>
      </c>
      <c r="J177" s="66" t="n"/>
      <c r="K177" s="66" t="inlineStr">
        <is>
          <t>96.914.650-9</t>
        </is>
      </c>
      <c r="L177" s="66" t="inlineStr">
        <is>
          <t>Ventas: GRANDE 3 (600.000 - 1.000.000 UF) | Empleados: 177</t>
        </is>
      </c>
      <c r="M177" s="66" t="inlineStr">
        <is>
          <t>Tier 1 - VIP (Alta Venta + DM)</t>
        </is>
      </c>
      <c r="N177" s="61" t="n"/>
      <c r="O177" s="61" t="n"/>
      <c r="P177" s="61" t="n"/>
      <c r="Q177" s="61" t="n"/>
      <c r="R177" s="61" t="n"/>
      <c r="S177" s="62" t="n"/>
      <c r="T177" s="61" t="n"/>
    </row>
    <row r="178" ht="15.75" customHeight="1" s="38">
      <c r="A178" s="66" t="inlineStr">
        <is>
          <t>Jas Projects Oil &amp; Gas</t>
        </is>
      </c>
      <c r="B178" s="66" t="inlineStr">
        <is>
          <t>Transporte de Cargas Especiales, Transporte de Explosivos</t>
        </is>
      </c>
      <c r="C178" s="66" t="inlineStr">
        <is>
          <t>Santiago</t>
        </is>
      </c>
      <c r="D178" s="66" t="n"/>
      <c r="E178" s="66" t="n"/>
      <c r="F178" s="66" t="n"/>
      <c r="G178" s="66" t="inlineStr">
        <is>
          <t>Gerente de TI / CIO (Director de Tecnología)</t>
        </is>
      </c>
      <c r="H178" s="66" t="n"/>
      <c r="I178" s="66" t="inlineStr">
        <is>
          <t>(56) 2 2580 1600</t>
        </is>
      </c>
      <c r="J178" s="66" t="n"/>
      <c r="K178" s="66" t="inlineStr">
        <is>
          <t>78.080.110-7</t>
        </is>
      </c>
      <c r="L178" s="66" t="inlineStr">
        <is>
          <t>Ventas: GRANDE 4 (Mas de 1.000.000 UF) | Empleados: 61</t>
        </is>
      </c>
      <c r="M178" s="66" t="inlineStr">
        <is>
          <t>Tier 1 - VIP (Alta Venta + DM)</t>
        </is>
      </c>
      <c r="N178" s="61" t="n"/>
      <c r="O178" s="61" t="n"/>
      <c r="P178" s="61" t="n"/>
      <c r="Q178" s="61" t="n"/>
      <c r="R178" s="61" t="n"/>
      <c r="S178" s="62" t="n"/>
      <c r="T178" s="61" t="n"/>
    </row>
    <row r="179" ht="15.75" customHeight="1" s="38">
      <c r="A179" s="66" t="inlineStr">
        <is>
          <t>John Crane Chile</t>
        </is>
      </c>
      <c r="B179" s="66" t="inlineStr">
        <is>
          <t>Empaquetaduras, Sellos Mecánicos, Sistemas Hidráulicos</t>
        </is>
      </c>
      <c r="C179" s="66" t="inlineStr">
        <is>
          <t>Santiago</t>
        </is>
      </c>
      <c r="D179" s="66" t="n"/>
      <c r="E179" s="66" t="n"/>
      <c r="F179" s="66" t="n"/>
      <c r="G179" s="66" t="inlineStr">
        <is>
          <t>Gerente de TI / CIO (Director de Tecnología)</t>
        </is>
      </c>
      <c r="H179" s="66" t="n"/>
      <c r="I179" s="66" t="inlineStr">
        <is>
          <t>(56) 2 2670 3400</t>
        </is>
      </c>
      <c r="J179" s="66" t="n"/>
      <c r="K179" s="66" t="inlineStr">
        <is>
          <t>99.517.650-5</t>
        </is>
      </c>
      <c r="L179" s="66" t="inlineStr">
        <is>
          <t>Ventas: GRANDE 4 (Mas de 1.000.000 UF) | Empleados: 35</t>
        </is>
      </c>
      <c r="M179" s="66" t="inlineStr">
        <is>
          <t>Tier 1 - VIP (Alta Venta + DM)</t>
        </is>
      </c>
      <c r="N179" s="61" t="n"/>
      <c r="O179" s="61" t="n"/>
      <c r="P179" s="61" t="n"/>
      <c r="Q179" s="61" t="n"/>
      <c r="R179" s="61" t="n"/>
      <c r="S179" s="62" t="n"/>
      <c r="T179" s="61" t="n"/>
    </row>
    <row r="180" ht="15.75" customHeight="1" s="38">
      <c r="A180" s="59" t="inlineStr">
        <is>
          <t>Johnson Controls Chile S.A.</t>
        </is>
      </c>
      <c r="B180" s="59" t="inlineStr">
        <is>
          <t>Clima y Refrigeración, Sistemas para Detección de Incendios</t>
        </is>
      </c>
      <c r="C180" s="59" t="inlineStr">
        <is>
          <t>Santiago</t>
        </is>
      </c>
      <c r="D180" s="59" t="inlineStr">
        <is>
          <t>Investigación en Proceso</t>
        </is>
      </c>
      <c r="E180" s="59" t="n"/>
      <c r="F180" s="59" t="n"/>
      <c r="G180" s="59" t="inlineStr">
        <is>
          <t>Mauricio Morales (Jefe de Sistemas Chile)</t>
        </is>
      </c>
      <c r="H180" s="59" t="inlineStr">
        <is>
          <t>mauricio.morales@jci.com</t>
        </is>
      </c>
      <c r="I180" s="59" t="inlineStr">
        <is>
          <t>(56) 2 2834 7300</t>
        </is>
      </c>
      <c r="J180" s="59" t="n"/>
      <c r="K180" s="59" t="inlineStr">
        <is>
          <t>96.624.630-8</t>
        </is>
      </c>
      <c r="L180" s="59" t="inlineStr">
        <is>
          <t>Ventas: GRANDE 3 (600.000 - 1.000.000 UF) | Empleados: 103</t>
        </is>
      </c>
      <c r="M180" s="59" t="inlineStr">
        <is>
          <t>Tier 1 - OPORTUNIDAD ACTIVA (VIP)</t>
        </is>
      </c>
      <c r="N180" s="61" t="n"/>
      <c r="O180" s="61" t="n"/>
      <c r="P180" s="61" t="n"/>
      <c r="Q180" s="61" t="n"/>
      <c r="R180" s="61" t="n"/>
      <c r="S180" s="62" t="n"/>
      <c r="T180" s="61" t="n"/>
    </row>
    <row r="181" ht="15.75" customHeight="1" s="38">
      <c r="A181" s="66" t="inlineStr">
        <is>
          <t>Jomar Ltda.</t>
        </is>
      </c>
      <c r="B181" s="66" t="inlineStr">
        <is>
          <t>Empaquetaduras, Plásticos de Ingeniería, Revestimientos Antiadherentes, Sellado de Fluidos, Sellos, Servicios de Montaje e Instalación de Juntas de Expansión y Revestimiento, Tuberías y Accesorios Revestidos de Teflón</t>
        </is>
      </c>
      <c r="C181" s="66" t="inlineStr">
        <is>
          <t>Santiago</t>
        </is>
      </c>
      <c r="D181" s="66" t="n"/>
      <c r="E181" s="66" t="n"/>
      <c r="F181" s="66" t="n"/>
      <c r="G181" s="66" t="inlineStr">
        <is>
          <t>Gerente de TI / CIO (Director de Tecnología)</t>
        </is>
      </c>
      <c r="H181" s="66" t="n"/>
      <c r="I181" s="66" t="inlineStr">
        <is>
          <t>(56) 2 2733 5004</t>
        </is>
      </c>
      <c r="J181" s="66" t="inlineStr">
        <is>
          <t>http://www.jomar.cl</t>
        </is>
      </c>
      <c r="K181" s="66" t="inlineStr">
        <is>
          <t>78.546.270-K</t>
        </is>
      </c>
      <c r="L181" s="66" t="inlineStr">
        <is>
          <t>Ventas: GRANDE 3 (600.000 - 1.000.000 UF) | Empleados: 161</t>
        </is>
      </c>
      <c r="M181" s="66" t="inlineStr">
        <is>
          <t>Tier 1 - VIP (Alta Venta + DM)</t>
        </is>
      </c>
      <c r="N181" s="61" t="n"/>
      <c r="O181" s="61" t="n"/>
      <c r="P181" s="61" t="n"/>
      <c r="Q181" s="61" t="n"/>
      <c r="R181" s="61" t="n"/>
      <c r="S181" s="62" t="n"/>
      <c r="T181" s="61" t="n"/>
    </row>
    <row r="182" ht="15.75" customHeight="1" s="38">
      <c r="A182" s="59" t="inlineStr">
        <is>
          <t>Jomial Ltda.</t>
        </is>
      </c>
      <c r="B182" s="59" t="inlineStr">
        <is>
          <t>Correas para Transmisión de Potencia</t>
        </is>
      </c>
      <c r="C182" s="59" t="inlineStr">
        <is>
          <t>Santiago</t>
        </is>
      </c>
      <c r="D182" s="59" t="inlineStr">
        <is>
          <t>Digitalización Equipos Servicio Minería</t>
        </is>
      </c>
      <c r="E182" s="59" t="n"/>
      <c r="F182" s="59" t="inlineStr">
        <is>
          <t>https://www.scribd.com/document/427587010/BBDD-Comercial-Daniel-Aravena</t>
        </is>
      </c>
      <c r="G182" s="59" t="inlineStr">
        <is>
          <t>José Marilaf (Director Soluciones)</t>
        </is>
      </c>
      <c r="H182" s="59" t="n"/>
      <c r="I182" s="59" t="inlineStr">
        <is>
          <t>(56) 2 3273 1901</t>
        </is>
      </c>
      <c r="J182" s="59" t="n"/>
      <c r="K182" s="59" t="inlineStr">
        <is>
          <t>76.451.155-7</t>
        </is>
      </c>
      <c r="L182" s="59" t="inlineStr">
        <is>
          <t>Ventas: GRANDE 2 (200.000 - 600.000 UF) | Empleados: 67</t>
        </is>
      </c>
      <c r="M182" s="59" t="inlineStr">
        <is>
          <t>Tier 1 - OPORTUNIDAD ACTIVA (VIP)</t>
        </is>
      </c>
      <c r="N182" s="61" t="n"/>
      <c r="O182" s="61" t="n"/>
      <c r="P182" s="61" t="n"/>
      <c r="Q182" s="61" t="n"/>
      <c r="R182" s="61" t="n"/>
      <c r="S182" s="62" t="n"/>
      <c r="T182" s="61" t="n"/>
    </row>
    <row r="183" ht="15.75" customHeight="1" s="38">
      <c r="A183" s="59" t="inlineStr">
        <is>
          <t>Jorpa Ingeniería S.A.</t>
        </is>
      </c>
      <c r="B183" s="59" t="inlineStr">
        <is>
          <t>Transformadores de Poder, Transformadores para Rectificadores</t>
        </is>
      </c>
      <c r="C183" s="59" t="inlineStr">
        <is>
          <t>Santiago</t>
        </is>
      </c>
      <c r="D183" s="59" t="inlineStr">
        <is>
          <t>Mantenimiento Digital Activos Eléctricos</t>
        </is>
      </c>
      <c r="E183" s="59" t="n"/>
      <c r="F183" s="59" t="inlineStr">
        <is>
          <t>https://cl.linkedin.com/in/jos%C3%A9-montes-riquelme-95a853a3</t>
        </is>
      </c>
      <c r="G183" s="59" t="inlineStr">
        <is>
          <t>José Montes Riquelme (Gerente Operaciones)</t>
        </is>
      </c>
      <c r="H183" s="59" t="n"/>
      <c r="I183" s="59" t="inlineStr">
        <is>
          <t>(56) 2 2959 8900</t>
        </is>
      </c>
      <c r="J183" s="59" t="n"/>
      <c r="K183" s="59" t="inlineStr">
        <is>
          <t>96.866.400-K</t>
        </is>
      </c>
      <c r="L183" s="59" t="inlineStr">
        <is>
          <t>Ventas: GRANDE 2 (200.000 - 600.000 UF) | Empleados: 87</t>
        </is>
      </c>
      <c r="M183" s="59" t="inlineStr">
        <is>
          <t>Tier 1 - OPORTUNIDAD ACTIVA (VIP)</t>
        </is>
      </c>
      <c r="N183" s="61" t="n"/>
      <c r="O183" s="61" t="n"/>
      <c r="P183" s="61" t="n"/>
      <c r="Q183" s="61" t="n"/>
      <c r="R183" s="61" t="n"/>
      <c r="S183" s="62" t="n"/>
      <c r="T183" s="61" t="n"/>
    </row>
    <row r="184" ht="15.75" customHeight="1" s="38">
      <c r="A184" s="66" t="inlineStr">
        <is>
          <t>KDM Industrial</t>
        </is>
      </c>
      <c r="B184" s="66" t="inlineStr">
        <is>
          <t>Reciclaje de Residuos, Tratamiento de Aguas Servidas</t>
        </is>
      </c>
      <c r="C184" s="66" t="inlineStr">
        <is>
          <t>Santiago</t>
        </is>
      </c>
      <c r="D184" s="66" t="n"/>
      <c r="E184" s="66" t="n"/>
      <c r="F184" s="66" t="n"/>
      <c r="G184" s="66" t="inlineStr">
        <is>
          <t>Gerente de TI / CIO (Director de Tecnología)</t>
        </is>
      </c>
      <c r="H184" s="66" t="n"/>
      <c r="I184" s="66" t="inlineStr">
        <is>
          <t>(56) 2 2389 3350</t>
        </is>
      </c>
      <c r="J184" s="66" t="n"/>
      <c r="K184" s="66" t="inlineStr">
        <is>
          <t>76.117.512-2</t>
        </is>
      </c>
      <c r="L184" s="66" t="inlineStr">
        <is>
          <t>Ventas: GRANDE 4 (Mas de 1.000.000 UF) | Empleados: 1396</t>
        </is>
      </c>
      <c r="M184" s="66" t="inlineStr">
        <is>
          <t>Tier 1 - VIP (Alta Venta + DM)</t>
        </is>
      </c>
      <c r="N184" s="61" t="n"/>
      <c r="O184" s="61" t="n"/>
      <c r="P184" s="61" t="n"/>
      <c r="Q184" s="61" t="n"/>
      <c r="R184" s="61" t="n"/>
      <c r="S184" s="62" t="n"/>
      <c r="T184" s="61" t="n"/>
    </row>
    <row r="185" ht="15.75" customHeight="1" s="38">
      <c r="A185" s="66" t="inlineStr">
        <is>
          <t>Kaeser Compresores de Chile SpA</t>
        </is>
      </c>
      <c r="B185" s="66" t="inlineStr">
        <is>
          <t>Compresores, Secadores para Aire</t>
        </is>
      </c>
      <c r="C185" s="66" t="inlineStr">
        <is>
          <t>Santiago</t>
        </is>
      </c>
      <c r="D185" s="66" t="n"/>
      <c r="E185" s="66" t="n"/>
      <c r="F185" s="66" t="n"/>
      <c r="G185" s="66" t="inlineStr">
        <is>
          <t>Gerente de TI / CIO (Director de Tecnología)</t>
        </is>
      </c>
      <c r="H185" s="66" t="n"/>
      <c r="I185" s="66" t="inlineStr">
        <is>
          <t>(56) 2 2599 9200</t>
        </is>
      </c>
      <c r="J185" s="66" t="n"/>
      <c r="K185" s="66" t="inlineStr">
        <is>
          <t>77.152.830-9</t>
        </is>
      </c>
      <c r="L185" s="66" t="inlineStr">
        <is>
          <t>Ventas: GRANDE 4 (Mas de 1.000.000 UF) | Empleados: 185</t>
        </is>
      </c>
      <c r="M185" s="66" t="inlineStr">
        <is>
          <t>Tier 1 - VIP (Alta Venta + DM)</t>
        </is>
      </c>
      <c r="N185" s="61" t="n"/>
      <c r="O185" s="61" t="n"/>
      <c r="P185" s="61" t="n"/>
      <c r="Q185" s="61" t="n"/>
      <c r="R185" s="61" t="n"/>
      <c r="S185" s="62" t="n"/>
      <c r="T185" s="61" t="n"/>
    </row>
    <row r="186" ht="15.75" customHeight="1" s="38">
      <c r="A186" s="66" t="inlineStr">
        <is>
          <t>Karcher</t>
        </is>
      </c>
      <c r="B186" s="66" t="inlineStr">
        <is>
          <t>Aspiradoras Polvo y Agua</t>
        </is>
      </c>
      <c r="C186" s="66" t="inlineStr">
        <is>
          <t>Santiago</t>
        </is>
      </c>
      <c r="D186" s="66" t="n"/>
      <c r="E186" s="66" t="n"/>
      <c r="F186" s="66" t="n"/>
      <c r="G186" s="66" t="inlineStr">
        <is>
          <t>Gerente de TI / CIO (Director de Tecnología)</t>
        </is>
      </c>
      <c r="H186" s="66" t="n"/>
      <c r="I186" s="66" t="inlineStr">
        <is>
          <t>(56) 2 2380 6100</t>
        </is>
      </c>
      <c r="J186" s="66" t="n"/>
      <c r="K186" s="66" t="inlineStr">
        <is>
          <t>76.215.357-2</t>
        </is>
      </c>
      <c r="L186" s="66" t="inlineStr">
        <is>
          <t>Ventas: GRANDE 3 (600.000 - 1.000.000 UF) | Empleados: 60</t>
        </is>
      </c>
      <c r="M186" s="66" t="inlineStr">
        <is>
          <t>Tier 1 - VIP (Alta Venta + DM)</t>
        </is>
      </c>
      <c r="N186" s="61" t="n"/>
      <c r="O186" s="61" t="n"/>
      <c r="P186" s="61" t="n"/>
      <c r="Q186" s="61" t="n"/>
      <c r="R186" s="61" t="n"/>
      <c r="S186" s="62" t="n"/>
      <c r="T186" s="61" t="n"/>
    </row>
    <row r="187" ht="15.75" customHeight="1" s="38">
      <c r="A187" s="59" t="inlineStr">
        <is>
          <t>Keepex</t>
        </is>
      </c>
      <c r="B187" s="59" t="inlineStr">
        <is>
          <t>Plantas Industriales, Tratamiento de Aguas Residuales</t>
        </is>
      </c>
      <c r="C187" s="59" t="inlineStr">
        <is>
          <t>Puerto Varas</t>
        </is>
      </c>
      <c r="D187" s="59" t="inlineStr">
        <is>
          <t>Investigación en Proceso</t>
        </is>
      </c>
      <c r="E187" s="59" t="n"/>
      <c r="F187" s="59" t="n"/>
      <c r="G187" s="59" t="inlineStr">
        <is>
          <t>Camilo Andrés Concha Sermini (Innovation &amp; Development Manager)</t>
        </is>
      </c>
      <c r="H187" s="59" t="inlineStr">
        <is>
          <t>camilo.concha@keepex.cl</t>
        </is>
      </c>
      <c r="I187" s="59" t="inlineStr">
        <is>
          <t>(56) 9 8233 9172</t>
        </is>
      </c>
      <c r="J187" s="59" t="n"/>
      <c r="K187" s="59" t="inlineStr">
        <is>
          <t>76035937-8</t>
        </is>
      </c>
      <c r="L187" s="59" t="inlineStr">
        <is>
          <t>Ventas: GRANDE 3 (600.000 - 1.000.000 UF) | Empleados: 105</t>
        </is>
      </c>
      <c r="M187" s="59" t="inlineStr">
        <is>
          <t>Tier 1 - OPORTUNIDAD ACTIVA (VIP)</t>
        </is>
      </c>
      <c r="N187" s="61" t="n"/>
      <c r="O187" s="61" t="n"/>
      <c r="P187" s="61" t="n"/>
      <c r="Q187" s="61" t="n"/>
      <c r="R187" s="61" t="n"/>
      <c r="S187" s="62" t="n"/>
      <c r="T187" s="61" t="n"/>
    </row>
    <row r="188" ht="15.75" customHeight="1" s="38">
      <c r="A188" s="66" t="inlineStr">
        <is>
          <t>Keypro Ingeniería</t>
        </is>
      </c>
      <c r="B188" s="66" t="inlineStr">
        <is>
          <t>Asesorías en Ingeniería, Asesorías en Minería</t>
        </is>
      </c>
      <c r="C188" s="66" t="inlineStr">
        <is>
          <t>Santiago</t>
        </is>
      </c>
      <c r="D188" s="66" t="n"/>
      <c r="E188" s="66" t="n"/>
      <c r="F188" s="66" t="n"/>
      <c r="G188" s="66" t="inlineStr">
        <is>
          <t>Gerente de TI / CIO (Director de Tecnología)</t>
        </is>
      </c>
      <c r="H188" s="66" t="n"/>
      <c r="I188" s="66" t="inlineStr">
        <is>
          <t>(56) 2 2663 4500</t>
        </is>
      </c>
      <c r="J188" s="66" t="n"/>
      <c r="K188" s="66" t="inlineStr">
        <is>
          <t>76.050.082-8</t>
        </is>
      </c>
      <c r="L188" s="66" t="inlineStr">
        <is>
          <t>Ventas: GRANDE 3 (600.000 - 1.000.000 UF) | Empleados: 161</t>
        </is>
      </c>
      <c r="M188" s="66" t="inlineStr">
        <is>
          <t>Tier 1 - VIP (Alta Venta + DM)</t>
        </is>
      </c>
      <c r="N188" s="61" t="n"/>
      <c r="O188" s="61" t="n"/>
      <c r="P188" s="61" t="n"/>
      <c r="Q188" s="61" t="n"/>
      <c r="R188" s="61" t="n"/>
      <c r="S188" s="62" t="n"/>
      <c r="T188" s="61" t="n"/>
    </row>
    <row r="189" ht="15.75" customHeight="1" s="38">
      <c r="A189" s="59" t="inlineStr">
        <is>
          <t>Kibernum S.A.</t>
        </is>
      </c>
      <c r="B189" s="59" t="inlineStr">
        <is>
          <t>Servicios Informáticos</t>
        </is>
      </c>
      <c r="C189" s="59" t="inlineStr">
        <is>
          <t>Santiago</t>
        </is>
      </c>
      <c r="D189" s="59" t="inlineStr">
        <is>
          <t>Ampliación IT Academy &amp; Reskilling IA 2025</t>
        </is>
      </c>
      <c r="E189" s="59" t="inlineStr">
        <is>
          <t>TrendTIC / Kibernum.com</t>
        </is>
      </c>
      <c r="F189" s="59" t="inlineStr">
        <is>
          <t>https://kibernumitacademy.com/</t>
        </is>
      </c>
      <c r="G189" s="59" t="inlineStr">
        <is>
          <t>Christian Cancino (CTO)</t>
        </is>
      </c>
      <c r="H189" s="59" t="inlineStr">
        <is>
          <t>ccancino@kibernum.com</t>
        </is>
      </c>
      <c r="I189" s="59" t="inlineStr">
        <is>
          <t>(56) 2 2816 3600</t>
        </is>
      </c>
      <c r="J189" s="59" t="n"/>
      <c r="K189" s="59" t="inlineStr">
        <is>
          <t>96.616.770-K</t>
        </is>
      </c>
      <c r="L189" s="59" t="inlineStr">
        <is>
          <t>Ventas: GRANDE 4 (Mas de 1.000.000 UF) | Empleados: 1434</t>
        </is>
      </c>
      <c r="M189" s="59" t="inlineStr">
        <is>
          <t>Tier 1 - OPORTUNIDAD ACTIVA (VIP)</t>
        </is>
      </c>
      <c r="N189" s="61" t="n"/>
      <c r="O189" s="61" t="n"/>
      <c r="P189" s="61" t="n"/>
      <c r="Q189" s="61" t="n"/>
      <c r="R189" s="61" t="n"/>
      <c r="S189" s="62" t="n"/>
      <c r="T189" s="61" t="n"/>
    </row>
    <row r="190" ht="15.75" customHeight="1" s="38">
      <c r="A190" s="59" t="inlineStr">
        <is>
          <t>Kinross Minera de Chile</t>
        </is>
      </c>
      <c r="B190" s="59" t="inlineStr">
        <is>
          <t>Cobre</t>
        </is>
      </c>
      <c r="C190" s="59" t="inlineStr">
        <is>
          <t>Copiapó</t>
        </is>
      </c>
      <c r="D190" s="59" t="inlineStr">
        <is>
          <t>Investigación en Proceso</t>
        </is>
      </c>
      <c r="E190" s="59" t="n"/>
      <c r="F190" s="59" t="n"/>
      <c r="G190" s="59" t="inlineStr">
        <is>
          <t>Felipe Gonzalo Barraza Abalos (Supervisor Soporte IT)</t>
        </is>
      </c>
      <c r="H190" s="59" t="inlineStr">
        <is>
          <t>felipe.barraza@kinross.com</t>
        </is>
      </c>
      <c r="I190" s="59" t="inlineStr">
        <is>
          <t>(56) 52 252 3402</t>
        </is>
      </c>
      <c r="J190" s="59" t="n"/>
      <c r="K190" s="59" t="inlineStr">
        <is>
          <t>76.028.345-2</t>
        </is>
      </c>
      <c r="L190" s="59" t="inlineStr">
        <is>
          <t>Ventas: GRANDE 3 (600.000 - 1.000.000 UF) | Empleados: 43</t>
        </is>
      </c>
      <c r="M190" s="59" t="inlineStr">
        <is>
          <t>Tier 1 - OPORTUNIDAD ACTIVA (VIP)</t>
        </is>
      </c>
      <c r="N190" s="61" t="n"/>
      <c r="O190" s="61" t="n"/>
      <c r="P190" s="61" t="n"/>
      <c r="Q190" s="61" t="n"/>
      <c r="R190" s="61" t="n"/>
      <c r="S190" s="62" t="n"/>
      <c r="T190" s="61" t="n"/>
    </row>
    <row r="191" ht="15.75" customHeight="1" s="38">
      <c r="A191" s="66" t="inlineStr">
        <is>
          <t>Klingspor</t>
        </is>
      </c>
      <c r="B191" s="66" t="inlineStr">
        <is>
          <t>Abrasivos, Discos para Corte y Desbaste</t>
        </is>
      </c>
      <c r="C191" s="66" t="inlineStr">
        <is>
          <t>Santiago</t>
        </is>
      </c>
      <c r="D191" s="66" t="n"/>
      <c r="E191" s="66" t="n"/>
      <c r="F191" s="66" t="n"/>
      <c r="G191" s="66" t="inlineStr">
        <is>
          <t>Gerente de TI / CIO (Director de Tecnología)</t>
        </is>
      </c>
      <c r="H191" s="66" t="n"/>
      <c r="I191" s="66" t="inlineStr">
        <is>
          <t>(56) 2 2411 3700</t>
        </is>
      </c>
      <c r="J191" s="66" t="n"/>
      <c r="K191" s="66" t="inlineStr">
        <is>
          <t>77.892.600-8</t>
        </is>
      </c>
      <c r="L191" s="66" t="inlineStr">
        <is>
          <t>Ventas: GRANDE 3 (600.000 - 1.000.000 UF) | Empleados: 38</t>
        </is>
      </c>
      <c r="M191" s="66" t="inlineStr">
        <is>
          <t>Tier 1 - VIP (Alta Venta + DM)</t>
        </is>
      </c>
      <c r="N191" s="61" t="n"/>
      <c r="O191" s="61" t="n"/>
      <c r="P191" s="61" t="n"/>
      <c r="Q191" s="61" t="n"/>
      <c r="R191" s="61" t="n"/>
      <c r="S191" s="62" t="n"/>
      <c r="T191" s="61" t="n"/>
    </row>
    <row r="192" ht="15.75" customHeight="1" s="38">
      <c r="A192" s="59" t="inlineStr">
        <is>
          <t>Knight Piésold Consulting</t>
        </is>
      </c>
      <c r="B192" s="59" t="inlineStr">
        <is>
          <t>Auditoría Medioambiental, Diseño de Pilas de Lixiviación</t>
        </is>
      </c>
      <c r="C192" s="59" t="inlineStr">
        <is>
          <t>Santiago</t>
        </is>
      </c>
      <c r="D192" s="59" t="inlineStr">
        <is>
          <t>Investigación en Proceso</t>
        </is>
      </c>
      <c r="E192" s="59" t="n"/>
      <c r="F192" s="59" t="n"/>
      <c r="G192" s="59" t="inlineStr">
        <is>
          <t>Andoni Sagardia Hidalgo (Encargado de TI)</t>
        </is>
      </c>
      <c r="H192" s="59" t="inlineStr">
        <is>
          <t>andoni.sagardia@knightpiesold.com</t>
        </is>
      </c>
      <c r="I192" s="59" t="inlineStr">
        <is>
          <t>(56) 2 2594 6400</t>
        </is>
      </c>
      <c r="J192" s="59" t="n"/>
      <c r="K192" s="59" t="inlineStr">
        <is>
          <t>96.680.350-9</t>
        </is>
      </c>
      <c r="L192" s="59" t="inlineStr">
        <is>
          <t>Ventas: GRANDE 3 (600.000 - 1.000.000 UF) | Empleados: 107</t>
        </is>
      </c>
      <c r="M192" s="59" t="inlineStr">
        <is>
          <t>Tier 1 - OPORTUNIDAD ACTIVA (VIP)</t>
        </is>
      </c>
      <c r="N192" s="61" t="n"/>
      <c r="O192" s="61" t="n"/>
      <c r="P192" s="61" t="n"/>
      <c r="Q192" s="61" t="n"/>
      <c r="R192" s="61" t="n"/>
      <c r="S192" s="62" t="n"/>
      <c r="T192" s="61" t="n"/>
    </row>
    <row r="193" ht="15.75" customHeight="1" s="38">
      <c r="A193" s="66" t="inlineStr">
        <is>
          <t>Konecranes</t>
        </is>
      </c>
      <c r="B193" s="66" t="inlineStr">
        <is>
          <t>Polipastos</t>
        </is>
      </c>
      <c r="C193" s="66" t="inlineStr">
        <is>
          <t>Santiago</t>
        </is>
      </c>
      <c r="D193" s="66" t="n"/>
      <c r="E193" s="66" t="n"/>
      <c r="F193" s="66" t="n"/>
      <c r="G193" s="66" t="inlineStr">
        <is>
          <t>Gerente de TI / CIO (Director de Tecnología)</t>
        </is>
      </c>
      <c r="H193" s="66" t="n"/>
      <c r="I193" s="66" t="inlineStr">
        <is>
          <t>(56) 2 2952 8900</t>
        </is>
      </c>
      <c r="J193" s="66" t="n"/>
      <c r="K193" s="66" t="inlineStr">
        <is>
          <t>76.126.252-1</t>
        </is>
      </c>
      <c r="L193" s="66" t="inlineStr">
        <is>
          <t>Ventas: GRANDE 4 (Mas de 1.000.000 UF) | Empleados: 313</t>
        </is>
      </c>
      <c r="M193" s="66" t="inlineStr">
        <is>
          <t>Tier 1 - VIP (Alta Venta + DM)</t>
        </is>
      </c>
      <c r="N193" s="61" t="n"/>
      <c r="O193" s="61" t="n"/>
      <c r="P193" s="61" t="n"/>
      <c r="Q193" s="61" t="n"/>
      <c r="R193" s="61" t="n"/>
      <c r="S193" s="62" t="n"/>
      <c r="T193" s="61" t="n"/>
    </row>
    <row r="194" ht="15.75" customHeight="1" s="38">
      <c r="A194" s="66" t="inlineStr">
        <is>
          <t>Krah América Latina S.A.</t>
        </is>
      </c>
      <c r="B194" s="66" t="inlineStr">
        <is>
          <t>Tubos de Polietileno de Alta Densidad (HDPE)</t>
        </is>
      </c>
      <c r="C194" s="66" t="inlineStr">
        <is>
          <t>Santiago</t>
        </is>
      </c>
      <c r="D194" s="66" t="n"/>
      <c r="E194" s="66" t="n"/>
      <c r="F194" s="66" t="n"/>
      <c r="G194" s="66" t="inlineStr">
        <is>
          <t>Gerente de TI / CIO (Director de Tecnología)</t>
        </is>
      </c>
      <c r="H194" s="66" t="n"/>
      <c r="I194" s="66" t="inlineStr">
        <is>
          <t>(56) 2 2713 0400</t>
        </is>
      </c>
      <c r="J194" s="66" t="n"/>
      <c r="K194" s="66" t="inlineStr">
        <is>
          <t>76.014.035-K</t>
        </is>
      </c>
      <c r="L194" s="66" t="inlineStr">
        <is>
          <t>Ventas: GRANDE 4 (Mas de 1.000.000 UF) | Empleados: 183</t>
        </is>
      </c>
      <c r="M194" s="66" t="inlineStr">
        <is>
          <t>Tier 1 - VIP (Alta Venta + DM)</t>
        </is>
      </c>
      <c r="N194" s="61" t="n"/>
      <c r="O194" s="61" t="n"/>
      <c r="P194" s="61" t="n"/>
      <c r="Q194" s="61" t="n"/>
      <c r="R194" s="61" t="n"/>
      <c r="S194" s="62" t="n"/>
      <c r="T194" s="61" t="n"/>
    </row>
    <row r="195" ht="15.75" customHeight="1" s="38">
      <c r="A195" s="59" t="inlineStr">
        <is>
          <t>Krontec SpA</t>
        </is>
      </c>
      <c r="B195" s="59" t="inlineStr">
        <is>
          <t>Automatización, Sistemas para Control</t>
        </is>
      </c>
      <c r="C195" s="59" t="inlineStr">
        <is>
          <t>Santiago</t>
        </is>
      </c>
      <c r="D195" s="59" t="inlineStr">
        <is>
          <t>Investigación en Proceso</t>
        </is>
      </c>
      <c r="E195" s="59" t="n"/>
      <c r="F195" s="59" t="n"/>
      <c r="G195" s="59" t="inlineStr">
        <is>
          <t>Guido Donoso (General Manager)</t>
        </is>
      </c>
      <c r="H195" s="59" t="inlineStr">
        <is>
          <t>gdonoso@krontec.cl</t>
        </is>
      </c>
      <c r="I195" s="59" t="inlineStr">
        <is>
          <t>(56) 2 2234 1509</t>
        </is>
      </c>
      <c r="J195" s="59" t="n"/>
      <c r="K195" s="59" t="inlineStr">
        <is>
          <t>76.019.921-4</t>
        </is>
      </c>
      <c r="L195" s="59" t="inlineStr">
        <is>
          <t>Ventas: GRANDE 3 (600.000 - 1.000.000 UF) | Empleados: 89</t>
        </is>
      </c>
      <c r="M195" s="59" t="inlineStr">
        <is>
          <t>Tier 1 - OPORTUNIDAD ACTIVA (VIP)</t>
        </is>
      </c>
      <c r="N195" s="61" t="n"/>
      <c r="O195" s="61" t="n"/>
      <c r="P195" s="61" t="n"/>
      <c r="Q195" s="61" t="n"/>
      <c r="R195" s="61" t="n"/>
      <c r="S195" s="62" t="n"/>
      <c r="T195" s="61" t="n"/>
    </row>
    <row r="196" ht="15.75" customHeight="1" s="38">
      <c r="A196" s="66" t="inlineStr">
        <is>
          <t>L &amp; H Servicios Industriales Chile Ltda.</t>
        </is>
      </c>
      <c r="B196" s="66" t="inlineStr">
        <is>
          <t>Reparación de Equipos, Repuestos para Maquinaria Minera</t>
        </is>
      </c>
      <c r="C196" s="66" t="inlineStr">
        <is>
          <t>Antofagasta</t>
        </is>
      </c>
      <c r="D196" s="66" t="n"/>
      <c r="E196" s="66" t="n"/>
      <c r="F196" s="66" t="n"/>
      <c r="G196" s="66" t="inlineStr">
        <is>
          <t>Gerente de TI / CIO (Director de Tecnología)</t>
        </is>
      </c>
      <c r="H196" s="66" t="n"/>
      <c r="I196" s="66" t="inlineStr">
        <is>
          <t>(56) 55 256 0156</t>
        </is>
      </c>
      <c r="J196" s="66" t="n"/>
      <c r="K196" s="66" t="inlineStr">
        <is>
          <t>76.009.937-6</t>
        </is>
      </c>
      <c r="L196" s="66" t="inlineStr">
        <is>
          <t>Ventas: GRANDE 3 (600.000 - 1.000.000 UF) | Empleados: 124</t>
        </is>
      </c>
      <c r="M196" s="66" t="inlineStr">
        <is>
          <t>Tier 1 - VIP (Alta Venta + DM)</t>
        </is>
      </c>
      <c r="N196" s="61" t="n"/>
      <c r="O196" s="61" t="n"/>
      <c r="P196" s="61" t="n"/>
      <c r="Q196" s="61" t="n"/>
      <c r="R196" s="61" t="n"/>
      <c r="S196" s="62" t="n"/>
      <c r="T196" s="61" t="n"/>
    </row>
    <row r="197" ht="15.75" customHeight="1" s="38">
      <c r="A197" s="59" t="inlineStr">
        <is>
          <t>Lamaignere Chile S.A.</t>
        </is>
      </c>
      <c r="B197" s="59" t="inlineStr">
        <is>
          <t>Servicios Logísticos</t>
        </is>
      </c>
      <c r="C197" s="59" t="inlineStr">
        <is>
          <t>Santiago</t>
        </is>
      </c>
      <c r="D197" s="59" t="inlineStr">
        <is>
          <t>Logística Innovadora &amp; Centros Almacenamiento</t>
        </is>
      </c>
      <c r="E197" s="59" t="n"/>
      <c r="F197" s="59" t="inlineStr">
        <is>
          <t>https://www.google.com/search?q=Lamaignere+Chile+LinkedIn</t>
        </is>
      </c>
      <c r="G197" s="59" t="inlineStr">
        <is>
          <t>Alejandra Ayala (Country Manager)</t>
        </is>
      </c>
      <c r="H197" s="59" t="n"/>
      <c r="I197" s="59" t="inlineStr">
        <is>
          <t>(56) 9 9299 6206</t>
        </is>
      </c>
      <c r="J197" s="59" t="n"/>
      <c r="K197" s="59" t="inlineStr">
        <is>
          <t>76.679.760-1</t>
        </is>
      </c>
      <c r="L197" s="59" t="inlineStr">
        <is>
          <t>Ventas: GRANDE 2 (200.000 - 600.000 UF) | Empleados: 15</t>
        </is>
      </c>
      <c r="M197" s="59" t="inlineStr">
        <is>
          <t>Tier 1 - OPORTUNIDAD ACTIVA (VIP)</t>
        </is>
      </c>
      <c r="N197" s="61" t="n"/>
      <c r="O197" s="61" t="n"/>
      <c r="P197" s="61" t="n"/>
      <c r="Q197" s="61" t="n"/>
      <c r="R197" s="61" t="n"/>
      <c r="S197" s="62" t="n"/>
      <c r="T197" s="61" t="n"/>
    </row>
    <row r="198" ht="15.75" customHeight="1" s="38">
      <c r="A198" s="59" t="inlineStr">
        <is>
          <t>Latam Airlines</t>
        </is>
      </c>
      <c r="B198" s="59" t="inlineStr">
        <is>
          <t>Transporte Aéreo</t>
        </is>
      </c>
      <c r="C198" s="59" t="inlineStr">
        <is>
          <t>Santiago</t>
        </is>
      </c>
      <c r="D198" s="59" t="inlineStr">
        <is>
          <t>Estrategia Global Cloud &amp; Digital</t>
        </is>
      </c>
      <c r="E198" s="59" t="inlineStr">
        <is>
          <t>LinkedIn</t>
        </is>
      </c>
      <c r="F198" s="59" t="inlineStr">
        <is>
          <t>https://cl.linkedin.com/in/julianarios</t>
        </is>
      </c>
      <c r="G198" s="59" t="inlineStr">
        <is>
          <t>Juliana Rios (VP IT &amp; Digital)</t>
        </is>
      </c>
      <c r="H198" s="59" t="n"/>
      <c r="I198" s="59" t="inlineStr">
        <is>
          <t>600 526 2000</t>
        </is>
      </c>
      <c r="J198" s="59" t="n"/>
      <c r="K198" s="59" t="inlineStr">
        <is>
          <t>89.862.200-2</t>
        </is>
      </c>
      <c r="L198" s="59" t="inlineStr">
        <is>
          <t>Ventas: GRANDE (Estimado por Empleados) | Empleados: 7006</t>
        </is>
      </c>
      <c r="M198" s="59" t="inlineStr">
        <is>
          <t>Tier 1 - OPORTUNIDAD ACTIVA (VIP)</t>
        </is>
      </c>
      <c r="N198" s="61" t="n"/>
      <c r="O198" s="61" t="n"/>
      <c r="P198" s="61" t="n"/>
      <c r="Q198" s="61" t="n"/>
      <c r="R198" s="61" t="n"/>
      <c r="S198" s="62" t="n"/>
      <c r="T198" s="61" t="n"/>
    </row>
    <row r="199" ht="15.75" customHeight="1" s="38">
      <c r="A199" s="59" t="inlineStr">
        <is>
          <t>Latam Trade Capital</t>
        </is>
      </c>
      <c r="B199" s="59" t="inlineStr">
        <is>
          <t>Servicios Financieros</t>
        </is>
      </c>
      <c r="C199" s="59" t="inlineStr">
        <is>
          <t>Santiago</t>
        </is>
      </c>
      <c r="D199" s="59" t="inlineStr">
        <is>
          <t>Investigación en Proceso</t>
        </is>
      </c>
      <c r="E199" s="59" t="n"/>
      <c r="F199" s="59" t="n"/>
      <c r="G199" s="59" t="inlineStr">
        <is>
          <t>Francisco Hormazabal (Gerente Ops &amp; Tecnología)</t>
        </is>
      </c>
      <c r="H199" s="59" t="inlineStr">
        <is>
          <t>francisco.hormazabal@latamtradecapital.com</t>
        </is>
      </c>
      <c r="I199" s="59" t="inlineStr">
        <is>
          <t>(56) 2 2956 6000</t>
        </is>
      </c>
      <c r="J199" s="59" t="n"/>
      <c r="K199" s="59" t="inlineStr">
        <is>
          <t>76.261.789-7</t>
        </is>
      </c>
      <c r="L199" s="59" t="inlineStr">
        <is>
          <t>Ventas: GRANDE 3 (600.000 - 1.000.000 UF) | Empleados: 71</t>
        </is>
      </c>
      <c r="M199" s="59" t="inlineStr">
        <is>
          <t>Tier 1 - OPORTUNIDAD ACTIVA (VIP)</t>
        </is>
      </c>
      <c r="N199" s="61" t="n"/>
      <c r="O199" s="61" t="n"/>
      <c r="P199" s="61" t="n"/>
      <c r="Q199" s="61" t="n"/>
      <c r="R199" s="61" t="n"/>
      <c r="S199" s="62" t="n"/>
      <c r="T199" s="61" t="n"/>
    </row>
    <row r="200" ht="15.75" customHeight="1" s="38">
      <c r="A200" s="59" t="inlineStr">
        <is>
          <t>Latin America Power S.A.</t>
        </is>
      </c>
      <c r="B200" s="59" t="inlineStr">
        <is>
          <t>Energías Renovables</t>
        </is>
      </c>
      <c r="C200" s="59" t="inlineStr">
        <is>
          <t>Santiago</t>
        </is>
      </c>
      <c r="D200" s="59" t="inlineStr">
        <is>
          <t>Investigación en Proceso</t>
        </is>
      </c>
      <c r="E200" s="59" t="n"/>
      <c r="F200" s="59" t="n"/>
      <c r="G200" s="59" t="inlineStr">
        <is>
          <t>Sebastian Mariman (Jefe de TI)</t>
        </is>
      </c>
      <c r="H200" s="59" t="inlineStr">
        <is>
          <t>smariman@lapower.com</t>
        </is>
      </c>
      <c r="I200" s="59" t="inlineStr">
        <is>
          <t>(56) 2 2820 3200</t>
        </is>
      </c>
      <c r="J200" s="59" t="n"/>
      <c r="K200" s="59" t="inlineStr">
        <is>
          <t>76.166.157-4</t>
        </is>
      </c>
      <c r="L200" s="59" t="inlineStr">
        <is>
          <t>Ventas: GRANDE 3 (600.000 - 1.000.000 UF) | Empleados: 61</t>
        </is>
      </c>
      <c r="M200" s="59" t="inlineStr">
        <is>
          <t>Tier 1 - OPORTUNIDAD ACTIVA (VIP)</t>
        </is>
      </c>
      <c r="N200" s="61" t="n"/>
      <c r="O200" s="61" t="n"/>
      <c r="P200" s="61" t="n"/>
      <c r="Q200" s="61" t="n"/>
      <c r="R200" s="61" t="n"/>
      <c r="S200" s="62" t="n"/>
      <c r="T200" s="61" t="n"/>
    </row>
    <row r="201" ht="15.75" customHeight="1" s="38">
      <c r="A201" s="66" t="inlineStr">
        <is>
          <t>Layher del Pacífico</t>
        </is>
      </c>
      <c r="B201" s="66" t="inlineStr">
        <is>
          <t>Andamios, Encofrados</t>
        </is>
      </c>
      <c r="C201" s="66" t="inlineStr">
        <is>
          <t>Santiago</t>
        </is>
      </c>
      <c r="D201" s="66" t="n"/>
      <c r="E201" s="66" t="n"/>
      <c r="F201" s="66" t="n"/>
      <c r="G201" s="66" t="inlineStr">
        <is>
          <t>Gerente de TI / CIO (Director de Tecnología)</t>
        </is>
      </c>
      <c r="H201" s="66" t="n"/>
      <c r="I201" s="66" t="inlineStr">
        <is>
          <t>(56) 2 2979 5700</t>
        </is>
      </c>
      <c r="J201" s="66" t="n"/>
      <c r="K201" s="66" t="inlineStr">
        <is>
          <t>99.551.260-2</t>
        </is>
      </c>
      <c r="L201" s="66" t="inlineStr">
        <is>
          <t>Ventas: GRANDE 4 (Mas de 1.000.000 UF) | Empleados: 80</t>
        </is>
      </c>
      <c r="M201" s="66" t="inlineStr">
        <is>
          <t>Tier 1 - VIP (Alta Venta + DM)</t>
        </is>
      </c>
      <c r="N201" s="61" t="n"/>
      <c r="O201" s="61" t="n"/>
      <c r="P201" s="61" t="n"/>
      <c r="Q201" s="61" t="n"/>
      <c r="R201" s="61" t="n"/>
      <c r="S201" s="62" t="n"/>
      <c r="T201" s="61" t="n"/>
    </row>
    <row r="202" ht="15.75" customHeight="1" s="38">
      <c r="A202" s="59" t="inlineStr">
        <is>
          <t>Limfosep S.A.</t>
        </is>
      </c>
      <c r="B202" s="59" t="inlineStr">
        <is>
          <t>Residuos y Soluciones Ambientales, Tratamiento de Aguas Residuales</t>
        </is>
      </c>
      <c r="C202" s="59" t="inlineStr">
        <is>
          <t>Antofagasta</t>
        </is>
      </c>
      <c r="D202" s="59" t="inlineStr">
        <is>
          <t>Investigación en Proceso</t>
        </is>
      </c>
      <c r="E202" s="59" t="n"/>
      <c r="F202" s="59" t="n"/>
      <c r="G202" s="59" t="inlineStr">
        <is>
          <t>Pablo Leiva (Gerente General)</t>
        </is>
      </c>
      <c r="H202" s="59" t="inlineStr">
        <is>
          <t>pleiva@limfosep.cl</t>
        </is>
      </c>
      <c r="I202" s="59" t="inlineStr">
        <is>
          <t>(56) 9 6677 0095</t>
        </is>
      </c>
      <c r="J202" s="59" t="n"/>
      <c r="K202" s="59" t="inlineStr">
        <is>
          <t>76556530-8</t>
        </is>
      </c>
      <c r="L202" s="59" t="inlineStr">
        <is>
          <t>Ventas: GRANDE 3 (600.000 - 1.000.000 UF) | Empleados: 253</t>
        </is>
      </c>
      <c r="M202" s="59" t="inlineStr">
        <is>
          <t>Tier 1 - OPORTUNIDAD ACTIVA (VIP)</t>
        </is>
      </c>
      <c r="N202" s="61" t="n"/>
      <c r="O202" s="61" t="n"/>
      <c r="P202" s="61" t="n"/>
      <c r="Q202" s="61" t="n"/>
      <c r="R202" s="61" t="n"/>
      <c r="S202" s="62" t="n"/>
      <c r="T202" s="61" t="n"/>
    </row>
    <row r="203" ht="15.75" customHeight="1" s="38">
      <c r="A203" s="66" t="inlineStr">
        <is>
          <t>Liqui Moly Chile S.A.</t>
        </is>
      </c>
      <c r="B203" s="66" t="inlineStr">
        <is>
          <t>Productos para la Minería</t>
        </is>
      </c>
      <c r="C203" s="66" t="inlineStr">
        <is>
          <t>Santiago</t>
        </is>
      </c>
      <c r="D203" s="66" t="n"/>
      <c r="E203" s="66" t="n"/>
      <c r="F203" s="66" t="n"/>
      <c r="G203" s="66" t="inlineStr">
        <is>
          <t>Gerente de TI / CIO (Director de Tecnología)</t>
        </is>
      </c>
      <c r="H203" s="66" t="n"/>
      <c r="I203" s="66" t="inlineStr">
        <is>
          <t>(56) 2 2332 2100</t>
        </is>
      </c>
      <c r="J203" s="66" t="n"/>
      <c r="K203" s="66" t="inlineStr">
        <is>
          <t>86.868.900-5</t>
        </is>
      </c>
      <c r="L203" s="66" t="inlineStr">
        <is>
          <t>Ventas: GRANDE 3 (600.000 - 1.000.000 UF) | Empleados: 112</t>
        </is>
      </c>
      <c r="M203" s="66" t="inlineStr">
        <is>
          <t>Tier 1 - VIP (Alta Venta + DM)</t>
        </is>
      </c>
      <c r="N203" s="61" t="n"/>
      <c r="O203" s="61" t="n"/>
      <c r="P203" s="61" t="n"/>
      <c r="Q203" s="61" t="n"/>
      <c r="R203" s="61" t="n"/>
      <c r="S203" s="62" t="n"/>
      <c r="T203" s="61" t="n"/>
    </row>
    <row r="204" ht="15.75" customHeight="1" s="38">
      <c r="A204" s="66" t="inlineStr">
        <is>
          <t>LocalSupply</t>
        </is>
      </c>
      <c r="B204" s="66" t="inlineStr">
        <is>
          <t>Proveedor Destacado, Plataforma de Compras</t>
        </is>
      </c>
      <c r="C204" s="66" t="inlineStr">
        <is>
          <t>Santiago</t>
        </is>
      </c>
      <c r="D204" s="66" t="n"/>
      <c r="E204" s="66" t="n"/>
      <c r="F204" s="66" t="n"/>
      <c r="G204" s="66" t="inlineStr">
        <is>
          <t>Gerente de TI / CIO (Director de Tecnología)</t>
        </is>
      </c>
      <c r="H204" s="66" t="n"/>
      <c r="I204" s="66" t="inlineStr">
        <is>
          <t>(56) 2 2869 3373</t>
        </is>
      </c>
      <c r="J204" s="66" t="n"/>
      <c r="K204" s="66" t="inlineStr">
        <is>
          <t>77.851.489-3</t>
        </is>
      </c>
      <c r="L204" s="66" t="inlineStr">
        <is>
          <t>Ventas: GRANDE 3 (600.000 - 1.000.000 UF) | Empleados: 9</t>
        </is>
      </c>
      <c r="M204" s="66" t="inlineStr">
        <is>
          <t>Tier 1 - VIP (Alta Venta + DM)</t>
        </is>
      </c>
      <c r="N204" s="61" t="n"/>
      <c r="O204" s="61" t="n"/>
      <c r="P204" s="61" t="n"/>
      <c r="Q204" s="61" t="n"/>
      <c r="R204" s="61" t="n"/>
      <c r="S204" s="62" t="n"/>
      <c r="T204" s="61" t="n"/>
    </row>
    <row r="205" ht="15.75" customHeight="1" s="38">
      <c r="A205" s="59" t="inlineStr">
        <is>
          <t>Lorbrand S.A.</t>
        </is>
      </c>
      <c r="B205" s="59" t="inlineStr">
        <is>
          <t>Componentes para Correas Transportadoras, Polines Centradores para Correas Transportadoras</t>
        </is>
      </c>
      <c r="C205" s="59" t="inlineStr">
        <is>
          <t>Antofagasta</t>
        </is>
      </c>
      <c r="D205" s="59" t="inlineStr">
        <is>
          <t>Fabricación Componentes Transportadoras Pesadas</t>
        </is>
      </c>
      <c r="E205" s="59" t="n"/>
      <c r="F205" s="59" t="inlineStr">
        <is>
          <t>https://cl.linkedin.com/in/felipe-alvial-navarrete-a450a239</t>
        </is>
      </c>
      <c r="G205" s="59" t="inlineStr">
        <is>
          <t>Felipe Alvial Navarrete (Gerente General)</t>
        </is>
      </c>
      <c r="H205" s="59" t="n"/>
      <c r="I205" s="59" t="inlineStr">
        <is>
          <t>(56) 55 249 2116</t>
        </is>
      </c>
      <c r="J205" s="59" t="n"/>
      <c r="K205" s="59" t="inlineStr">
        <is>
          <t>76.009.735-7</t>
        </is>
      </c>
      <c r="L205" s="59" t="inlineStr">
        <is>
          <t>Ventas: GRANDE 2 (200.000 - 600.000 UF) | Empleados: 58</t>
        </is>
      </c>
      <c r="M205" s="59" t="inlineStr">
        <is>
          <t>Tier 1 - OPORTUNIDAD ACTIVA (VIP)</t>
        </is>
      </c>
      <c r="N205" s="61" t="n"/>
      <c r="O205" s="61" t="n"/>
      <c r="P205" s="61" t="n"/>
      <c r="Q205" s="61" t="n"/>
      <c r="R205" s="61" t="n"/>
      <c r="S205" s="62" t="n"/>
      <c r="T205" s="61" t="n"/>
    </row>
    <row r="206" ht="15.75" customHeight="1" s="38">
      <c r="A206" s="66" t="inlineStr">
        <is>
          <t>Luagher Ltda.</t>
        </is>
      </c>
      <c r="B206" s="66" t="inlineStr">
        <is>
          <t>Tecles</t>
        </is>
      </c>
      <c r="C206" s="66" t="inlineStr">
        <is>
          <t>Santiago</t>
        </is>
      </c>
      <c r="D206" s="66" t="n"/>
      <c r="E206" s="66" t="n"/>
      <c r="F206" s="66" t="n"/>
      <c r="G206" s="66" t="inlineStr">
        <is>
          <t>Gerente de TI / CIO (Director de Tecnología)</t>
        </is>
      </c>
      <c r="H206" s="66" t="n"/>
      <c r="I206" s="66" t="inlineStr">
        <is>
          <t>(56) 2 2538 4017</t>
        </is>
      </c>
      <c r="J206" s="66" t="n"/>
      <c r="K206" s="66" t="inlineStr">
        <is>
          <t>78.745.040-7</t>
        </is>
      </c>
      <c r="L206" s="66" t="inlineStr">
        <is>
          <t>Ventas: GRANDE 3 (600.000 - 1.000.000 UF) | Empleados: 344</t>
        </is>
      </c>
      <c r="M206" s="66" t="inlineStr">
        <is>
          <t>Tier 1 - VIP (Alta Venta + DM)</t>
        </is>
      </c>
      <c r="N206" s="61" t="n"/>
      <c r="O206" s="61" t="n"/>
      <c r="P206" s="61" t="n"/>
      <c r="Q206" s="61" t="n"/>
      <c r="R206" s="61" t="n"/>
      <c r="S206" s="62" t="n"/>
      <c r="T206" s="61" t="n"/>
    </row>
    <row r="207" ht="15.75" customHeight="1" s="38">
      <c r="A207" s="66" t="inlineStr">
        <is>
          <t>Lubrisider Chile S.A.</t>
        </is>
      </c>
      <c r="B207" s="66" t="inlineStr">
        <is>
          <t>Análisis de Lubricantes, Regeneración de Aceite para Transformadores</t>
        </is>
      </c>
      <c r="C207" s="66" t="inlineStr">
        <is>
          <t>Santiago</t>
        </is>
      </c>
      <c r="D207" s="66" t="n"/>
      <c r="E207" s="66" t="n"/>
      <c r="F207" s="66" t="n"/>
      <c r="G207" s="66" t="inlineStr">
        <is>
          <t>Gerente de TI / CIO (Director de Tecnología)</t>
        </is>
      </c>
      <c r="H207" s="66" t="n"/>
      <c r="I207" s="66" t="inlineStr">
        <is>
          <t>(56) 2 2596 7521</t>
        </is>
      </c>
      <c r="J207" s="66" t="n"/>
      <c r="K207" s="66" t="inlineStr">
        <is>
          <t>96.836.320-4</t>
        </is>
      </c>
      <c r="L207" s="66" t="inlineStr">
        <is>
          <t>Ventas: GRANDE 3 (600.000 - 1.000.000 UF) | Empleados: 174</t>
        </is>
      </c>
      <c r="M207" s="66" t="inlineStr">
        <is>
          <t>Tier 1 - VIP (Alta Venta + DM)</t>
        </is>
      </c>
      <c r="N207" s="61" t="n"/>
      <c r="O207" s="61" t="n"/>
      <c r="P207" s="61" t="n"/>
      <c r="Q207" s="61" t="n"/>
      <c r="R207" s="61" t="n"/>
      <c r="S207" s="62" t="n"/>
      <c r="T207" s="61" t="n"/>
    </row>
    <row r="208" ht="15.75" customHeight="1" s="38">
      <c r="A208" s="59" t="inlineStr">
        <is>
          <t>Luksic Zuanic S.A.</t>
        </is>
      </c>
      <c r="B208" s="59" t="inlineStr">
        <is>
          <t>Transmisión de Potencia</t>
        </is>
      </c>
      <c r="C208" s="59" t="inlineStr">
        <is>
          <t>Santiago</t>
        </is>
      </c>
      <c r="D208" s="59" t="inlineStr">
        <is>
          <t>Investigación en Proceso</t>
        </is>
      </c>
      <c r="E208" s="59" t="n"/>
      <c r="F208" s="59" t="n"/>
      <c r="G208" s="59" t="inlineStr">
        <is>
          <t>Yerko Zuanic (Gerente Comercial (Decision Maker))</t>
        </is>
      </c>
      <c r="H208" s="59" t="inlineStr">
        <is>
          <t>yzuanic@luksiczuanic.cl</t>
        </is>
      </c>
      <c r="I208" s="59" t="inlineStr">
        <is>
          <t>(56) 2 2347 6600</t>
        </is>
      </c>
      <c r="J208" s="59" t="n"/>
      <c r="K208" s="59" t="inlineStr">
        <is>
          <t>80.570.200-1</t>
        </is>
      </c>
      <c r="L208" s="59" t="inlineStr">
        <is>
          <t>Ventas: GRANDE 3 (600.000 - 1.000.000 UF) | Empleados: 132</t>
        </is>
      </c>
      <c r="M208" s="59" t="inlineStr">
        <is>
          <t>Tier 1 - OPORTUNIDAD ACTIVA (VIP)</t>
        </is>
      </c>
      <c r="N208" s="61" t="n"/>
      <c r="O208" s="61" t="n"/>
      <c r="P208" s="61" t="n"/>
      <c r="Q208" s="61" t="n"/>
      <c r="R208" s="61" t="n"/>
      <c r="S208" s="62" t="n"/>
      <c r="T208" s="61" t="n"/>
    </row>
    <row r="209" ht="15.75" customHeight="1" s="38">
      <c r="A209" s="59" t="inlineStr">
        <is>
          <t>Lundin Mining</t>
        </is>
      </c>
      <c r="B209" s="59" t="inlineStr">
        <is>
          <t>Cobre, Plomo</t>
        </is>
      </c>
      <c r="C209" s="59" t="inlineStr">
        <is>
          <t>Santiago</t>
        </is>
      </c>
      <c r="D209" s="59" t="inlineStr">
        <is>
          <t>Sistemas Mineros Avanzados</t>
        </is>
      </c>
      <c r="E209" s="59" t="inlineStr">
        <is>
          <t>LinkedIn</t>
        </is>
      </c>
      <c r="F209" s="59" t="inlineStr">
        <is>
          <t>https://cl.linkedin.com/in/sergio-retamal-8b9b2b2a</t>
        </is>
      </c>
      <c r="G209" s="59" t="inlineStr">
        <is>
          <t>Sergio Retamal (Regional IT Manager)</t>
        </is>
      </c>
      <c r="H209" s="59" t="n"/>
      <c r="I209" s="59" t="inlineStr">
        <is>
          <t>(56) 52 246 1617</t>
        </is>
      </c>
      <c r="J209" s="59" t="n"/>
      <c r="K209" s="59" t="inlineStr">
        <is>
          <t>76.263.093-1</t>
        </is>
      </c>
      <c r="L209" s="59" t="inlineStr">
        <is>
          <t>Ventas: GRANDE 3 (600.000 - 1.000.000 UF) | Empleados: 20</t>
        </is>
      </c>
      <c r="M209" s="59" t="inlineStr">
        <is>
          <t>Tier 1 - OPORTUNIDAD ACTIVA (VIP)</t>
        </is>
      </c>
      <c r="N209" s="61" t="n"/>
      <c r="O209" s="61" t="n"/>
      <c r="P209" s="61" t="n"/>
      <c r="Q209" s="61" t="n"/>
      <c r="R209" s="61" t="n"/>
      <c r="S209" s="62" t="n"/>
      <c r="T209" s="61" t="n"/>
    </row>
    <row r="210" ht="15.75" customHeight="1" s="38">
      <c r="A210" s="59" t="inlineStr">
        <is>
          <t>Maestranza e Ingeniería Lo Espejo S.A.</t>
        </is>
      </c>
      <c r="B210" s="59" t="inlineStr">
        <is>
          <t>Calderería</t>
        </is>
      </c>
      <c r="C210" s="59" t="inlineStr">
        <is>
          <t>Santiago</t>
        </is>
      </c>
      <c r="D210" s="59" t="inlineStr">
        <is>
          <t>Digitalización Infraestructura Minera</t>
        </is>
      </c>
      <c r="E210" s="59" t="inlineStr">
        <is>
          <t>LinkedIn</t>
        </is>
      </c>
      <c r="F210" s="59" t="inlineStr">
        <is>
          <t>https://cl.linkedin.com/in/marcos-sarzoza-a3a28328</t>
        </is>
      </c>
      <c r="G210" s="59" t="inlineStr">
        <is>
          <t>Marcos Sarzoza (IT Manager)</t>
        </is>
      </c>
      <c r="H210" s="59" t="n"/>
      <c r="I210" s="59" t="inlineStr">
        <is>
          <t>(56) 9 8829 7892</t>
        </is>
      </c>
      <c r="J210" s="59" t="n"/>
      <c r="K210" s="59" t="inlineStr">
        <is>
          <t>89.321.800-9</t>
        </is>
      </c>
      <c r="L210" s="59" t="inlineStr">
        <is>
          <t>Ventas: GRANDE 2 (200.000 - 600.000 UF) | Empleados: 7</t>
        </is>
      </c>
      <c r="M210" s="59" t="inlineStr">
        <is>
          <t>Tier 1 - OPORTUNIDAD ACTIVA (VIP)</t>
        </is>
      </c>
      <c r="N210" s="61" t="n"/>
      <c r="O210" s="61" t="n"/>
      <c r="P210" s="61" t="n"/>
      <c r="Q210" s="61" t="n"/>
      <c r="R210" s="61" t="n"/>
      <c r="S210" s="62" t="n"/>
      <c r="T210" s="61" t="n"/>
    </row>
    <row r="211" ht="15.75" customHeight="1" s="38">
      <c r="A211" s="66" t="inlineStr">
        <is>
          <t>Maptek Computación Chile Ltda.</t>
        </is>
      </c>
      <c r="B211" s="66" t="inlineStr">
        <is>
          <t>Consultoría en Minería, Software para la Minería</t>
        </is>
      </c>
      <c r="C211" s="66" t="inlineStr">
        <is>
          <t>Viña del Mar</t>
        </is>
      </c>
      <c r="D211" s="66" t="n"/>
      <c r="E211" s="66" t="n"/>
      <c r="F211" s="66" t="n"/>
      <c r="G211" s="66" t="inlineStr">
        <is>
          <t>Gerente de TI / CIO (Director de Tecnología)</t>
        </is>
      </c>
      <c r="H211" s="66" t="n"/>
      <c r="I211" s="66" t="inlineStr">
        <is>
          <t>(56) 32 269 0683</t>
        </is>
      </c>
      <c r="J211" s="66" t="n"/>
      <c r="K211" s="66" t="inlineStr">
        <is>
          <t>78.482.290-7</t>
        </is>
      </c>
      <c r="L211" s="66" t="inlineStr">
        <is>
          <t>Ventas: GRANDE 3 (600.000 - 1.000.000 UF) | Empleados: 75</t>
        </is>
      </c>
      <c r="M211" s="66" t="inlineStr">
        <is>
          <t>Tier 1 - VIP (Alta Venta + DM)</t>
        </is>
      </c>
      <c r="N211" s="61" t="n"/>
      <c r="O211" s="61" t="n"/>
      <c r="P211" s="61" t="n"/>
      <c r="Q211" s="61" t="n"/>
      <c r="R211" s="61" t="n"/>
      <c r="S211" s="62" t="n"/>
      <c r="T211" s="61" t="n"/>
    </row>
    <row r="212" ht="15.75" customHeight="1" s="38">
      <c r="A212" s="59" t="inlineStr">
        <is>
          <t>Maqsur Ltda.</t>
        </is>
      </c>
      <c r="B212" s="59" t="inlineStr">
        <is>
          <t>Plataformas Elevadoras</t>
        </is>
      </c>
      <c r="C212" s="59" t="inlineStr">
        <is>
          <t>Puerto Varas</t>
        </is>
      </c>
      <c r="D212" s="59" t="inlineStr">
        <is>
          <t>Telemática Maquinaria Agrícola</t>
        </is>
      </c>
      <c r="E212" s="59" t="n"/>
      <c r="F212" s="59" t="inlineStr">
        <is>
          <t>https://www.maqsur.cl/</t>
        </is>
      </c>
      <c r="G212" s="59" t="inlineStr">
        <is>
          <t>Guillermo Cruz (Gerente General)</t>
        </is>
      </c>
      <c r="H212" s="59" t="n"/>
      <c r="I212" s="59" t="inlineStr">
        <is>
          <t>(56) 2 2857 4384</t>
        </is>
      </c>
      <c r="J212" s="59" t="n"/>
      <c r="K212" s="59" t="inlineStr">
        <is>
          <t>76.142.787-3</t>
        </is>
      </c>
      <c r="L212" s="59" t="inlineStr">
        <is>
          <t>Ventas: GRANDE 2 (200.000 - 600.000 UF) | Empleados: 35</t>
        </is>
      </c>
      <c r="M212" s="59" t="inlineStr">
        <is>
          <t>Tier 1 - OPORTUNIDAD ACTIVA (VIP)</t>
        </is>
      </c>
      <c r="N212" s="61" t="n"/>
      <c r="O212" s="61" t="n"/>
      <c r="P212" s="61" t="n"/>
      <c r="Q212" s="61" t="n"/>
      <c r="R212" s="61" t="n"/>
      <c r="S212" s="62" t="n"/>
      <c r="T212" s="61" t="n"/>
    </row>
    <row r="213" ht="15.75" customHeight="1" s="38">
      <c r="A213" s="59" t="inlineStr">
        <is>
          <t>Mateco Chile</t>
        </is>
      </c>
      <c r="B213" s="59" t="inlineStr">
        <is>
          <t>Brazos Articulados Telescópicos</t>
        </is>
      </c>
      <c r="C213" s="59" t="inlineStr">
        <is>
          <t>Santiago</t>
        </is>
      </c>
      <c r="D213" s="59" t="inlineStr">
        <is>
          <t>Investigación en Proceso</t>
        </is>
      </c>
      <c r="E213" s="59" t="n"/>
      <c r="F213" s="59" t="n"/>
      <c r="G213" s="59" t="inlineStr">
        <is>
          <t>Andres Rojas (Responsable de IT)</t>
        </is>
      </c>
      <c r="H213" s="59" t="inlineStr">
        <is>
          <t>a.rojas@mateco.cl</t>
        </is>
      </c>
      <c r="I213" s="59" t="inlineStr">
        <is>
          <t>(56) 2 3328 2331</t>
        </is>
      </c>
      <c r="J213" s="59" t="n"/>
      <c r="K213" s="59" t="inlineStr">
        <is>
          <t>76282059-5</t>
        </is>
      </c>
      <c r="L213" s="59" t="inlineStr">
        <is>
          <t>Ventas: GRANDE 3 (600.000 - 1.000.000 UF) | Empleados: 49</t>
        </is>
      </c>
      <c r="M213" s="59" t="inlineStr">
        <is>
          <t>Tier 1 - OPORTUNIDAD ACTIVA (VIP)</t>
        </is>
      </c>
      <c r="N213" s="61" t="n"/>
      <c r="O213" s="61" t="n"/>
      <c r="P213" s="61" t="n"/>
      <c r="Q213" s="61" t="n"/>
      <c r="R213" s="61" t="n"/>
      <c r="S213" s="62" t="n"/>
      <c r="T213" s="61" t="n"/>
    </row>
    <row r="214" ht="15.75" customHeight="1" s="38">
      <c r="A214" s="59" t="inlineStr">
        <is>
          <t>Mauricio Hochschild Ingeniería y Servicios</t>
        </is>
      </c>
      <c r="B214" s="59" t="inlineStr">
        <is>
          <t>Bombas, Compresores, Soldaduras</t>
        </is>
      </c>
      <c r="C214" s="59" t="inlineStr">
        <is>
          <t>Santiago</t>
        </is>
      </c>
      <c r="D214" s="59" t="inlineStr">
        <is>
          <t>Optimización CRM Regional</t>
        </is>
      </c>
      <c r="E214" s="59" t="inlineStr">
        <is>
          <t>LinkedIn</t>
        </is>
      </c>
      <c r="F214" s="59" t="n"/>
      <c r="G214" s="59" t="inlineStr">
        <is>
          <t>Eduardo Lagos (Jefe de Sistemas)</t>
        </is>
      </c>
      <c r="H214" s="59" t="inlineStr">
        <is>
          <t>e.lagos@hochschild.cl</t>
        </is>
      </c>
      <c r="I214" s="59" t="inlineStr">
        <is>
          <t>(56) 2 2578 2600</t>
        </is>
      </c>
      <c r="J214" s="59" t="n"/>
      <c r="K214" s="59" t="inlineStr">
        <is>
          <t>96.885.630-8</t>
        </is>
      </c>
      <c r="L214" s="59" t="inlineStr">
        <is>
          <t>Ventas: GRANDE 3 (600.000 - 1.000.000 UF) | Empleados: 108</t>
        </is>
      </c>
      <c r="M214" s="59" t="inlineStr">
        <is>
          <t>Tier 1 - OPORTUNIDAD ACTIVA (VIP)</t>
        </is>
      </c>
      <c r="N214" s="61" t="n"/>
      <c r="O214" s="61" t="n"/>
      <c r="P214" s="61" t="n"/>
      <c r="Q214" s="61" t="n"/>
      <c r="R214" s="61" t="n"/>
      <c r="S214" s="62" t="n"/>
      <c r="T214" s="61" t="n"/>
    </row>
    <row r="215" ht="15.75" customHeight="1" s="38">
      <c r="A215" s="66" t="inlineStr">
        <is>
          <t>Mediterránea</t>
        </is>
      </c>
      <c r="B215" s="66" t="inlineStr">
        <is>
          <t>Proveedor Destacado, Aseo y Hotelería, Servicios de Alimentación</t>
        </is>
      </c>
      <c r="C215" s="66" t="inlineStr">
        <is>
          <t>Santiago</t>
        </is>
      </c>
      <c r="D215" s="66" t="n"/>
      <c r="E215" s="66" t="n"/>
      <c r="F215" s="66" t="n"/>
      <c r="G215" s="66" t="inlineStr">
        <is>
          <t>Gerente de TI / CIO (Director de Tecnología)</t>
        </is>
      </c>
      <c r="H215" s="66" t="n"/>
      <c r="I215" s="66" t="inlineStr">
        <is>
          <t>(56) 2 2204 6893</t>
        </is>
      </c>
      <c r="J215" s="66" t="inlineStr">
        <is>
          <t>http://www.mediterranea-group.cl</t>
        </is>
      </c>
      <c r="K215" s="66" t="inlineStr">
        <is>
          <t>59.179.270-9</t>
        </is>
      </c>
      <c r="L215" s="66" t="inlineStr">
        <is>
          <t>Ventas: GRANDE 4 (Mas de 1.000.000 UF) | Empleados: 1735</t>
        </is>
      </c>
      <c r="M215" s="66" t="inlineStr">
        <is>
          <t>Tier 1 - VIP (Alta Venta + DM)</t>
        </is>
      </c>
      <c r="N215" s="61" t="n"/>
      <c r="O215" s="61" t="n"/>
      <c r="P215" s="61" t="n"/>
      <c r="Q215" s="61" t="n"/>
      <c r="R215" s="61" t="n"/>
      <c r="S215" s="62" t="n"/>
      <c r="T215" s="61" t="n"/>
    </row>
    <row r="216" ht="15.75" customHeight="1" s="38">
      <c r="A216" s="66" t="inlineStr">
        <is>
          <t>Megamin S.A.</t>
        </is>
      </c>
      <c r="B216" s="66" t="inlineStr">
        <is>
          <t>Aceros para Perforación, Revestimientos de Poliuretano</t>
        </is>
      </c>
      <c r="C216" s="66" t="inlineStr">
        <is>
          <t>Santiago</t>
        </is>
      </c>
      <c r="D216" s="66" t="n"/>
      <c r="E216" s="66" t="n"/>
      <c r="F216" s="66" t="n"/>
      <c r="G216" s="66" t="inlineStr">
        <is>
          <t>Gerente de TI / CIO (Director de Tecnología)</t>
        </is>
      </c>
      <c r="H216" s="66" t="n"/>
      <c r="I216" s="66" t="inlineStr">
        <is>
          <t>(56) 2 2437 2803</t>
        </is>
      </c>
      <c r="J216" s="66" t="n"/>
      <c r="K216" s="66" t="inlineStr">
        <is>
          <t>76.011.809-5</t>
        </is>
      </c>
      <c r="L216" s="66" t="inlineStr">
        <is>
          <t>Ventas: GRANDE 3 (600.000 - 1.000.000 UF) | Empleados: 8</t>
        </is>
      </c>
      <c r="M216" s="66" t="inlineStr">
        <is>
          <t>Tier 1 - VIP (Alta Venta + DM)</t>
        </is>
      </c>
      <c r="N216" s="61" t="n"/>
      <c r="O216" s="61" t="n"/>
      <c r="P216" s="61" t="n"/>
      <c r="Q216" s="61" t="n"/>
      <c r="R216" s="61" t="n"/>
      <c r="S216" s="62" t="n"/>
      <c r="T216" s="61" t="n"/>
    </row>
    <row r="217" ht="15.75" customHeight="1" s="38">
      <c r="A217" s="59" t="inlineStr">
        <is>
          <t>Metaproject Group</t>
        </is>
      </c>
      <c r="B217" s="59" t="inlineStr">
        <is>
          <t>Proveedor Destacado, Diseño de Minas y Plantas, Diseño de Sistemas Contra Incendios, Servicios BPO - Backoffice, Servicios de Abastecimiento Nacional e Internacional, Servicios de Apoyo a la Construcción de Grandes Proyectos, Servicios de Inspección Técnica</t>
        </is>
      </c>
      <c r="C217" s="59" t="inlineStr">
        <is>
          <t>Santiago</t>
        </is>
      </c>
      <c r="D217" s="59" t="inlineStr">
        <is>
          <t>Investigación en Proceso</t>
        </is>
      </c>
      <c r="E217" s="59" t="n"/>
      <c r="F217" s="59" t="n"/>
      <c r="G217" s="59" t="inlineStr">
        <is>
          <t>Isabel Peñailillo (Gerente TI)</t>
        </is>
      </c>
      <c r="H217" s="59" t="inlineStr">
        <is>
          <t>isabel.penailillo@metaproject.cl</t>
        </is>
      </c>
      <c r="I217" s="59" t="inlineStr">
        <is>
          <t>(56) 2 2350 9900</t>
        </is>
      </c>
      <c r="J217" s="59" t="inlineStr">
        <is>
          <t>http://www.metaprojectgroup.com</t>
        </is>
      </c>
      <c r="K217" s="59" t="inlineStr">
        <is>
          <t>96.648.700-3</t>
        </is>
      </c>
      <c r="L217" s="59" t="inlineStr">
        <is>
          <t>Ventas: GRANDE 3 (600.000 - 1.000.000 UF) | Empleados: 337</t>
        </is>
      </c>
      <c r="M217" s="59" t="inlineStr">
        <is>
          <t>Tier 1 - OPORTUNIDAD ACTIVA (VIP)</t>
        </is>
      </c>
      <c r="N217" s="61" t="n"/>
      <c r="O217" s="61" t="n"/>
      <c r="P217" s="61" t="n"/>
      <c r="Q217" s="61" t="n"/>
      <c r="R217" s="61" t="n"/>
      <c r="S217" s="62" t="n"/>
      <c r="T217" s="61" t="n"/>
    </row>
    <row r="218" ht="15.75" customHeight="1" s="38">
      <c r="A218" s="59" t="inlineStr">
        <is>
          <t>Metecno S.A.</t>
        </is>
      </c>
      <c r="B218" s="59" t="inlineStr">
        <is>
          <t>Cubiertas y Revestimientos para el Sector Minero</t>
        </is>
      </c>
      <c r="C218" s="59" t="inlineStr">
        <is>
          <t>Santiago</t>
        </is>
      </c>
      <c r="D218" s="59" t="inlineStr">
        <is>
          <t>Investigación en Proceso</t>
        </is>
      </c>
      <c r="E218" s="59" t="n"/>
      <c r="F218" s="59" t="n"/>
      <c r="G218" s="59" t="inlineStr">
        <is>
          <t>Nancy P. Díaz Sánchez (Encargada de Sistemas)</t>
        </is>
      </c>
      <c r="H218" s="59" t="inlineStr">
        <is>
          <t>ndiaz@metecno.cl</t>
        </is>
      </c>
      <c r="I218" s="59" t="inlineStr">
        <is>
          <t>(56) 2 2438 7500</t>
        </is>
      </c>
      <c r="J218" s="59" t="n"/>
      <c r="K218" s="59" t="inlineStr">
        <is>
          <t>99.500.750-9</t>
        </is>
      </c>
      <c r="L218" s="59" t="inlineStr">
        <is>
          <t>Ventas: GRANDE 3 (600.000 - 1.000.000 UF) | Empleados: 72</t>
        </is>
      </c>
      <c r="M218" s="59" t="inlineStr">
        <is>
          <t>Tier 1 - OPORTUNIDAD ACTIVA (VIP)</t>
        </is>
      </c>
      <c r="N218" s="61" t="n"/>
      <c r="O218" s="61" t="n"/>
      <c r="P218" s="61" t="n"/>
      <c r="Q218" s="61" t="n"/>
      <c r="R218" s="61" t="n"/>
      <c r="S218" s="62" t="n"/>
      <c r="T218" s="61" t="n"/>
    </row>
    <row r="219" ht="15.75" customHeight="1" s="38">
      <c r="A219" s="59" t="inlineStr">
        <is>
          <t>Metrika Ltda.</t>
        </is>
      </c>
      <c r="B219" s="59" t="inlineStr">
        <is>
          <t>Sistemas Automáticos contra Incendios, Sistemas para Protección Contra Incendios</t>
        </is>
      </c>
      <c r="C219" s="59" t="inlineStr">
        <is>
          <t>Rancagua</t>
        </is>
      </c>
      <c r="D219" s="59" t="inlineStr">
        <is>
          <t>Investigación en Proceso</t>
        </is>
      </c>
      <c r="E219" s="59" t="n"/>
      <c r="F219" s="59" t="n"/>
      <c r="G219" s="59" t="inlineStr">
        <is>
          <t>Maximiliano Gonzalez (Socio Fundador)</t>
        </is>
      </c>
      <c r="H219" s="59" t="inlineStr">
        <is>
          <t>mgonzalez@metrika.cl</t>
        </is>
      </c>
      <c r="I219" s="59" t="inlineStr">
        <is>
          <t>(56) 72 225 7010</t>
        </is>
      </c>
      <c r="J219" s="59" t="n"/>
      <c r="K219" s="59" t="inlineStr">
        <is>
          <t>77.203.650-7</t>
        </is>
      </c>
      <c r="L219" s="59" t="inlineStr">
        <is>
          <t>Ventas: GRANDE 3 (600.000 - 1.000.000 UF) | Empleados: 387</t>
        </is>
      </c>
      <c r="M219" s="59" t="inlineStr">
        <is>
          <t>Tier 1 - OPORTUNIDAD ACTIVA (VIP)</t>
        </is>
      </c>
      <c r="N219" s="61" t="n"/>
      <c r="O219" s="61" t="n"/>
      <c r="P219" s="61" t="n"/>
      <c r="Q219" s="61" t="n"/>
      <c r="R219" s="61" t="n"/>
      <c r="S219" s="62" t="n"/>
      <c r="T219" s="61" t="n"/>
    </row>
    <row r="220" ht="15.75" customHeight="1" s="38">
      <c r="A220" s="59" t="inlineStr">
        <is>
          <t>Microgeo</t>
        </is>
      </c>
      <c r="B220" s="59" t="inlineStr">
        <is>
          <t>Cartografía, Datos Geoespaciales</t>
        </is>
      </c>
      <c r="C220" s="59" t="inlineStr">
        <is>
          <t>Santiago</t>
        </is>
      </c>
      <c r="D220" s="59" t="inlineStr">
        <is>
          <t>Escaneo Láser SLAM &amp; Mapeo 3D Realtime</t>
        </is>
      </c>
      <c r="E220" s="59" t="inlineStr">
        <is>
          <t>Microgeo.cl</t>
        </is>
      </c>
      <c r="F220" s="59" t="inlineStr">
        <is>
          <t>https://microgeo.cl/greenvalley-international/</t>
        </is>
      </c>
      <c r="G220" s="59" t="inlineStr">
        <is>
          <t>Rodrigo Herrera Pacheco (Gte. Innovación / CTO)</t>
        </is>
      </c>
      <c r="H220" s="59" t="inlineStr">
        <is>
          <t>rherrera@microgeo.cl</t>
        </is>
      </c>
      <c r="I220" s="59" t="inlineStr">
        <is>
          <t>(56) 2 2658 0801</t>
        </is>
      </c>
      <c r="J220" s="59" t="n"/>
      <c r="K220" s="59" t="inlineStr">
        <is>
          <t>88.579.800-4</t>
        </is>
      </c>
      <c r="L220" s="59" t="inlineStr">
        <is>
          <t>Ventas: GRANDE 4 (Mas de 1.000.000 UF) | Empleados: 156</t>
        </is>
      </c>
      <c r="M220" s="59" t="inlineStr">
        <is>
          <t>Tier 1 - OPORTUNIDAD ACTIVA (VIP)</t>
        </is>
      </c>
      <c r="N220" s="61" t="n"/>
      <c r="O220" s="61" t="n"/>
      <c r="P220" s="61" t="n"/>
      <c r="Q220" s="61" t="n"/>
      <c r="R220" s="61" t="n"/>
      <c r="S220" s="62" t="n"/>
      <c r="T220" s="61" t="n"/>
    </row>
    <row r="221" ht="15.75" customHeight="1" s="38">
      <c r="A221" s="59" t="inlineStr">
        <is>
          <t>Mincon Chile S.A.</t>
        </is>
      </c>
      <c r="B221" s="59" t="inlineStr">
        <is>
          <t>Equipos de Perforación</t>
        </is>
      </c>
      <c r="C221" s="59" t="inlineStr">
        <is>
          <t>Santiago</t>
        </is>
      </c>
      <c r="D221" s="59" t="inlineStr">
        <is>
          <t>Eficiencia Perforación &amp; Expansión Centro Técnico</t>
        </is>
      </c>
      <c r="E221" s="59" t="n"/>
      <c r="F221" s="59" t="inlineStr">
        <is>
          <t>https://cl.linkedin.com/in/jean-paul-droguett-saavedra-96154943</t>
        </is>
      </c>
      <c r="G221" s="59" t="inlineStr">
        <is>
          <t>Jean Paul Droguett Saavedra (Gerente General)</t>
        </is>
      </c>
      <c r="H221" s="59" t="n"/>
      <c r="I221" s="59" t="inlineStr">
        <is>
          <t>(56) 2 3223 9351</t>
        </is>
      </c>
      <c r="J221" s="59" t="n"/>
      <c r="K221" s="59" t="inlineStr">
        <is>
          <t>76.421.150-2</t>
        </is>
      </c>
      <c r="L221" s="59" t="inlineStr">
        <is>
          <t>Ventas: GRANDE 2 (200.000 - 600.000 UF) | Empleados: 41</t>
        </is>
      </c>
      <c r="M221" s="59" t="inlineStr">
        <is>
          <t>Tier 1 - OPORTUNIDAD ACTIVA (VIP)</t>
        </is>
      </c>
      <c r="N221" s="61" t="n"/>
      <c r="O221" s="61" t="n"/>
      <c r="P221" s="61" t="n"/>
      <c r="Q221" s="61" t="n"/>
      <c r="R221" s="61" t="n"/>
      <c r="S221" s="62" t="n"/>
      <c r="T221" s="61" t="n"/>
    </row>
    <row r="222" ht="15.75" customHeight="1" s="38">
      <c r="A222" s="59" t="inlineStr">
        <is>
          <t>Mindugar</t>
        </is>
      </c>
      <c r="B222" s="59" t="inlineStr">
        <is>
          <t>Automatización de Bodegas, Racks para Almacenaje</t>
        </is>
      </c>
      <c r="C222" s="59" t="inlineStr">
        <is>
          <t>Santiago</t>
        </is>
      </c>
      <c r="D222" s="59" t="inlineStr">
        <is>
          <t>Investigación en Proceso</t>
        </is>
      </c>
      <c r="E222" s="59" t="n"/>
      <c r="F222" s="59" t="n"/>
      <c r="G222" s="59" t="inlineStr">
        <is>
          <t>Ignacio Garcia (Gerente Informática)</t>
        </is>
      </c>
      <c r="H222" s="59" t="inlineStr">
        <is>
          <t>igarcia@mindugar.cl</t>
        </is>
      </c>
      <c r="I222" s="59" t="inlineStr">
        <is>
          <t>(56) 2 2870 7400</t>
        </is>
      </c>
      <c r="J222" s="59" t="n"/>
      <c r="K222" s="59" t="inlineStr">
        <is>
          <t>96.588.890-K</t>
        </is>
      </c>
      <c r="L222" s="59" t="inlineStr">
        <is>
          <t>Ventas: GRANDE 3 (600.000 - 1.000.000 UF) | Empleados: 121</t>
        </is>
      </c>
      <c r="M222" s="59" t="inlineStr">
        <is>
          <t>Tier 1 - OPORTUNIDAD ACTIVA (VIP)</t>
        </is>
      </c>
      <c r="N222" s="61" t="n"/>
      <c r="O222" s="61" t="n"/>
      <c r="P222" s="61" t="n"/>
      <c r="Q222" s="61" t="n"/>
      <c r="R222" s="61" t="n"/>
      <c r="S222" s="62" t="n"/>
      <c r="T222" s="61" t="n"/>
    </row>
    <row r="223" ht="15.75" customHeight="1" s="38">
      <c r="A223" s="66" t="inlineStr">
        <is>
          <t>Mine Trust</t>
        </is>
      </c>
      <c r="B223" s="66" t="inlineStr">
        <is>
          <t>Productos para Correas Transportadoras, Sistemas de Medición para Correas Transportadoras</t>
        </is>
      </c>
      <c r="C223" s="66" t="inlineStr">
        <is>
          <t>Santiago</t>
        </is>
      </c>
      <c r="D223" s="66" t="n"/>
      <c r="E223" s="66" t="n"/>
      <c r="F223" s="66" t="n"/>
      <c r="G223" s="66" t="inlineStr">
        <is>
          <t>Gerente de TI / CIO (Director de Tecnología)</t>
        </is>
      </c>
      <c r="H223" s="66" t="n"/>
      <c r="I223" s="66" t="inlineStr">
        <is>
          <t>(56) 2 3203 9516</t>
        </is>
      </c>
      <c r="J223" s="66" t="n"/>
      <c r="K223" s="66" t="inlineStr">
        <is>
          <t>76299786-K</t>
        </is>
      </c>
      <c r="L223" s="66" t="inlineStr">
        <is>
          <t>Ventas: GRANDE 3 (600.000 - 1.000.000 UF) | Empleados: 24</t>
        </is>
      </c>
      <c r="M223" s="66" t="inlineStr">
        <is>
          <t>Tier 1 - VIP (Alta Venta + DM)</t>
        </is>
      </c>
      <c r="N223" s="61" t="n"/>
      <c r="O223" s="61" t="n"/>
      <c r="P223" s="61" t="n"/>
      <c r="Q223" s="61" t="n"/>
      <c r="R223" s="61" t="n"/>
      <c r="S223" s="62" t="n"/>
      <c r="T223" s="61" t="n"/>
    </row>
    <row r="224" ht="15.75" customHeight="1" s="38">
      <c r="A224" s="66" t="inlineStr">
        <is>
          <t>MineSense Technologies</t>
        </is>
      </c>
      <c r="B224" s="66" t="inlineStr">
        <is>
          <t>Sensores para Escanear y Estimar la Ley del Material en Palas y Cucharones</t>
        </is>
      </c>
      <c r="C224" s="66" t="inlineStr">
        <is>
          <t>Santiago</t>
        </is>
      </c>
      <c r="D224" s="66" t="n"/>
      <c r="E224" s="66" t="n"/>
      <c r="F224" s="66" t="n"/>
      <c r="G224" s="66" t="inlineStr">
        <is>
          <t>Gerente de TI / CIO (Director de Tecnología)</t>
        </is>
      </c>
      <c r="H224" s="66" t="n"/>
      <c r="I224" s="66" t="inlineStr">
        <is>
          <t>(56) 9 9219 7313</t>
        </is>
      </c>
      <c r="J224" s="66" t="n"/>
      <c r="K224" s="66" t="inlineStr">
        <is>
          <t>76.600.613-2</t>
        </is>
      </c>
      <c r="L224" s="66" t="inlineStr">
        <is>
          <t>Ventas: GRANDE 3 (600.000 - 1.000.000 UF) | Empleados: 73</t>
        </is>
      </c>
      <c r="M224" s="66" t="inlineStr">
        <is>
          <t>Tier 1 - VIP (Alta Venta + DM)</t>
        </is>
      </c>
      <c r="N224" s="61" t="n"/>
      <c r="O224" s="61" t="n"/>
      <c r="P224" s="61" t="n"/>
      <c r="Q224" s="61" t="n"/>
      <c r="R224" s="61" t="n"/>
      <c r="S224" s="62" t="n"/>
      <c r="T224" s="61" t="n"/>
    </row>
    <row r="225" ht="15.75" customHeight="1" s="38">
      <c r="A225" s="66" t="inlineStr">
        <is>
          <t>Minera Cordillera</t>
        </is>
      </c>
      <c r="B225" s="66" t="inlineStr">
        <is>
          <t>Cloruro de Sodio</t>
        </is>
      </c>
      <c r="C225" s="66" t="inlineStr">
        <is>
          <t>Santiago</t>
        </is>
      </c>
      <c r="D225" s="66" t="n"/>
      <c r="E225" s="66" t="n"/>
      <c r="F225" s="66" t="n"/>
      <c r="G225" s="66" t="inlineStr">
        <is>
          <t>Gerente de TI / CIO (Director de Tecnología)</t>
        </is>
      </c>
      <c r="H225" s="66" t="n"/>
      <c r="I225" s="66" t="inlineStr">
        <is>
          <t>(56) 2 2429 4470</t>
        </is>
      </c>
      <c r="J225" s="66" t="n"/>
      <c r="K225" s="66" t="inlineStr">
        <is>
          <t>76.800.800-0</t>
        </is>
      </c>
      <c r="L225" s="66" t="inlineStr">
        <is>
          <t>Ventas: GRANDE 4 (Mas de 1.000.000 UF) | Empleados: 41</t>
        </is>
      </c>
      <c r="M225" s="66" t="inlineStr">
        <is>
          <t>Tier 1 - VIP (Alta Venta + DM)</t>
        </is>
      </c>
      <c r="N225" s="61" t="n"/>
      <c r="O225" s="61" t="n"/>
      <c r="P225" s="61" t="n"/>
      <c r="Q225" s="61" t="n"/>
      <c r="R225" s="61" t="n"/>
      <c r="S225" s="62" t="n"/>
      <c r="T225" s="61" t="n"/>
    </row>
    <row r="226" ht="15.75" customHeight="1" s="38">
      <c r="A226" s="66" t="inlineStr">
        <is>
          <t>Minera Cruz</t>
        </is>
      </c>
      <c r="B226" s="66" t="inlineStr">
        <is>
          <t>Concentrado de Cobre, Concentrado de Oro</t>
        </is>
      </c>
      <c r="C226" s="66" t="inlineStr">
        <is>
          <t>Ovalle</t>
        </is>
      </c>
      <c r="D226" s="66" t="n"/>
      <c r="E226" s="66" t="n"/>
      <c r="F226" s="66" t="n"/>
      <c r="G226" s="66" t="inlineStr">
        <is>
          <t>Gerente de TI / CIO (Director de Tecnología)</t>
        </is>
      </c>
      <c r="H226" s="66" t="n"/>
      <c r="I226" s="66" t="inlineStr">
        <is>
          <t>(56) 53 262 0543</t>
        </is>
      </c>
      <c r="J226" s="66" t="n"/>
      <c r="K226" s="66" t="inlineStr">
        <is>
          <t>76.118.700-7</t>
        </is>
      </c>
      <c r="L226" s="66" t="inlineStr">
        <is>
          <t>Ventas: GRANDE 3 (600.000 - 1.000.000 UF) | Empleados: 208</t>
        </is>
      </c>
      <c r="M226" s="66" t="inlineStr">
        <is>
          <t>Tier 1 - VIP (Alta Venta + DM)</t>
        </is>
      </c>
      <c r="N226" s="61" t="n"/>
      <c r="O226" s="61" t="n"/>
      <c r="P226" s="61" t="n"/>
      <c r="Q226" s="61" t="n"/>
      <c r="R226" s="61" t="n"/>
      <c r="S226" s="62" t="n"/>
      <c r="T226" s="61" t="n"/>
    </row>
    <row r="227" ht="15.75" customHeight="1" s="38">
      <c r="A227" s="66" t="inlineStr">
        <is>
          <t>Minera La Patagua</t>
        </is>
      </c>
      <c r="B227" s="66" t="inlineStr">
        <is>
          <t>Cobre</t>
        </is>
      </c>
      <c r="C227" s="66" t="inlineStr">
        <is>
          <t>La Ligua</t>
        </is>
      </c>
      <c r="D227" s="66" t="n"/>
      <c r="E227" s="66" t="n"/>
      <c r="F227" s="66" t="n"/>
      <c r="G227" s="66" t="inlineStr">
        <is>
          <t>Gerente de TI / CIO (Director de Tecnología)</t>
        </is>
      </c>
      <c r="H227" s="66" t="n"/>
      <c r="I227" s="66" t="inlineStr">
        <is>
          <t>(56) 33 271 5469</t>
        </is>
      </c>
      <c r="J227" s="66" t="n"/>
      <c r="K227" s="66" t="inlineStr">
        <is>
          <t>84.542.800-K</t>
        </is>
      </c>
      <c r="L227" s="66" t="inlineStr">
        <is>
          <t>Ventas: GRANDE 3 (600.000 - 1.000.000 UF) | Empleados: 226</t>
        </is>
      </c>
      <c r="M227" s="66" t="inlineStr">
        <is>
          <t>Tier 1 - VIP (Alta Venta + DM)</t>
        </is>
      </c>
      <c r="N227" s="61" t="n"/>
      <c r="O227" s="61" t="n"/>
      <c r="P227" s="61" t="n"/>
      <c r="Q227" s="61" t="n"/>
      <c r="R227" s="61" t="n"/>
      <c r="S227" s="62" t="n"/>
      <c r="T227" s="61" t="n"/>
    </row>
    <row r="228" ht="15.75" customHeight="1" s="38">
      <c r="A228" s="66" t="inlineStr">
        <is>
          <t>Minera Michilla</t>
        </is>
      </c>
      <c r="B228" s="66" t="inlineStr">
        <is>
          <t>Cobre</t>
        </is>
      </c>
      <c r="C228" s="66" t="inlineStr">
        <is>
          <t>Santiago</t>
        </is>
      </c>
      <c r="D228" s="66" t="n"/>
      <c r="E228" s="66" t="n"/>
      <c r="F228" s="66" t="n"/>
      <c r="G228" s="66" t="inlineStr">
        <is>
          <t>Gerente de TI / CIO (Director de Tecnología)</t>
        </is>
      </c>
      <c r="H228" s="66" t="n"/>
      <c r="I228" s="66" t="inlineStr">
        <is>
          <t>(56) 2 2896 9150</t>
        </is>
      </c>
      <c r="J228" s="66" t="n"/>
      <c r="K228" s="66" t="inlineStr">
        <is>
          <t>96.955.560-3</t>
        </is>
      </c>
      <c r="L228" s="66" t="inlineStr">
        <is>
          <t>Ventas: GRANDE 3 (600.000 - 1.000.000 UF) | Empleados: 30</t>
        </is>
      </c>
      <c r="M228" s="66" t="inlineStr">
        <is>
          <t>Tier 1 - VIP (Alta Venta + DM)</t>
        </is>
      </c>
      <c r="N228" s="61" t="n"/>
      <c r="O228" s="61" t="n"/>
      <c r="P228" s="61" t="n"/>
      <c r="Q228" s="61" t="n"/>
      <c r="R228" s="61" t="n"/>
      <c r="S228" s="62" t="n"/>
      <c r="T228" s="61" t="n"/>
    </row>
    <row r="229" ht="15.75" customHeight="1" s="38">
      <c r="A229" s="59" t="inlineStr">
        <is>
          <t>Minera San Pedro S.A.</t>
        </is>
      </c>
      <c r="B229" s="59" t="inlineStr">
        <is>
          <t>Concentrado de Cobre, Concentrado de Oro</t>
        </is>
      </c>
      <c r="C229" s="59" t="inlineStr">
        <is>
          <t>Til Til</t>
        </is>
      </c>
      <c r="D229" s="59" t="inlineStr">
        <is>
          <t>Proyectos Minería Sustentable (Caballo Muerto)</t>
        </is>
      </c>
      <c r="E229" s="59" t="n"/>
      <c r="F229" s="59" t="inlineStr">
        <is>
          <t>https://cl.linkedin.com/in/andr%C3%A9s-guerrero-6b1b1b1b</t>
        </is>
      </c>
      <c r="G229" s="59" t="inlineStr">
        <is>
          <t>Andrés Guerrero (GG)</t>
        </is>
      </c>
      <c r="H229" s="59" t="n"/>
      <c r="I229" s="59" t="inlineStr">
        <is>
          <t>(56) 2 2846 1855</t>
        </is>
      </c>
      <c r="J229" s="59" t="n"/>
      <c r="K229" s="59" t="inlineStr">
        <is>
          <t>85.466.200-7</t>
        </is>
      </c>
      <c r="L229" s="59" t="inlineStr">
        <is>
          <t>Ventas: GRANDE 2 (200.000 - 600.000 UF) | Empleados: 87</t>
        </is>
      </c>
      <c r="M229" s="59" t="inlineStr">
        <is>
          <t>Tier 1 - OPORTUNIDAD ACTIVA (VIP)</t>
        </is>
      </c>
      <c r="N229" s="61" t="n"/>
      <c r="O229" s="61" t="n"/>
      <c r="P229" s="61" t="n"/>
      <c r="Q229" s="61" t="n"/>
      <c r="R229" s="61" t="n"/>
      <c r="S229" s="62" t="n"/>
      <c r="T229" s="61" t="n"/>
    </row>
    <row r="230" ht="15.75" customHeight="1" s="38">
      <c r="A230" s="59" t="inlineStr">
        <is>
          <t>Mining TAG</t>
        </is>
      </c>
      <c r="B230" s="59" t="inlineStr">
        <is>
          <t>Sistema de Control de Producción en Minería Subterránea</t>
        </is>
      </c>
      <c r="C230" s="59" t="inlineStr">
        <is>
          <t>Santiago</t>
        </is>
      </c>
      <c r="D230" s="59" t="inlineStr">
        <is>
          <t>Investigación en Proceso</t>
        </is>
      </c>
      <c r="E230" s="59" t="n"/>
      <c r="F230" s="59" t="n"/>
      <c r="G230" s="59" t="inlineStr">
        <is>
          <t>Carlos Valencia Vera (Gerente General &amp; Digital Hub)</t>
        </is>
      </c>
      <c r="H230" s="59" t="inlineStr">
        <is>
          <t>c.valencia@miningtag.com</t>
        </is>
      </c>
      <c r="I230" s="59" t="inlineStr">
        <is>
          <t>(56) 9 4259 8524</t>
        </is>
      </c>
      <c r="J230" s="59" t="n"/>
      <c r="K230" s="59" t="inlineStr">
        <is>
          <t>76.119.409-7</t>
        </is>
      </c>
      <c r="L230" s="59" t="inlineStr">
        <is>
          <t>Ventas: GRANDE 3 (600.000 - 1.000.000 UF) | Empleados: 151</t>
        </is>
      </c>
      <c r="M230" s="59" t="inlineStr">
        <is>
          <t>Tier 1 - OPORTUNIDAD ACTIVA (VIP)</t>
        </is>
      </c>
      <c r="N230" s="61" t="n"/>
      <c r="O230" s="61" t="n"/>
      <c r="P230" s="61" t="n"/>
      <c r="Q230" s="61" t="n"/>
      <c r="R230" s="61" t="n"/>
      <c r="S230" s="62" t="n"/>
      <c r="T230" s="61" t="n"/>
    </row>
    <row r="231" ht="15.75" customHeight="1" s="38">
      <c r="A231" s="66" t="inlineStr">
        <is>
          <t>Minova</t>
        </is>
      </c>
      <c r="B231" s="66" t="inlineStr">
        <is>
          <t>Productos Químicos de Inyección en Macizos y Sellos Hídricos, Revestimientos de Túneles, Sistemas de Fortificación, Soluciones Geotécnicas para Proyectos de Minería, Construcción de Túneles y de Ingeniería de Terrenos de Superficie</t>
        </is>
      </c>
      <c r="C231" s="66" t="inlineStr">
        <is>
          <t>Santiago</t>
        </is>
      </c>
      <c r="D231" s="66" t="n"/>
      <c r="E231" s="66" t="n"/>
      <c r="F231" s="66" t="n"/>
      <c r="G231" s="66" t="inlineStr">
        <is>
          <t>Gerente de TI / CIO (Director de Tecnología)</t>
        </is>
      </c>
      <c r="H231" s="66" t="n"/>
      <c r="I231" s="66" t="inlineStr">
        <is>
          <t>(56) 9 8542 9799</t>
        </is>
      </c>
      <c r="J231" s="66" t="n"/>
      <c r="K231" s="66" t="inlineStr">
        <is>
          <t>76.091.943-8</t>
        </is>
      </c>
      <c r="L231" s="66" t="inlineStr">
        <is>
          <t>Ventas: GRANDE 3 (600.000 - 1.000.000 UF) | Empleados: 7</t>
        </is>
      </c>
      <c r="M231" s="66" t="inlineStr">
        <is>
          <t>Tier 1 - VIP (Alta Venta + DM)</t>
        </is>
      </c>
      <c r="N231" s="61" t="n"/>
      <c r="O231" s="61" t="n"/>
      <c r="P231" s="61" t="n"/>
      <c r="Q231" s="61" t="n"/>
      <c r="R231" s="61" t="n"/>
      <c r="S231" s="62" t="n"/>
      <c r="T231" s="61" t="n"/>
    </row>
    <row r="232" ht="15.75" customHeight="1" s="38">
      <c r="A232" s="59" t="inlineStr">
        <is>
          <t>Monitoring SpA</t>
        </is>
      </c>
      <c r="B232" s="59" t="inlineStr">
        <is>
          <t>Consultoría en Gestión de Activos</t>
        </is>
      </c>
      <c r="C232" s="59" t="inlineStr">
        <is>
          <t>Santiago</t>
        </is>
      </c>
      <c r="D232" s="59" t="inlineStr">
        <is>
          <t>Monitoreo Remoto &amp; IoT Minería</t>
        </is>
      </c>
      <c r="E232" s="59" t="n"/>
      <c r="F232" s="59" t="inlineStr">
        <is>
          <t>https://www.google.com/search?q=Monitoring+SpA+Chile+Gerente+CIO+LinkedIn</t>
        </is>
      </c>
      <c r="G232" s="59" t="inlineStr">
        <is>
          <t>Rodrigo Alfonso Fernandez (CTO)</t>
        </is>
      </c>
      <c r="H232" s="59" t="n"/>
      <c r="I232" s="59" t="inlineStr">
        <is>
          <t>(56) 2 2235 3090</t>
        </is>
      </c>
      <c r="J232" s="59" t="n"/>
      <c r="K232" s="59" t="inlineStr">
        <is>
          <t>76.244.849-1</t>
        </is>
      </c>
      <c r="L232" s="59" t="inlineStr">
        <is>
          <t>Ventas: GRANDE 2 (200.000 - 600.000 UF) | Empleados: 94</t>
        </is>
      </c>
      <c r="M232" s="59" t="inlineStr">
        <is>
          <t>Tier 1 - OPORTUNIDAD ACTIVA (VIP)</t>
        </is>
      </c>
      <c r="N232" s="61" t="n"/>
      <c r="O232" s="61" t="n"/>
      <c r="P232" s="61" t="n"/>
      <c r="Q232" s="61" t="n"/>
      <c r="R232" s="61" t="n"/>
      <c r="S232" s="62" t="n"/>
      <c r="T232" s="61" t="n"/>
    </row>
    <row r="233" ht="15.75" customHeight="1" s="38">
      <c r="A233" s="59" t="inlineStr">
        <is>
          <t>Mountain Drilling Ltda.</t>
        </is>
      </c>
      <c r="B233" s="59" t="inlineStr">
        <is>
          <t>Proyectos Helitransportables, Servicios de Perforación</t>
        </is>
      </c>
      <c r="C233" s="59" t="inlineStr">
        <is>
          <t>La Serena</t>
        </is>
      </c>
      <c r="D233" s="59" t="inlineStr">
        <is>
          <t>Desarrollo Técnico Perforación Diamantina</t>
        </is>
      </c>
      <c r="E233" s="59" t="n"/>
      <c r="F233" s="59" t="inlineStr">
        <is>
          <t>https://cl.linkedin.com/in/oscar-urbina-07a893b5</t>
        </is>
      </c>
      <c r="G233" s="59" t="inlineStr">
        <is>
          <t>Oscar Urbina (Gerente Gestion y Desarrollo)</t>
        </is>
      </c>
      <c r="H233" s="59" t="n"/>
      <c r="I233" s="59" t="inlineStr">
        <is>
          <t>(56) 9 4227 6346</t>
        </is>
      </c>
      <c r="J233" s="59" t="n"/>
      <c r="K233" s="59" t="inlineStr">
        <is>
          <t>76.322.002-8</t>
        </is>
      </c>
      <c r="L233" s="59" t="inlineStr">
        <is>
          <t>Ventas: GRANDE 2 (200.000 - 600.000 UF) | Empleados: 95</t>
        </is>
      </c>
      <c r="M233" s="59" t="inlineStr">
        <is>
          <t>Tier 1 - OPORTUNIDAD ACTIVA (VIP)</t>
        </is>
      </c>
      <c r="N233" s="61" t="n"/>
      <c r="O233" s="61" t="n"/>
      <c r="P233" s="61" t="n"/>
      <c r="Q233" s="61" t="n"/>
      <c r="R233" s="61" t="n"/>
      <c r="S233" s="62" t="n"/>
      <c r="T233" s="61" t="n"/>
    </row>
    <row r="234" ht="15.75" customHeight="1" s="38">
      <c r="A234" s="59" t="inlineStr">
        <is>
          <t>Multotec Chile S.A.</t>
        </is>
      </c>
      <c r="B234" s="59" t="inlineStr">
        <is>
          <t>Equipos para Procesamiento de Minerales, Plantas de Procesamiento de Minerales</t>
        </is>
      </c>
      <c r="C234" s="59" t="inlineStr">
        <is>
          <t>Santiago</t>
        </is>
      </c>
      <c r="D234" s="59" t="inlineStr">
        <is>
          <t>Muestreo Mineral &amp; Infraestructura Minera</t>
        </is>
      </c>
      <c r="E234" s="59" t="n"/>
      <c r="F234" s="59" t="inlineStr">
        <is>
          <t>https://cl.linkedin.com/in/mario-saavedra</t>
        </is>
      </c>
      <c r="G234" s="59" t="inlineStr">
        <is>
          <t>Mario Saavedra Vergara (CEO/Gerente General)</t>
        </is>
      </c>
      <c r="H234" s="59" t="n"/>
      <c r="I234" s="59" t="inlineStr">
        <is>
          <t>(56) 2 2745 3317</t>
        </is>
      </c>
      <c r="J234" s="59" t="n"/>
      <c r="K234" s="59" t="inlineStr">
        <is>
          <t>96.841.500-K</t>
        </is>
      </c>
      <c r="L234" s="59" t="inlineStr">
        <is>
          <t>Ventas: GRANDE 2 (200.000 - 600.000 UF) | Empleados: 78</t>
        </is>
      </c>
      <c r="M234" s="59" t="inlineStr">
        <is>
          <t>Tier 1 - OPORTUNIDAD ACTIVA (VIP)</t>
        </is>
      </c>
      <c r="N234" s="61" t="n"/>
      <c r="O234" s="61" t="n"/>
      <c r="P234" s="61" t="n"/>
      <c r="Q234" s="61" t="n"/>
      <c r="R234" s="61" t="n"/>
      <c r="S234" s="62" t="n"/>
      <c r="T234" s="61" t="n"/>
    </row>
    <row r="235" ht="15.75" customHeight="1" s="38">
      <c r="A235" s="59" t="inlineStr">
        <is>
          <t>NDU Ingeniería Ltda.</t>
        </is>
      </c>
      <c r="B235" s="59" t="inlineStr">
        <is>
          <t>Equipos Eléctricos</t>
        </is>
      </c>
      <c r="C235" s="59" t="inlineStr">
        <is>
          <t>Santiago</t>
        </is>
      </c>
      <c r="D235" s="59" t="inlineStr">
        <is>
          <t>Modernización Eléctrica &amp; Automatización</t>
        </is>
      </c>
      <c r="E235" s="59" t="n"/>
      <c r="F235" s="59" t="inlineStr">
        <is>
          <t>https://ndu.cl/</t>
        </is>
      </c>
      <c r="G235" s="59" t="inlineStr">
        <is>
          <t>Tania Deocares (Gerente General)</t>
        </is>
      </c>
      <c r="H235" s="59" t="n"/>
      <c r="I235" s="59" t="inlineStr">
        <is>
          <t>(56) 2 2963 9840</t>
        </is>
      </c>
      <c r="J235" s="59" t="n"/>
      <c r="K235" s="59" t="inlineStr">
        <is>
          <t>78.731.270-5</t>
        </is>
      </c>
      <c r="L235" s="59" t="inlineStr">
        <is>
          <t>Ventas: GRANDE 3 (600.000 - 1.000.000 UF) | Empleados: 45</t>
        </is>
      </c>
      <c r="M235" s="59" t="inlineStr">
        <is>
          <t>Tier 1 - OPORTUNIDAD ACTIVA (VIP)</t>
        </is>
      </c>
      <c r="N235" s="61" t="n"/>
      <c r="O235" s="61" t="n"/>
      <c r="P235" s="61" t="n"/>
      <c r="Q235" s="61" t="n"/>
      <c r="R235" s="61" t="n"/>
      <c r="S235" s="62" t="n"/>
      <c r="T235" s="61" t="n"/>
    </row>
    <row r="236" ht="15.75" customHeight="1" s="38">
      <c r="A236" s="59" t="inlineStr">
        <is>
          <t>Neptuno Pumps</t>
        </is>
      </c>
      <c r="B236" s="59" t="inlineStr">
        <is>
          <t>Bombas</t>
        </is>
      </c>
      <c r="C236" s="59" t="inlineStr">
        <is>
          <t>Iquique</t>
        </is>
      </c>
      <c r="D236" s="59" t="inlineStr">
        <is>
          <t>IoT &amp; Manufactura 4.0</t>
        </is>
      </c>
      <c r="E236" s="59" t="inlineStr">
        <is>
          <t>Congreso Innovación</t>
        </is>
      </c>
      <c r="F236" s="59" t="n"/>
      <c r="G236" s="59" t="inlineStr">
        <is>
          <t>Sergio Quijada Zuñiga (CTO)</t>
        </is>
      </c>
      <c r="H236" s="59" t="inlineStr">
        <is>
          <t>squijada@neptunopumps.com</t>
        </is>
      </c>
      <c r="I236" s="59" t="inlineStr">
        <is>
          <t>(56) 57 242 4685</t>
        </is>
      </c>
      <c r="J236" s="59" t="n"/>
      <c r="K236" s="59" t="inlineStr">
        <is>
          <t>95.440.000-K</t>
        </is>
      </c>
      <c r="L236" s="59" t="inlineStr">
        <is>
          <t>Ventas: GRANDE 4 (Mas de 1.000.000 UF) | Empleados: 20</t>
        </is>
      </c>
      <c r="M236" s="59" t="inlineStr">
        <is>
          <t>Tier 1 - OPORTUNIDAD ACTIVA (VIP)</t>
        </is>
      </c>
      <c r="N236" s="61" t="n"/>
      <c r="O236" s="61" t="n"/>
      <c r="P236" s="61" t="n"/>
      <c r="Q236" s="61" t="n"/>
      <c r="R236" s="61" t="n"/>
      <c r="S236" s="62" t="n"/>
      <c r="T236" s="61" t="n"/>
    </row>
    <row r="237" ht="15.75" customHeight="1" s="38">
      <c r="A237" s="66" t="inlineStr">
        <is>
          <t>New Tech Copper</t>
        </is>
      </c>
      <c r="B237" s="66" t="inlineStr">
        <is>
          <t>Diseño de Plantas SX-EW, Equipos para Plantas de EW</t>
        </is>
      </c>
      <c r="C237" s="66" t="inlineStr">
        <is>
          <t>Santiago</t>
        </is>
      </c>
      <c r="D237" s="66" t="n"/>
      <c r="E237" s="66" t="n"/>
      <c r="F237" s="66" t="n"/>
      <c r="G237" s="66" t="inlineStr">
        <is>
          <t>Gerente de TI / CIO (Director de Tecnología)</t>
        </is>
      </c>
      <c r="H237" s="66" t="n"/>
      <c r="I237" s="66" t="inlineStr">
        <is>
          <t>(56) 2 2783 2610</t>
        </is>
      </c>
      <c r="J237" s="66" t="n"/>
      <c r="K237" s="66" t="inlineStr">
        <is>
          <t>99.580.830-7</t>
        </is>
      </c>
      <c r="L237" s="66" t="inlineStr">
        <is>
          <t>Ventas: GRANDE 4 (Mas de 1.000.000 UF) | Empleados: 647</t>
        </is>
      </c>
      <c r="M237" s="66" t="inlineStr">
        <is>
          <t>Tier 1 - VIP (Alta Venta + DM)</t>
        </is>
      </c>
      <c r="N237" s="61" t="n"/>
      <c r="O237" s="61" t="n"/>
      <c r="P237" s="61" t="n"/>
      <c r="Q237" s="61" t="n"/>
      <c r="R237" s="61" t="n"/>
      <c r="S237" s="62" t="n"/>
      <c r="T237" s="61" t="n"/>
    </row>
    <row r="238" ht="15.75" customHeight="1" s="38">
      <c r="A238" s="66" t="inlineStr">
        <is>
          <t>Nicolaides Industrial S.A.</t>
        </is>
      </c>
      <c r="B238" s="66" t="inlineStr">
        <is>
          <t>Proveedor Destacado, Aislación Acústica, Aislación Térmica, Equipos de Control y Automatización, Protección Antiácida, Sistemas de Monitoreo de Procesos, Sistemas de Monitoreo Preventivo de Condiciones, Sistemas para Control de Emisiones</t>
        </is>
      </c>
      <c r="C238" s="66" t="inlineStr">
        <is>
          <t>Santiago</t>
        </is>
      </c>
      <c r="D238" s="66" t="n"/>
      <c r="E238" s="66" t="n"/>
      <c r="F238" s="66" t="n"/>
      <c r="G238" s="66" t="inlineStr">
        <is>
          <t>Gerente de TI / CIO (Director de Tecnología)</t>
        </is>
      </c>
      <c r="H238" s="66" t="n"/>
      <c r="I238" s="66" t="inlineStr">
        <is>
          <t>(56) 2 2352 0000</t>
        </is>
      </c>
      <c r="J238" s="66" t="inlineStr">
        <is>
          <t>http://www.nicolaides.cl</t>
        </is>
      </c>
      <c r="K238" s="66" t="inlineStr">
        <is>
          <t>76.163.257-4</t>
        </is>
      </c>
      <c r="L238" s="66" t="inlineStr">
        <is>
          <t>Ventas: GRANDE 3 (600.000 - 1.000.000 UF) | Empleados: 105</t>
        </is>
      </c>
      <c r="M238" s="66" t="inlineStr">
        <is>
          <t>Tier 1 - VIP (Alta Venta + DM)</t>
        </is>
      </c>
      <c r="N238" s="61" t="n"/>
      <c r="O238" s="61" t="n"/>
      <c r="P238" s="61" t="n"/>
      <c r="Q238" s="61" t="n"/>
      <c r="R238" s="61" t="n"/>
      <c r="S238" s="62" t="n"/>
      <c r="T238" s="61" t="n"/>
    </row>
    <row r="239" ht="15.75" customHeight="1" s="38">
      <c r="A239" s="59" t="inlineStr">
        <is>
          <t>Nicolaides Tratamiento de Aguas S.A.</t>
        </is>
      </c>
      <c r="B239" s="59" t="inlineStr">
        <is>
          <t>Proveedor Destacado, Plantas para Osmosis Inversa, Plantas para Tratamiento de Aguas Servidas, Plantas para Tratamiento de Efluentes, Plantas para Tratamiento de Riles, Productos Químicos para Osmosis Inversa, Productos Químicos para Torres de Enfriamiento y Calderas, Sistemas para Tratamiento de Aguas Industriales y Residuales, Tratamiento de Aguas Industriales</t>
        </is>
      </c>
      <c r="C239" s="59" t="inlineStr">
        <is>
          <t>Antofagasta</t>
        </is>
      </c>
      <c r="D239" s="59" t="inlineStr">
        <is>
          <t>Gestión Sistemas Internos</t>
        </is>
      </c>
      <c r="E239" s="59" t="inlineStr">
        <is>
          <t>LinkedIn</t>
        </is>
      </c>
      <c r="F239" s="59" t="inlineStr">
        <is>
          <t>https://cl.linkedin.com/in/victor-gonzalez-3652873a</t>
        </is>
      </c>
      <c r="G239" s="59" t="inlineStr">
        <is>
          <t>Victor Gonzalez (Jefe de Informatica)</t>
        </is>
      </c>
      <c r="H239" s="59" t="n"/>
      <c r="I239" s="59" t="inlineStr">
        <is>
          <t>(56) 2 2352 0000</t>
        </is>
      </c>
      <c r="J239" s="59" t="inlineStr">
        <is>
          <t>http://www.nicolaides.cl</t>
        </is>
      </c>
      <c r="K239" s="59" t="inlineStr">
        <is>
          <t>77.469.040-9</t>
        </is>
      </c>
      <c r="L239" s="59" t="inlineStr">
        <is>
          <t>Ventas: GRANDE 2 (200.000 - 600.000 UF) | Empleados: 18</t>
        </is>
      </c>
      <c r="M239" s="59" t="inlineStr">
        <is>
          <t>Tier 1 - OPORTUNIDAD ACTIVA (VIP)</t>
        </is>
      </c>
      <c r="N239" s="61" t="n"/>
      <c r="O239" s="61" t="n"/>
      <c r="P239" s="61" t="n"/>
      <c r="Q239" s="61" t="n"/>
      <c r="R239" s="61" t="n"/>
      <c r="S239" s="62" t="n"/>
      <c r="T239" s="61" t="n"/>
    </row>
    <row r="240" ht="15.75" customHeight="1" s="38">
      <c r="A240" s="66" t="inlineStr">
        <is>
          <t>Normet Chile Ltda.</t>
        </is>
      </c>
      <c r="B240" s="66" t="inlineStr">
        <is>
          <t>Aditivos para Hormigón, Camiones</t>
        </is>
      </c>
      <c r="C240" s="66" t="inlineStr">
        <is>
          <t>Santiago</t>
        </is>
      </c>
      <c r="D240" s="66" t="n"/>
      <c r="E240" s="66" t="n"/>
      <c r="F240" s="66" t="n"/>
      <c r="G240" s="66" t="inlineStr">
        <is>
          <t>Gerente de TI / CIO (Director de Tecnología)</t>
        </is>
      </c>
      <c r="H240" s="66" t="n"/>
      <c r="I240" s="66" t="inlineStr">
        <is>
          <t>(56) 2 2963 8600</t>
        </is>
      </c>
      <c r="J240" s="66" t="n"/>
      <c r="K240" s="66" t="inlineStr">
        <is>
          <t>76.000.937-7</t>
        </is>
      </c>
      <c r="L240" s="66" t="inlineStr">
        <is>
          <t>Ventas: GRANDE 4 (Mas de 1.000.000 UF) | Empleados: 162</t>
        </is>
      </c>
      <c r="M240" s="66" t="inlineStr">
        <is>
          <t>Tier 1 - VIP (Alta Venta + DM)</t>
        </is>
      </c>
      <c r="N240" s="61" t="n"/>
      <c r="O240" s="61" t="n"/>
      <c r="P240" s="61" t="n"/>
      <c r="Q240" s="61" t="n"/>
      <c r="R240" s="61" t="n"/>
      <c r="S240" s="62" t="n"/>
      <c r="T240" s="61" t="n"/>
    </row>
    <row r="241" ht="15.75" customHeight="1" s="38">
      <c r="A241" s="66" t="inlineStr">
        <is>
          <t>Nova Seguridad Ltda.</t>
        </is>
      </c>
      <c r="B241" s="66" t="inlineStr">
        <is>
          <t>Artículos para Protección Personal, Calzado para Seguridad</t>
        </is>
      </c>
      <c r="C241" s="66" t="inlineStr">
        <is>
          <t>Santiago</t>
        </is>
      </c>
      <c r="D241" s="66" t="n"/>
      <c r="E241" s="66" t="n"/>
      <c r="F241" s="66" t="n"/>
      <c r="G241" s="66" t="inlineStr">
        <is>
          <t>Gerente de TI / CIO (Director de Tecnología)</t>
        </is>
      </c>
      <c r="H241" s="66" t="n"/>
      <c r="I241" s="66" t="inlineStr">
        <is>
          <t>(56) 2 2472 8400</t>
        </is>
      </c>
      <c r="J241" s="66" t="n"/>
      <c r="K241" s="66" t="inlineStr">
        <is>
          <t>78.610.360-6</t>
        </is>
      </c>
      <c r="L241" s="66" t="inlineStr">
        <is>
          <t>Ventas: GRANDE 4 (Mas de 1.000.000 UF) | Empleados: 181</t>
        </is>
      </c>
      <c r="M241" s="66" t="inlineStr">
        <is>
          <t>Tier 1 - VIP (Alta Venta + DM)</t>
        </is>
      </c>
      <c r="N241" s="61" t="n"/>
      <c r="O241" s="61" t="n"/>
      <c r="P241" s="61" t="n"/>
      <c r="Q241" s="61" t="n"/>
      <c r="R241" s="61" t="n"/>
      <c r="S241" s="62" t="n"/>
      <c r="T241" s="61" t="n"/>
    </row>
    <row r="242" ht="15.75" customHeight="1" s="38">
      <c r="A242" s="66" t="inlineStr">
        <is>
          <t>Nueva Andimar VIP</t>
        </is>
      </c>
      <c r="B242" s="66" t="inlineStr">
        <is>
          <t>Transporte de Personal</t>
        </is>
      </c>
      <c r="C242" s="66" t="inlineStr">
        <is>
          <t>Santiago</t>
        </is>
      </c>
      <c r="D242" s="66" t="n"/>
      <c r="E242" s="66" t="n"/>
      <c r="F242" s="66" t="n"/>
      <c r="G242" s="66" t="inlineStr">
        <is>
          <t>Gerente de TI / CIO (Director de Tecnología)</t>
        </is>
      </c>
      <c r="H242" s="66" t="n"/>
      <c r="I242" s="66" t="inlineStr">
        <is>
          <t>(56) 9 4915 6683</t>
        </is>
      </c>
      <c r="J242" s="66" t="n"/>
      <c r="K242" s="66" t="inlineStr">
        <is>
          <t>78.511.870-7</t>
        </is>
      </c>
      <c r="L242" s="66" t="inlineStr">
        <is>
          <t>Ventas: GRANDE 4 (Mas de 1.000.000 UF) | Empleados: 907</t>
        </is>
      </c>
      <c r="M242" s="66" t="inlineStr">
        <is>
          <t>Tier 1 - VIP (Alta Venta + DM)</t>
        </is>
      </c>
      <c r="N242" s="61" t="n"/>
      <c r="O242" s="61" t="n"/>
      <c r="P242" s="61" t="n"/>
      <c r="Q242" s="61" t="n"/>
      <c r="R242" s="61" t="n"/>
      <c r="S242" s="62" t="n"/>
      <c r="T242" s="61" t="n"/>
    </row>
    <row r="243" ht="15.75" customHeight="1" s="38">
      <c r="A243" s="59" t="inlineStr">
        <is>
          <t>Nómade Chile</t>
        </is>
      </c>
      <c r="B243" s="59" t="inlineStr">
        <is>
          <t>Campamentos Mineros, Campamentos para Exploración</t>
        </is>
      </c>
      <c r="C243" s="59" t="inlineStr">
        <is>
          <t>Santiago</t>
        </is>
      </c>
      <c r="D243" s="59" t="inlineStr">
        <is>
          <t>Proyectos PMO en Zonas Extremas (Minería/Energía)</t>
        </is>
      </c>
      <c r="E243" s="59" t="n"/>
      <c r="F243" s="59" t="inlineStr">
        <is>
          <t>https://cl.linkedin.com/company/nomadechile</t>
        </is>
      </c>
      <c r="G243" s="59" t="inlineStr">
        <is>
          <t>Randolph Rufatt Proestakis (CEO)</t>
        </is>
      </c>
      <c r="H243" s="59" t="n"/>
      <c r="I243" s="59" t="inlineStr">
        <is>
          <t>(56) 2 2933 0500</t>
        </is>
      </c>
      <c r="J243" s="59" t="n"/>
      <c r="K243" s="59" t="inlineStr">
        <is>
          <t>76.101.122-7</t>
        </is>
      </c>
      <c r="L243" s="59" t="inlineStr">
        <is>
          <t>Ventas: GRANDE 2 (200.000 - 600.000 UF) | Empleados: 215</t>
        </is>
      </c>
      <c r="M243" s="59" t="inlineStr">
        <is>
          <t>Tier 1 - OPORTUNIDAD ACTIVA (VIP)</t>
        </is>
      </c>
      <c r="N243" s="61" t="n"/>
      <c r="O243" s="61" t="n"/>
      <c r="P243" s="61" t="n"/>
      <c r="Q243" s="61" t="n"/>
      <c r="R243" s="61" t="n"/>
      <c r="S243" s="62" t="n"/>
      <c r="T243" s="61" t="n"/>
    </row>
    <row r="244" ht="15.75" customHeight="1" s="38">
      <c r="A244" s="66" t="inlineStr">
        <is>
          <t>Odis SpA</t>
        </is>
      </c>
      <c r="B244" s="66" t="inlineStr">
        <is>
          <t>Candados para Alta Seguridad, Cerraduras, Cerrajería para Seguridad</t>
        </is>
      </c>
      <c r="C244" s="66" t="inlineStr">
        <is>
          <t>Santiago</t>
        </is>
      </c>
      <c r="D244" s="66" t="n"/>
      <c r="E244" s="66" t="n"/>
      <c r="F244" s="66" t="n"/>
      <c r="G244" s="66" t="inlineStr">
        <is>
          <t>Gerente de TI / CIO (Director de Tecnología)</t>
        </is>
      </c>
      <c r="H244" s="66" t="n"/>
      <c r="I244" s="66" t="inlineStr">
        <is>
          <t>(56) 2 2816 6000</t>
        </is>
      </c>
      <c r="J244" s="66" t="n"/>
      <c r="K244" s="66" t="inlineStr">
        <is>
          <t>76.414.822-3</t>
        </is>
      </c>
      <c r="L244" s="66" t="inlineStr">
        <is>
          <t>Ventas: GRANDE 4 (Mas de 1.000.000 UF) | Empleados: 254</t>
        </is>
      </c>
      <c r="M244" s="66" t="inlineStr">
        <is>
          <t>Tier 1 - VIP (Alta Venta + DM)</t>
        </is>
      </c>
      <c r="N244" s="61" t="n"/>
      <c r="O244" s="61" t="n"/>
      <c r="P244" s="61" t="n"/>
      <c r="Q244" s="61" t="n"/>
      <c r="R244" s="61" t="n"/>
      <c r="S244" s="62" t="n"/>
      <c r="T244" s="61" t="n"/>
    </row>
    <row r="245" ht="15.75" customHeight="1" s="38">
      <c r="A245" s="66" t="inlineStr">
        <is>
          <t>Orión 2000 S.A.</t>
        </is>
      </c>
      <c r="B245" s="66" t="inlineStr">
        <is>
          <t>Servicios Computacionales, Software</t>
        </is>
      </c>
      <c r="C245" s="66" t="inlineStr">
        <is>
          <t>Santiago</t>
        </is>
      </c>
      <c r="D245" s="66" t="n"/>
      <c r="E245" s="66" t="n"/>
      <c r="F245" s="66" t="n"/>
      <c r="G245" s="66" t="inlineStr">
        <is>
          <t>Gerente de TI / CIO (Director de Tecnología)</t>
        </is>
      </c>
      <c r="H245" s="66" t="n"/>
      <c r="I245" s="66" t="inlineStr">
        <is>
          <t>(56) 2 2640 3900</t>
        </is>
      </c>
      <c r="J245" s="66" t="n"/>
      <c r="K245" s="66" t="inlineStr">
        <is>
          <t>96.899.890-0</t>
        </is>
      </c>
      <c r="L245" s="66" t="inlineStr">
        <is>
          <t>Ventas: GRANDE 4 (Mas de 1.000.000 UF) | Empleados: 55</t>
        </is>
      </c>
      <c r="M245" s="66" t="inlineStr">
        <is>
          <t>Tier 1 - VIP (Alta Venta + DM)</t>
        </is>
      </c>
      <c r="N245" s="61" t="n"/>
      <c r="O245" s="61" t="n"/>
      <c r="P245" s="61" t="n"/>
      <c r="Q245" s="61" t="n"/>
      <c r="R245" s="61" t="n"/>
      <c r="S245" s="62" t="n"/>
      <c r="T245" s="61" t="n"/>
    </row>
    <row r="246" ht="15.75" customHeight="1" s="38">
      <c r="A246" s="66" t="inlineStr">
        <is>
          <t>Otis Chile Ltda.</t>
        </is>
      </c>
      <c r="B246" s="66" t="inlineStr">
        <is>
          <t>Ascensores</t>
        </is>
      </c>
      <c r="C246" s="66" t="inlineStr">
        <is>
          <t>Santiago</t>
        </is>
      </c>
      <c r="D246" s="66" t="n"/>
      <c r="E246" s="66" t="n"/>
      <c r="F246" s="66" t="n"/>
      <c r="G246" s="66" t="inlineStr">
        <is>
          <t>Gerente de TI / CIO (Director de Tecnología)</t>
        </is>
      </c>
      <c r="H246" s="66" t="n"/>
      <c r="I246" s="66" t="inlineStr">
        <is>
          <t>(56) 2 2355 2132</t>
        </is>
      </c>
      <c r="J246" s="66" t="n"/>
      <c r="K246" s="66" t="inlineStr">
        <is>
          <t>96.797.340-8</t>
        </is>
      </c>
      <c r="L246" s="66" t="inlineStr">
        <is>
          <t>Ventas: GRANDE 4 (Mas de 1.000.000 UF) | Empleados: 198</t>
        </is>
      </c>
      <c r="M246" s="66" t="inlineStr">
        <is>
          <t>Tier 1 - VIP (Alta Venta + DM)</t>
        </is>
      </c>
      <c r="N246" s="61" t="n"/>
      <c r="O246" s="61" t="n"/>
      <c r="P246" s="61" t="n"/>
      <c r="Q246" s="61" t="n"/>
      <c r="R246" s="61" t="n"/>
      <c r="S246" s="62" t="n"/>
      <c r="T246" s="61" t="n"/>
    </row>
    <row r="247" ht="15.75" customHeight="1" s="38">
      <c r="A247" s="66" t="inlineStr">
        <is>
          <t>PGIC</t>
        </is>
      </c>
      <c r="B247" s="66" t="inlineStr">
        <is>
          <t>Bombas Autocebantes, Bombas Centrifugas de Pulpa Mineral, Bombas Centrifugas Horizontales para Procesos en General, Bombas de Desplazamiento Positivo, Bombas de Pozo Profundo, Bombas para Dosificación, Bombas Sumergibles para Dewatering de Agua y Fluidos con Sólidos, Bombas Verticales para Bombeo de Fluidos con Sólidos y Fluidos Limpios</t>
        </is>
      </c>
      <c r="C247" s="66" t="inlineStr">
        <is>
          <t>Santiago</t>
        </is>
      </c>
      <c r="D247" s="66" t="n"/>
      <c r="E247" s="66" t="n"/>
      <c r="F247" s="66" t="n"/>
      <c r="G247" s="66" t="inlineStr">
        <is>
          <t>Gerente de TI / CIO (Director de Tecnología)</t>
        </is>
      </c>
      <c r="H247" s="66" t="n"/>
      <c r="I247" s="66" t="inlineStr">
        <is>
          <t>(56) 2 2496 9700</t>
        </is>
      </c>
      <c r="J247" s="66" t="inlineStr">
        <is>
          <t>http://www.pgic.cl</t>
        </is>
      </c>
      <c r="K247" s="66" t="inlineStr">
        <is>
          <t>78.110.590-2</t>
        </is>
      </c>
      <c r="L247" s="66" t="inlineStr">
        <is>
          <t>Ventas: GRANDE 4 (Mas de 1.000.000 UF) | Empleados: 165</t>
        </is>
      </c>
      <c r="M247" s="66" t="inlineStr">
        <is>
          <t>Tier 1 - VIP (Alta Venta + DM)</t>
        </is>
      </c>
      <c r="N247" s="61" t="n"/>
      <c r="O247" s="61" t="n"/>
      <c r="P247" s="61" t="n"/>
      <c r="Q247" s="61" t="n"/>
      <c r="R247" s="61" t="n"/>
      <c r="S247" s="62" t="n"/>
      <c r="T247" s="61" t="n"/>
    </row>
    <row r="248" ht="15.75" customHeight="1" s="38">
      <c r="A248" s="66" t="inlineStr">
        <is>
          <t>PPE Ltda.</t>
        </is>
      </c>
      <c r="B248" s="66" t="inlineStr">
        <is>
          <t>Productos para Eficiencia Energética, Sistemas para Protección Catódica</t>
        </is>
      </c>
      <c r="C248" s="66" t="inlineStr">
        <is>
          <t>Santiago</t>
        </is>
      </c>
      <c r="D248" s="66" t="n"/>
      <c r="E248" s="66" t="n"/>
      <c r="F248" s="66" t="n"/>
      <c r="G248" s="66" t="inlineStr">
        <is>
          <t>Gerente de TI / CIO (Director de Tecnología)</t>
        </is>
      </c>
      <c r="H248" s="66" t="n"/>
      <c r="I248" s="66" t="inlineStr">
        <is>
          <t>(56) 2 2421 5100</t>
        </is>
      </c>
      <c r="J248" s="66" t="n"/>
      <c r="K248" s="66" t="inlineStr">
        <is>
          <t>77.358.940-2</t>
        </is>
      </c>
      <c r="L248" s="66" t="inlineStr">
        <is>
          <t>Ventas: GRANDE 3 (600.000 - 1.000.000 UF) | Empleados: 78</t>
        </is>
      </c>
      <c r="M248" s="66" t="inlineStr">
        <is>
          <t>Tier 1 - VIP (Alta Venta + DM)</t>
        </is>
      </c>
      <c r="N248" s="61" t="n"/>
      <c r="O248" s="61" t="n"/>
      <c r="P248" s="61" t="n"/>
      <c r="Q248" s="61" t="n"/>
      <c r="R248" s="61" t="n"/>
      <c r="S248" s="62" t="n"/>
      <c r="T248" s="61" t="n"/>
    </row>
    <row r="249" ht="15.75" customHeight="1" s="38">
      <c r="A249" s="66" t="inlineStr">
        <is>
          <t>PPI, Precisión Pulley &amp; Idler Chile</t>
        </is>
      </c>
      <c r="B249" s="66" t="inlineStr">
        <is>
          <t>Polines Centradores para Correas Transportadoras, Rodillos</t>
        </is>
      </c>
      <c r="C249" s="66" t="inlineStr">
        <is>
          <t>Santiago</t>
        </is>
      </c>
      <c r="D249" s="66" t="n"/>
      <c r="E249" s="66" t="n"/>
      <c r="F249" s="66" t="n"/>
      <c r="G249" s="66" t="inlineStr">
        <is>
          <t>Gerente de TI / CIO (Director de Tecnología)</t>
        </is>
      </c>
      <c r="H249" s="66" t="n"/>
      <c r="I249" s="66" t="inlineStr">
        <is>
          <t>(56) 2 2366 8100</t>
        </is>
      </c>
      <c r="J249" s="66" t="n"/>
      <c r="K249" s="66" t="inlineStr">
        <is>
          <t>96.632.440-6</t>
        </is>
      </c>
      <c r="L249" s="66" t="inlineStr">
        <is>
          <t>Ventas: GRANDE 3 (600.000 - 1.000.000 UF) | Empleados: 134</t>
        </is>
      </c>
      <c r="M249" s="66" t="inlineStr">
        <is>
          <t>Tier 1 - VIP (Alta Venta + DM)</t>
        </is>
      </c>
      <c r="N249" s="61" t="n"/>
      <c r="O249" s="61" t="n"/>
      <c r="P249" s="61" t="n"/>
      <c r="Q249" s="61" t="n"/>
      <c r="R249" s="61" t="n"/>
      <c r="S249" s="62" t="n"/>
      <c r="T249" s="61" t="n"/>
    </row>
    <row r="250" ht="15.75" customHeight="1" s="38">
      <c r="A250" s="66" t="inlineStr">
        <is>
          <t>Parker Hannifin Corporation Chile</t>
        </is>
      </c>
      <c r="B250" s="66" t="inlineStr">
        <is>
          <t>Equipos para la Minería</t>
        </is>
      </c>
      <c r="C250" s="66" t="inlineStr">
        <is>
          <t>Santiago</t>
        </is>
      </c>
      <c r="D250" s="66" t="n"/>
      <c r="E250" s="66" t="n"/>
      <c r="F250" s="66" t="n"/>
      <c r="G250" s="66" t="inlineStr">
        <is>
          <t>Gerente de TI / CIO (Director de Tecnología)</t>
        </is>
      </c>
      <c r="H250" s="66" t="n"/>
      <c r="I250" s="66" t="inlineStr">
        <is>
          <t>(56) 2 2303 9640</t>
        </is>
      </c>
      <c r="J250" s="66" t="n"/>
      <c r="K250" s="66" t="inlineStr">
        <is>
          <t>77.343.790-4</t>
        </is>
      </c>
      <c r="L250" s="66" t="inlineStr">
        <is>
          <t>Ventas: GRANDE 3 (600.000 - 1.000.000 UF) | Empleados: 37</t>
        </is>
      </c>
      <c r="M250" s="66" t="inlineStr">
        <is>
          <t>Tier 1 - VIP (Alta Venta + DM)</t>
        </is>
      </c>
      <c r="N250" s="61" t="n"/>
      <c r="O250" s="61" t="n"/>
      <c r="P250" s="61" t="n"/>
      <c r="Q250" s="61" t="n"/>
      <c r="R250" s="61" t="n"/>
      <c r="S250" s="62" t="n"/>
      <c r="T250" s="61" t="n"/>
    </row>
    <row r="251" ht="15.75" customHeight="1" s="38">
      <c r="A251" s="59" t="inlineStr">
        <is>
          <t>Perforock</t>
        </is>
      </c>
      <c r="B251" s="59" t="inlineStr">
        <is>
          <t>Aceros para Perforación, Arriendo de Equipos para la Minería, Equipos para Perforación</t>
        </is>
      </c>
      <c r="C251" s="59" t="inlineStr">
        <is>
          <t>Santiago</t>
        </is>
      </c>
      <c r="D251" s="59" t="inlineStr">
        <is>
          <t>Monitoreo Remoto Perforación</t>
        </is>
      </c>
      <c r="E251" s="59" t="n"/>
      <c r="F251" s="59" t="inlineStr">
        <is>
          <t>https://cl.linkedin.com/in/patricio-reinoso-villarroel-b9247167</t>
        </is>
      </c>
      <c r="G251" s="59" t="inlineStr">
        <is>
          <t>Patricio Reinoso (Gerente General)</t>
        </is>
      </c>
      <c r="H251" s="59" t="n"/>
      <c r="I251" s="59" t="inlineStr">
        <is>
          <t>(56) 2 2617 2380</t>
        </is>
      </c>
      <c r="J251" s="59" t="n"/>
      <c r="K251" s="59" t="inlineStr">
        <is>
          <t>79.511.120-4</t>
        </is>
      </c>
      <c r="L251" s="59" t="inlineStr">
        <is>
          <t>Ventas: GRANDE 2 (200.000 - 600.000 UF) | Empleados: 36</t>
        </is>
      </c>
      <c r="M251" s="59" t="inlineStr">
        <is>
          <t>Tier 1 - OPORTUNIDAD ACTIVA (VIP)</t>
        </is>
      </c>
      <c r="N251" s="61" t="n"/>
      <c r="O251" s="61" t="n"/>
      <c r="P251" s="61" t="n"/>
      <c r="Q251" s="61" t="n"/>
      <c r="R251" s="61" t="n"/>
      <c r="S251" s="62" t="n"/>
      <c r="T251" s="61" t="n"/>
    </row>
    <row r="252" ht="15.75" customHeight="1" s="38">
      <c r="A252" s="66" t="inlineStr">
        <is>
          <t>Peri Chile Ltda.</t>
        </is>
      </c>
      <c r="B252" s="66" t="inlineStr">
        <is>
          <t>Andamios, Encofrados, Plataformas para Trabajo en Altura</t>
        </is>
      </c>
      <c r="C252" s="66" t="inlineStr">
        <is>
          <t>Santiago</t>
        </is>
      </c>
      <c r="D252" s="66" t="n"/>
      <c r="E252" s="66" t="n"/>
      <c r="F252" s="66" t="n"/>
      <c r="G252" s="66" t="inlineStr">
        <is>
          <t>Gerente de TI / CIO (Director de Tecnología)</t>
        </is>
      </c>
      <c r="H252" s="66" t="n"/>
      <c r="I252" s="66" t="inlineStr">
        <is>
          <t>(56) 2 2444 6000</t>
        </is>
      </c>
      <c r="J252" s="66" t="n"/>
      <c r="K252" s="66" t="inlineStr">
        <is>
          <t>78.874.090-5</t>
        </is>
      </c>
      <c r="L252" s="66" t="inlineStr">
        <is>
          <t>Ventas: GRANDE 4 (Mas de 1.000.000 UF) | Empleados: 205</t>
        </is>
      </c>
      <c r="M252" s="66" t="inlineStr">
        <is>
          <t>Tier 1 - VIP (Alta Venta + DM)</t>
        </is>
      </c>
      <c r="N252" s="61" t="n"/>
      <c r="O252" s="61" t="n"/>
      <c r="P252" s="61" t="n"/>
      <c r="Q252" s="61" t="n"/>
      <c r="R252" s="61" t="n"/>
      <c r="S252" s="62" t="n"/>
      <c r="T252" s="61" t="n"/>
    </row>
    <row r="253" ht="15.75" customHeight="1" s="38">
      <c r="A253" s="59" t="inlineStr">
        <is>
          <t>Pernostock Ltda.</t>
        </is>
      </c>
      <c r="B253" s="59" t="inlineStr">
        <is>
          <t>Aceros Especiales, Artículos para Fijación y Sujeción</t>
        </is>
      </c>
      <c r="C253" s="59" t="inlineStr">
        <is>
          <t>Santiago</t>
        </is>
      </c>
      <c r="D253" s="59" t="inlineStr">
        <is>
          <t>Upgrade WMS Control Stock Especializado</t>
        </is>
      </c>
      <c r="E253" s="59" t="n"/>
      <c r="F253" s="59" t="inlineStr">
        <is>
          <t>https://www.pernostock.cl/</t>
        </is>
      </c>
      <c r="G253" s="59" t="inlineStr">
        <is>
          <t>Alberto Harrison (General Manager)</t>
        </is>
      </c>
      <c r="H253" s="59" t="n"/>
      <c r="I253" s="59" t="inlineStr">
        <is>
          <t>(56) 2 2636 6100</t>
        </is>
      </c>
      <c r="J253" s="59" t="n"/>
      <c r="K253" s="59" t="inlineStr">
        <is>
          <t>78.012.550-0</t>
        </is>
      </c>
      <c r="L253" s="59" t="inlineStr">
        <is>
          <t>Ventas: GRANDE 2 (200.000 - 600.000 UF) | Empleados: 51</t>
        </is>
      </c>
      <c r="M253" s="59" t="inlineStr">
        <is>
          <t>Tier 1 - OPORTUNIDAD ACTIVA (VIP)</t>
        </is>
      </c>
      <c r="N253" s="61" t="n"/>
      <c r="O253" s="61" t="n"/>
      <c r="P253" s="61" t="n"/>
      <c r="Q253" s="61" t="n"/>
      <c r="R253" s="61" t="n"/>
      <c r="S253" s="62" t="n"/>
      <c r="T253" s="61" t="n"/>
    </row>
    <row r="254" ht="15.75" customHeight="1" s="38">
      <c r="A254" s="59" t="inlineStr">
        <is>
          <t>Pesamatic S.A.</t>
        </is>
      </c>
      <c r="B254" s="59" t="inlineStr">
        <is>
          <t>Automatización Industrial, Básculas</t>
        </is>
      </c>
      <c r="C254" s="59" t="inlineStr">
        <is>
          <t>Santiago</t>
        </is>
      </c>
      <c r="D254" s="59" t="inlineStr">
        <is>
          <t>Automatización Pesaje Industrial</t>
        </is>
      </c>
      <c r="E254" s="59" t="n"/>
      <c r="F254" s="59" t="inlineStr">
        <is>
          <t>https://www.google.com/search?q=Pesamatic+S.A.+Chile+LinkedIn</t>
        </is>
      </c>
      <c r="G254" s="59" t="inlineStr">
        <is>
          <t>Carlos Cortés (Jefe Post Venta)</t>
        </is>
      </c>
      <c r="H254" s="59" t="n"/>
      <c r="I254" s="59" t="inlineStr">
        <is>
          <t>(56) 2 2790 4000</t>
        </is>
      </c>
      <c r="J254" s="59" t="n"/>
      <c r="K254" s="59" t="inlineStr">
        <is>
          <t>80.975.200-3</t>
        </is>
      </c>
      <c r="L254" s="59" t="inlineStr">
        <is>
          <t>Ventas: GRANDE 2 (200.000 - 600.000 UF) | Empleados: 137</t>
        </is>
      </c>
      <c r="M254" s="59" t="inlineStr">
        <is>
          <t>Tier 1 - OPORTUNIDAD ACTIVA (VIP)</t>
        </is>
      </c>
      <c r="N254" s="61" t="n"/>
      <c r="O254" s="61" t="n"/>
      <c r="P254" s="61" t="n"/>
      <c r="Q254" s="61" t="n"/>
      <c r="R254" s="61" t="n"/>
      <c r="S254" s="62" t="n"/>
      <c r="T254" s="61" t="n"/>
    </row>
    <row r="255" ht="15.75" customHeight="1" s="38">
      <c r="A255" s="66" t="inlineStr">
        <is>
          <t>Petricio Industrial S.A.</t>
        </is>
      </c>
      <c r="B255" s="66" t="inlineStr">
        <is>
          <t>Calderería</t>
        </is>
      </c>
      <c r="C255" s="66" t="inlineStr">
        <is>
          <t>Santiago</t>
        </is>
      </c>
      <c r="D255" s="66" t="n"/>
      <c r="E255" s="66" t="n"/>
      <c r="F255" s="66" t="n"/>
      <c r="G255" s="66" t="inlineStr">
        <is>
          <t>Gerente de TI / CIO (Director de Tecnología)</t>
        </is>
      </c>
      <c r="H255" s="66" t="n"/>
      <c r="I255" s="66" t="inlineStr">
        <is>
          <t>(56) 2 2623 0117</t>
        </is>
      </c>
      <c r="J255" s="66" t="n"/>
      <c r="K255" s="66" t="inlineStr">
        <is>
          <t>96.048.000-7</t>
        </is>
      </c>
      <c r="L255" s="66" t="inlineStr">
        <is>
          <t>Ventas: GRANDE 3 (600.000 - 1.000.000 UF) | Empleados: 313</t>
        </is>
      </c>
      <c r="M255" s="66" t="inlineStr">
        <is>
          <t>Tier 1 - VIP (Alta Venta + DM)</t>
        </is>
      </c>
      <c r="N255" s="61" t="n"/>
      <c r="O255" s="61" t="n"/>
      <c r="P255" s="61" t="n"/>
      <c r="Q255" s="61" t="n"/>
      <c r="R255" s="61" t="n"/>
      <c r="S255" s="62" t="n"/>
      <c r="T255" s="61" t="n"/>
    </row>
    <row r="256" ht="15.75" customHeight="1" s="38">
      <c r="A256" s="66" t="inlineStr">
        <is>
          <t>Petroflex</t>
        </is>
      </c>
      <c r="B256" s="66" t="inlineStr">
        <is>
          <t>Tuberías en HDPE</t>
        </is>
      </c>
      <c r="C256" s="66" t="inlineStr">
        <is>
          <t>Santiago</t>
        </is>
      </c>
      <c r="D256" s="66" t="n"/>
      <c r="E256" s="66" t="n"/>
      <c r="F256" s="66" t="n"/>
      <c r="G256" s="66" t="inlineStr">
        <is>
          <t>Gerente de TI / CIO (Director de Tecnología)</t>
        </is>
      </c>
      <c r="H256" s="66" t="n"/>
      <c r="I256" s="66" t="inlineStr">
        <is>
          <t>(56) 2 2482 6400</t>
        </is>
      </c>
      <c r="J256" s="66" t="n"/>
      <c r="K256" s="66" t="inlineStr">
        <is>
          <t>96.832.300-8</t>
        </is>
      </c>
      <c r="L256" s="66" t="inlineStr">
        <is>
          <t>Ventas: GRANDE 4 (Mas de 1.000.000 UF) | Empleados: 168</t>
        </is>
      </c>
      <c r="M256" s="66" t="inlineStr">
        <is>
          <t>Tier 1 - VIP (Alta Venta + DM)</t>
        </is>
      </c>
      <c r="N256" s="61" t="n"/>
      <c r="O256" s="61" t="n"/>
      <c r="P256" s="61" t="n"/>
      <c r="Q256" s="61" t="n"/>
      <c r="R256" s="61" t="n"/>
      <c r="S256" s="62" t="n"/>
      <c r="T256" s="61" t="n"/>
    </row>
    <row r="257" ht="15.75" customHeight="1" s="38">
      <c r="A257" s="59" t="inlineStr">
        <is>
          <t>Phoenix Contact Chile S.A.</t>
        </is>
      </c>
      <c r="B257" s="59" t="inlineStr">
        <is>
          <t>Automatización, Conectores Eléctricos</t>
        </is>
      </c>
      <c r="C257" s="59" t="inlineStr">
        <is>
          <t>Santiago</t>
        </is>
      </c>
      <c r="D257" s="59" t="inlineStr">
        <is>
          <t>Investigación en Proceso</t>
        </is>
      </c>
      <c r="E257" s="59" t="n"/>
      <c r="F257" s="59" t="n"/>
      <c r="G257" s="59" t="inlineStr">
        <is>
          <t>Eduardo Tapia (Tech Lead / Product Manager)</t>
        </is>
      </c>
      <c r="H257" s="59" t="inlineStr">
        <is>
          <t>etapia@phoenixcontact.cl</t>
        </is>
      </c>
      <c r="I257" s="59" t="inlineStr">
        <is>
          <t>(56) 2 2652 2000</t>
        </is>
      </c>
      <c r="J257" s="59" t="n"/>
      <c r="K257" s="59" t="inlineStr">
        <is>
          <t>76.445.140-6</t>
        </is>
      </c>
      <c r="L257" s="59" t="inlineStr">
        <is>
          <t>Ventas: GRANDE 3 (600.000 - 1.000.000 UF) | Empleados: 42</t>
        </is>
      </c>
      <c r="M257" s="59" t="inlineStr">
        <is>
          <t>Tier 1 - OPORTUNIDAD ACTIVA (VIP)</t>
        </is>
      </c>
      <c r="N257" s="61" t="n"/>
      <c r="O257" s="61" t="n"/>
      <c r="P257" s="61" t="n"/>
      <c r="Q257" s="61" t="n"/>
      <c r="R257" s="61" t="n"/>
      <c r="S257" s="62" t="n"/>
      <c r="T257" s="61" t="n"/>
    </row>
    <row r="258" ht="15.75" customHeight="1" s="38">
      <c r="A258" s="59" t="inlineStr">
        <is>
          <t>Piddo, Jorge Piddo y Cía. Ltda.</t>
        </is>
      </c>
      <c r="B258" s="59" t="inlineStr">
        <is>
          <t>Administración de Proyectos</t>
        </is>
      </c>
      <c r="C258" s="59" t="inlineStr">
        <is>
          <t>Santiago</t>
        </is>
      </c>
      <c r="D258" s="59" t="inlineStr">
        <is>
          <t>Grandes Proyectos Infraestructura</t>
        </is>
      </c>
      <c r="E258" s="59" t="n"/>
      <c r="F258" s="59" t="inlineStr">
        <is>
          <t>https://cl.linkedin.com/in/efra%C3%ADn-jaque-carre%C3%B1o-1b2b80145</t>
        </is>
      </c>
      <c r="G258" s="59" t="inlineStr">
        <is>
          <t>Efraín Jaque Carreño (Gerente Ingeniería)</t>
        </is>
      </c>
      <c r="H258" s="59" t="n"/>
      <c r="I258" s="59" t="inlineStr">
        <is>
          <t>(56) 2 2233 6000</t>
        </is>
      </c>
      <c r="J258" s="59" t="n"/>
      <c r="K258" s="59" t="inlineStr">
        <is>
          <t>87.786.100-7</t>
        </is>
      </c>
      <c r="L258" s="59" t="inlineStr">
        <is>
          <t>Ventas: GRANDE 2 (200.000 - 600.000 UF) | Empleados: 140</t>
        </is>
      </c>
      <c r="M258" s="59" t="inlineStr">
        <is>
          <t>Tier 1 - OPORTUNIDAD ACTIVA (VIP)</t>
        </is>
      </c>
      <c r="N258" s="61" t="n"/>
      <c r="O258" s="61" t="n"/>
      <c r="P258" s="61" t="n"/>
      <c r="Q258" s="61" t="n"/>
      <c r="R258" s="61" t="n"/>
      <c r="S258" s="62" t="n"/>
      <c r="T258" s="61" t="n"/>
    </row>
    <row r="259" ht="15.75" customHeight="1" s="38">
      <c r="A259" s="66" t="inlineStr">
        <is>
          <t>Pimasa S.A.</t>
        </is>
      </c>
      <c r="B259" s="66" t="inlineStr">
        <is>
          <t>Sistemas para Control de Polvo</t>
        </is>
      </c>
      <c r="C259" s="66" t="inlineStr">
        <is>
          <t>Santiago</t>
        </is>
      </c>
      <c r="D259" s="66" t="n"/>
      <c r="E259" s="66" t="n"/>
      <c r="F259" s="66" t="n"/>
      <c r="G259" s="66" t="inlineStr">
        <is>
          <t>Gerente de TI / CIO (Director de Tecnología)</t>
        </is>
      </c>
      <c r="H259" s="66" t="n"/>
      <c r="I259" s="66" t="inlineStr">
        <is>
          <t>(56) 2 2499 1000</t>
        </is>
      </c>
      <c r="J259" s="66" t="n"/>
      <c r="K259" s="66" t="inlineStr">
        <is>
          <t>93.305.000-9</t>
        </is>
      </c>
      <c r="L259" s="66" t="inlineStr">
        <is>
          <t>Ventas: GRANDE 4 (Mas de 1.000.000 UF) | Empleados: 177</t>
        </is>
      </c>
      <c r="M259" s="66" t="inlineStr">
        <is>
          <t>Tier 1 - VIP (Alta Venta + DM)</t>
        </is>
      </c>
      <c r="N259" s="61" t="n"/>
      <c r="O259" s="61" t="n"/>
      <c r="P259" s="61" t="n"/>
      <c r="Q259" s="61" t="n"/>
      <c r="R259" s="61" t="n"/>
      <c r="S259" s="62" t="n"/>
      <c r="T259" s="61" t="n"/>
    </row>
    <row r="260" ht="15.75" customHeight="1" s="38">
      <c r="A260" s="66" t="inlineStr">
        <is>
          <t>Pingon</t>
        </is>
      </c>
      <c r="B260" s="66" t="inlineStr">
        <is>
          <t>Arriendo de Grúas Torre</t>
        </is>
      </c>
      <c r="C260" s="66" t="inlineStr">
        <is>
          <t>Santiago</t>
        </is>
      </c>
      <c r="D260" s="66" t="n"/>
      <c r="E260" s="66" t="n"/>
      <c r="F260" s="66" t="n"/>
      <c r="G260" s="66" t="inlineStr">
        <is>
          <t>Gerente de TI / CIO (Director de Tecnología)</t>
        </is>
      </c>
      <c r="H260" s="66" t="n"/>
      <c r="I260" s="66" t="inlineStr">
        <is>
          <t>(56) 2 2622 2828</t>
        </is>
      </c>
      <c r="J260" s="66" t="n"/>
      <c r="K260" s="66" t="inlineStr">
        <is>
          <t>77.953.640-8</t>
        </is>
      </c>
      <c r="L260" s="66" t="inlineStr">
        <is>
          <t>Ventas: GRANDE 3 (600.000 - 1.000.000 UF) | Empleados: 276</t>
        </is>
      </c>
      <c r="M260" s="66" t="inlineStr">
        <is>
          <t>Tier 1 - VIP (Alta Venta + DM)</t>
        </is>
      </c>
      <c r="N260" s="61" t="n"/>
      <c r="O260" s="61" t="n"/>
      <c r="P260" s="61" t="n"/>
      <c r="Q260" s="61" t="n"/>
      <c r="R260" s="61" t="n"/>
      <c r="S260" s="62" t="n"/>
      <c r="T260" s="61" t="n"/>
    </row>
    <row r="261" ht="15.75" customHeight="1" s="38">
      <c r="A261" s="59" t="inlineStr">
        <is>
          <t>Pizarreño S.A.</t>
        </is>
      </c>
      <c r="B261" s="59" t="inlineStr">
        <is>
          <t>Productos para la Construcción</t>
        </is>
      </c>
      <c r="C261" s="59" t="inlineStr">
        <is>
          <t>Santiago</t>
        </is>
      </c>
      <c r="D261" s="59" t="inlineStr">
        <is>
          <t>Investigación en Proceso</t>
        </is>
      </c>
      <c r="E261" s="59" t="n"/>
      <c r="F261" s="59" t="n"/>
      <c r="G261" s="59" t="inlineStr">
        <is>
          <t>Cristian Celedón (Jefe de Sistemas)</t>
        </is>
      </c>
      <c r="H261" s="59" t="inlineStr">
        <is>
          <t>cristian.celedon@etexgroup.com</t>
        </is>
      </c>
      <c r="I261" s="59" t="inlineStr">
        <is>
          <t>(56) 2 2391 2200</t>
        </is>
      </c>
      <c r="J261" s="59" t="n"/>
      <c r="K261" s="59" t="inlineStr">
        <is>
          <t>90.707.000-K</t>
        </is>
      </c>
      <c r="L261" s="59" t="inlineStr">
        <is>
          <t>Ventas: GRANDE 3 (600.000 - 1.000.000 UF) | Empleados: 23</t>
        </is>
      </c>
      <c r="M261" s="59" t="inlineStr">
        <is>
          <t>Tier 1 - OPORTUNIDAD ACTIVA (VIP)</t>
        </is>
      </c>
      <c r="N261" s="61" t="n"/>
      <c r="O261" s="61" t="n"/>
      <c r="P261" s="61" t="n"/>
      <c r="Q261" s="61" t="n"/>
      <c r="R261" s="61" t="n"/>
      <c r="S261" s="62" t="n"/>
      <c r="T261" s="61" t="n"/>
    </row>
    <row r="262" ht="15.75" customHeight="1" s="38">
      <c r="A262" s="66" t="inlineStr">
        <is>
          <t>PlastiQuímica Ltda.</t>
        </is>
      </c>
      <c r="B262" s="66" t="inlineStr">
        <is>
          <t>Celdas Electrolíticas, Tuberías</t>
        </is>
      </c>
      <c r="C262" s="66" t="inlineStr">
        <is>
          <t>Santiago</t>
        </is>
      </c>
      <c r="D262" s="66" t="n"/>
      <c r="E262" s="66" t="n"/>
      <c r="F262" s="66" t="n"/>
      <c r="G262" s="66" t="inlineStr">
        <is>
          <t>Gerente de TI / CIO (Director de Tecnología)</t>
        </is>
      </c>
      <c r="H262" s="66" t="n"/>
      <c r="I262" s="66" t="inlineStr">
        <is>
          <t>(56) 2 2495 2400</t>
        </is>
      </c>
      <c r="J262" s="66" t="n"/>
      <c r="K262" s="66" t="inlineStr">
        <is>
          <t>83.007.600-K</t>
        </is>
      </c>
      <c r="L262" s="66" t="inlineStr">
        <is>
          <t>Ventas: GRANDE 3 (600.000 - 1.000.000 UF) | Empleados: 36</t>
        </is>
      </c>
      <c r="M262" s="66" t="inlineStr">
        <is>
          <t>Tier 1 - VIP (Alta Venta + DM)</t>
        </is>
      </c>
      <c r="N262" s="61" t="n"/>
      <c r="O262" s="61" t="n"/>
      <c r="P262" s="61" t="n"/>
      <c r="Q262" s="61" t="n"/>
      <c r="R262" s="61" t="n"/>
      <c r="S262" s="62" t="n"/>
      <c r="T262" s="61" t="n"/>
    </row>
    <row r="263" ht="15.75" customHeight="1" s="38">
      <c r="A263" s="59" t="inlineStr">
        <is>
          <t>Plastigen</t>
        </is>
      </c>
      <c r="B263" s="59" t="inlineStr">
        <is>
          <t>Plásticos</t>
        </is>
      </c>
      <c r="C263" s="59" t="inlineStr">
        <is>
          <t>Santiago</t>
        </is>
      </c>
      <c r="D263" s="59" t="inlineStr">
        <is>
          <t>Investigación en Proceso</t>
        </is>
      </c>
      <c r="E263" s="59" t="n"/>
      <c r="F263" s="59" t="n"/>
      <c r="G263" s="59" t="inlineStr">
        <is>
          <t>Erika Santibañez (Gerente TI)</t>
        </is>
      </c>
      <c r="H263" s="59" t="inlineStr">
        <is>
          <t>esantibanez@plastigen.cl</t>
        </is>
      </c>
      <c r="I263" s="59" t="inlineStr">
        <is>
          <t>(56) 2 2332 3900</t>
        </is>
      </c>
      <c r="J263" s="59" t="n"/>
      <c r="K263" s="59" t="inlineStr">
        <is>
          <t>96.501.500-0</t>
        </is>
      </c>
      <c r="L263" s="59" t="inlineStr">
        <is>
          <t>Ventas: GRANDE 3 (600.000 - 1.000.000 UF) | Empleados: 142</t>
        </is>
      </c>
      <c r="M263" s="59" t="inlineStr">
        <is>
          <t>Tier 1 - OPORTUNIDAD ACTIVA (VIP)</t>
        </is>
      </c>
      <c r="N263" s="61" t="n"/>
      <c r="O263" s="61" t="n"/>
      <c r="P263" s="61" t="n"/>
      <c r="Q263" s="61" t="n"/>
      <c r="R263" s="61" t="n"/>
      <c r="S263" s="62" t="n"/>
      <c r="T263" s="61" t="n"/>
    </row>
    <row r="264" ht="15.75" customHeight="1" s="38">
      <c r="A264" s="66" t="inlineStr">
        <is>
          <t>Plastyverg S.A.</t>
        </is>
      </c>
      <c r="B264" s="66" t="inlineStr">
        <is>
          <t>Bolsas de Polietileno</t>
        </is>
      </c>
      <c r="C264" s="66" t="inlineStr">
        <is>
          <t>Santiago</t>
        </is>
      </c>
      <c r="D264" s="66" t="n"/>
      <c r="E264" s="66" t="n"/>
      <c r="F264" s="66" t="n"/>
      <c r="G264" s="66" t="inlineStr">
        <is>
          <t>Gerente de TI / CIO (Director de Tecnología)</t>
        </is>
      </c>
      <c r="H264" s="66" t="n"/>
      <c r="I264" s="66" t="inlineStr">
        <is>
          <t>(56) 2 2827 9000</t>
        </is>
      </c>
      <c r="J264" s="66" t="n"/>
      <c r="K264" s="66" t="inlineStr">
        <is>
          <t>79.835.560-0</t>
        </is>
      </c>
      <c r="L264" s="66" t="inlineStr">
        <is>
          <t>Ventas: GRANDE 4 (Mas de 1.000.000 UF) | Empleados: 190</t>
        </is>
      </c>
      <c r="M264" s="66" t="inlineStr">
        <is>
          <t>Tier 1 - VIP (Alta Venta + DM)</t>
        </is>
      </c>
      <c r="N264" s="61" t="n"/>
      <c r="O264" s="61" t="n"/>
      <c r="P264" s="61" t="n"/>
      <c r="Q264" s="61" t="n"/>
      <c r="R264" s="61" t="n"/>
      <c r="S264" s="62" t="n"/>
      <c r="T264" s="61" t="n"/>
    </row>
    <row r="265" ht="15.75" customHeight="1" s="38">
      <c r="A265" s="59" t="inlineStr">
        <is>
          <t>Plásticos Haddad S.A.</t>
        </is>
      </c>
      <c r="B265" s="59" t="inlineStr">
        <is>
          <t>Señalética Vial, Tambores de Plástico</t>
        </is>
      </c>
      <c r="C265" s="59" t="inlineStr">
        <is>
          <t>Santiago</t>
        </is>
      </c>
      <c r="D265" s="59" t="inlineStr">
        <is>
          <t>Investigación en Proceso</t>
        </is>
      </c>
      <c r="E265" s="59" t="n"/>
      <c r="F265" s="59" t="n"/>
      <c r="G265" s="59" t="inlineStr">
        <is>
          <t>Carlos Donoso Leyton (Ing. Informática)</t>
        </is>
      </c>
      <c r="H265" s="59" t="inlineStr">
        <is>
          <t>cdonoso@haddad.cl</t>
        </is>
      </c>
      <c r="I265" s="59" t="inlineStr">
        <is>
          <t>(56) 2 2462 7200</t>
        </is>
      </c>
      <c r="J265" s="59" t="n"/>
      <c r="K265" s="59" t="inlineStr">
        <is>
          <t>86.778.100-5</t>
        </is>
      </c>
      <c r="L265" s="59" t="inlineStr">
        <is>
          <t>Ventas: GRANDE 3 (600.000 - 1.000.000 UF) | Empleados: 345</t>
        </is>
      </c>
      <c r="M265" s="59" t="inlineStr">
        <is>
          <t>Tier 1 - OPORTUNIDAD ACTIVA (VIP)</t>
        </is>
      </c>
      <c r="N265" s="61" t="n"/>
      <c r="O265" s="61" t="n"/>
      <c r="P265" s="61" t="n"/>
      <c r="Q265" s="61" t="n"/>
      <c r="R265" s="61" t="n"/>
      <c r="S265" s="62" t="n"/>
      <c r="T265" s="61" t="n"/>
    </row>
    <row r="266" ht="15.75" customHeight="1" s="38">
      <c r="A266" s="59" t="inlineStr">
        <is>
          <t>Polimin Ltda.</t>
        </is>
      </c>
      <c r="B266" s="59" t="inlineStr">
        <is>
          <t>Chancadores de Rodillos</t>
        </is>
      </c>
      <c r="C266" s="59" t="inlineStr">
        <is>
          <t>Santiago</t>
        </is>
      </c>
      <c r="D266" s="59" t="inlineStr">
        <is>
          <t>Investigación en Proceso</t>
        </is>
      </c>
      <c r="E266" s="59" t="n"/>
      <c r="F266" s="59" t="n"/>
      <c r="G266" s="59" t="inlineStr">
        <is>
          <t>Carlos Stipicic Vial (Gerente General)</t>
        </is>
      </c>
      <c r="H266" s="59" t="inlineStr">
        <is>
          <t>cstipicic@polimin.cl</t>
        </is>
      </c>
      <c r="I266" s="59" t="inlineStr">
        <is>
          <t>(56) 2 2770 9000</t>
        </is>
      </c>
      <c r="J266" s="59" t="n"/>
      <c r="K266" s="59" t="inlineStr">
        <is>
          <t>79.760.310-4</t>
        </is>
      </c>
      <c r="L266" s="59" t="inlineStr">
        <is>
          <t>Ventas: GRANDE 3 (600.000 - 1.000.000 UF) | Empleados: 68</t>
        </is>
      </c>
      <c r="M266" s="59" t="inlineStr">
        <is>
          <t>Tier 1 - OPORTUNIDAD ACTIVA (VIP)</t>
        </is>
      </c>
      <c r="N266" s="61" t="n"/>
      <c r="O266" s="61" t="n"/>
      <c r="P266" s="61" t="n"/>
      <c r="Q266" s="61" t="n"/>
      <c r="R266" s="61" t="n"/>
      <c r="S266" s="62" t="n"/>
      <c r="T266" s="61" t="n"/>
    </row>
    <row r="267" ht="15.75" customHeight="1" s="38">
      <c r="A267" s="59" t="inlineStr">
        <is>
          <t>Politec S.A.</t>
        </is>
      </c>
      <c r="B267" s="59" t="inlineStr">
        <is>
          <t>Bandejas y Escalerillas Portaconductores</t>
        </is>
      </c>
      <c r="C267" s="59" t="inlineStr">
        <is>
          <t>Santiago</t>
        </is>
      </c>
      <c r="D267" s="59" t="inlineStr">
        <is>
          <t>Investigación en Proceso</t>
        </is>
      </c>
      <c r="E267" s="59" t="n"/>
      <c r="F267" s="59" t="n"/>
      <c r="G267" s="59" t="inlineStr">
        <is>
          <t>Julio Pino (Gerente de Operaciones)</t>
        </is>
      </c>
      <c r="H267" s="59" t="inlineStr">
        <is>
          <t>jpino@politec.cl</t>
        </is>
      </c>
      <c r="I267" s="59" t="inlineStr">
        <is>
          <t>(56) 2 2394 7100</t>
        </is>
      </c>
      <c r="J267" s="59" t="n"/>
      <c r="K267" s="59" t="inlineStr">
        <is>
          <t>96.567.010-6</t>
        </is>
      </c>
      <c r="L267" s="59" t="inlineStr">
        <is>
          <t>Ventas: GRANDE 3 (600.000 - 1.000.000 UF) | Empleados: 225</t>
        </is>
      </c>
      <c r="M267" s="59" t="inlineStr">
        <is>
          <t>Tier 1 - OPORTUNIDAD ACTIVA (VIP)</t>
        </is>
      </c>
      <c r="N267" s="61" t="n"/>
      <c r="O267" s="61" t="n"/>
      <c r="P267" s="61" t="n"/>
      <c r="Q267" s="61" t="n"/>
      <c r="R267" s="61" t="n"/>
      <c r="S267" s="62" t="n"/>
      <c r="T267" s="61" t="n"/>
    </row>
    <row r="268" ht="15.75" customHeight="1" s="38">
      <c r="A268" s="66" t="inlineStr">
        <is>
          <t>Polydeck Chile Ltda.</t>
        </is>
      </c>
      <c r="B268" s="66" t="inlineStr">
        <is>
          <t>Sistemas de Bastidores de Harnero</t>
        </is>
      </c>
      <c r="C268" s="66" t="inlineStr">
        <is>
          <t>Santiago</t>
        </is>
      </c>
      <c r="D268" s="66" t="n"/>
      <c r="E268" s="66" t="n"/>
      <c r="F268" s="66" t="n"/>
      <c r="G268" s="66" t="inlineStr">
        <is>
          <t>Gerente de TI / CIO (Director de Tecnología)</t>
        </is>
      </c>
      <c r="H268" s="66" t="n"/>
      <c r="I268" s="66" t="inlineStr">
        <is>
          <t>(56) 2 2380 1319</t>
        </is>
      </c>
      <c r="J268" s="66" t="n"/>
      <c r="K268" s="66" t="inlineStr">
        <is>
          <t>96875320-7</t>
        </is>
      </c>
      <c r="L268" s="66" t="inlineStr">
        <is>
          <t>Ventas: GRANDE 3 (600.000 - 1.000.000 UF) | Empleados: 94</t>
        </is>
      </c>
      <c r="M268" s="66" t="inlineStr">
        <is>
          <t>Tier 1 - VIP (Alta Venta + DM)</t>
        </is>
      </c>
      <c r="N268" s="61" t="n"/>
      <c r="O268" s="61" t="n"/>
      <c r="P268" s="61" t="n"/>
      <c r="Q268" s="61" t="n"/>
      <c r="R268" s="61" t="n"/>
      <c r="S268" s="62" t="n"/>
      <c r="T268" s="61" t="n"/>
    </row>
    <row r="269" ht="15.75" customHeight="1" s="38">
      <c r="A269" s="59" t="inlineStr">
        <is>
          <t>Polymershapes</t>
        </is>
      </c>
      <c r="B269" s="59" t="inlineStr">
        <is>
          <t>Planchas de Policarbonato</t>
        </is>
      </c>
      <c r="C269" s="59" t="inlineStr">
        <is>
          <t>Santiago</t>
        </is>
      </c>
      <c r="D269" s="59" t="inlineStr">
        <is>
          <t>Distribución Materiales Healthcare &amp; Life Sciences</t>
        </is>
      </c>
      <c r="E269" s="59" t="n"/>
      <c r="F269" s="59" t="inlineStr">
        <is>
          <t>https://cl.linkedin.com/in/danielcristigerente</t>
        </is>
      </c>
      <c r="G269" s="59" t="inlineStr">
        <is>
          <t>Daniel Cristi (Country Manager)</t>
        </is>
      </c>
      <c r="H269" s="59" t="n"/>
      <c r="I269" s="59" t="inlineStr">
        <is>
          <t>(56) 9 9139 3845</t>
        </is>
      </c>
      <c r="J269" s="59" t="n"/>
      <c r="K269" s="59" t="inlineStr">
        <is>
          <t>96.823.070-0</t>
        </is>
      </c>
      <c r="L269" s="59" t="inlineStr">
        <is>
          <t>Ventas: GRANDE 2 (200.000 - 600.000 UF) | Empleados: 30</t>
        </is>
      </c>
      <c r="M269" s="59" t="inlineStr">
        <is>
          <t>Tier 1 - OPORTUNIDAD ACTIVA (VIP)</t>
        </is>
      </c>
      <c r="N269" s="61" t="n"/>
      <c r="O269" s="61" t="n"/>
      <c r="P269" s="61" t="n"/>
      <c r="Q269" s="61" t="n"/>
      <c r="R269" s="61" t="n"/>
      <c r="S269" s="62" t="n"/>
      <c r="T269" s="61" t="n"/>
    </row>
    <row r="270" ht="15.75" customHeight="1" s="38">
      <c r="A270" s="59" t="inlineStr">
        <is>
          <t>Precisión S.A.</t>
        </is>
      </c>
      <c r="B270" s="59" t="inlineStr">
        <is>
          <t>Diseño, construcción y puesta en marcha de salas eléctricas, Equipos de Pesaje, Soluciones de Pesaje: Industrial, Laboratorios, Minería, Retail y Area Médica</t>
        </is>
      </c>
      <c r="C270" s="59" t="inlineStr">
        <is>
          <t>Santiago</t>
        </is>
      </c>
      <c r="D270" s="59" t="inlineStr">
        <is>
          <t>Investigación en Proceso</t>
        </is>
      </c>
      <c r="E270" s="59" t="n"/>
      <c r="F270" s="59" t="n"/>
      <c r="G270" s="59" t="inlineStr">
        <is>
          <t>Mario Pavez (Arquitecto de TI / DevOps)</t>
        </is>
      </c>
      <c r="H270" s="59" t="inlineStr">
        <is>
          <t>mario.pavez@precision.cl</t>
        </is>
      </c>
      <c r="I270" s="59" t="inlineStr">
        <is>
          <t>(56) 2 2422 6000</t>
        </is>
      </c>
      <c r="J270" s="59" t="n"/>
      <c r="K270" s="59" t="inlineStr">
        <is>
          <t>96.980.910-9</t>
        </is>
      </c>
      <c r="L270" s="59" t="inlineStr">
        <is>
          <t>Ventas: GRANDE 3 (600.000 - 1.000.000 UF) | Empleados: 0</t>
        </is>
      </c>
      <c r="M270" s="59" t="inlineStr">
        <is>
          <t>Tier 1 - OPORTUNIDAD ACTIVA (VIP)</t>
        </is>
      </c>
      <c r="N270" s="61" t="n"/>
      <c r="O270" s="61" t="n"/>
      <c r="P270" s="61" t="n"/>
      <c r="Q270" s="61" t="n"/>
      <c r="R270" s="61" t="n"/>
      <c r="S270" s="62" t="n"/>
      <c r="T270" s="61" t="n"/>
    </row>
    <row r="271" ht="15.75" customHeight="1" s="38">
      <c r="A271" s="66" t="inlineStr">
        <is>
          <t>Prefabricados de Hormigón Grau S.A.</t>
        </is>
      </c>
      <c r="B271" s="66" t="inlineStr">
        <is>
          <t>Prefabricados de Concreto y Hormigón, Tubos de Concreto y Hormigón</t>
        </is>
      </c>
      <c r="C271" s="66" t="inlineStr">
        <is>
          <t>Santiago</t>
        </is>
      </c>
      <c r="D271" s="66" t="n"/>
      <c r="E271" s="66" t="n"/>
      <c r="F271" s="66" t="n"/>
      <c r="G271" s="66" t="inlineStr">
        <is>
          <t>Gerente de TI / CIO (Director de Tecnología)</t>
        </is>
      </c>
      <c r="H271" s="66" t="n"/>
      <c r="I271" s="66" t="inlineStr">
        <is>
          <t>(56) 2 2377 4900</t>
        </is>
      </c>
      <c r="J271" s="66" t="n"/>
      <c r="K271" s="66" t="inlineStr">
        <is>
          <t>96.927.190-7</t>
        </is>
      </c>
      <c r="L271" s="66" t="inlineStr">
        <is>
          <t>Ventas: GRANDE 4 (Mas de 1.000.000 UF) | Empleados: 335</t>
        </is>
      </c>
      <c r="M271" s="66" t="inlineStr">
        <is>
          <t>Tier 1 - VIP (Alta Venta + DM)</t>
        </is>
      </c>
      <c r="N271" s="61" t="n"/>
      <c r="O271" s="61" t="n"/>
      <c r="P271" s="61" t="n"/>
      <c r="Q271" s="61" t="n"/>
      <c r="R271" s="61" t="n"/>
      <c r="S271" s="62" t="n"/>
      <c r="T271" s="61" t="n"/>
    </row>
    <row r="272" ht="15.75" customHeight="1" s="38">
      <c r="A272" s="59" t="inlineStr">
        <is>
          <t>Prieto Abogados SpA</t>
        </is>
      </c>
      <c r="B272" s="59" t="inlineStr">
        <is>
          <t>Asesorías Jurídicas en Minería, Servicios Legales</t>
        </is>
      </c>
      <c r="C272" s="59" t="inlineStr">
        <is>
          <t>Santiago</t>
        </is>
      </c>
      <c r="D272" s="59" t="inlineStr">
        <is>
          <t>Investigación en Proceso</t>
        </is>
      </c>
      <c r="E272" s="59" t="n"/>
      <c r="F272" s="59" t="n"/>
      <c r="G272" s="59" t="inlineStr">
        <is>
          <t>Waldo Reyes (Gerente de TI)</t>
        </is>
      </c>
      <c r="H272" s="59" t="inlineStr">
        <is>
          <t>waldo.reyes@prieto.cl</t>
        </is>
      </c>
      <c r="I272" s="59" t="inlineStr">
        <is>
          <t>(56) 2 2280 5000</t>
        </is>
      </c>
      <c r="J272" s="59" t="n"/>
      <c r="K272" s="59" t="inlineStr">
        <is>
          <t>76.448.731-1</t>
        </is>
      </c>
      <c r="L272" s="59" t="inlineStr">
        <is>
          <t>Ventas: GRANDE 3 (600.000 - 1.000.000 UF) | Empleados: 98</t>
        </is>
      </c>
      <c r="M272" s="59" t="inlineStr">
        <is>
          <t>Tier 1 - OPORTUNIDAD ACTIVA (VIP)</t>
        </is>
      </c>
      <c r="N272" s="61" t="n"/>
      <c r="O272" s="61" t="n"/>
      <c r="P272" s="61" t="n"/>
      <c r="Q272" s="61" t="n"/>
      <c r="R272" s="61" t="n"/>
      <c r="S272" s="62" t="n"/>
      <c r="T272" s="61" t="n"/>
    </row>
    <row r="273" ht="15.75" customHeight="1" s="38">
      <c r="A273" s="59" t="inlineStr">
        <is>
          <t>Prilogic</t>
        </is>
      </c>
      <c r="B273" s="59" t="inlineStr">
        <is>
          <t>Artículos para Oficinas, Artículos para Protección Personal</t>
        </is>
      </c>
      <c r="C273" s="59" t="inlineStr">
        <is>
          <t>Santiago</t>
        </is>
      </c>
      <c r="D273" s="59" t="inlineStr">
        <is>
          <t>Investigación en Proceso</t>
        </is>
      </c>
      <c r="E273" s="59" t="n"/>
      <c r="F273" s="59" t="n"/>
      <c r="G273" s="59" t="inlineStr">
        <is>
          <t>Rodrigo Restrepo (Gerente General)</t>
        </is>
      </c>
      <c r="H273" s="59" t="inlineStr">
        <is>
          <t>rrestrepo@prilogic.cl</t>
        </is>
      </c>
      <c r="I273" s="59" t="inlineStr">
        <is>
          <t>(56) 2 2820 6300</t>
        </is>
      </c>
      <c r="J273" s="59" t="n"/>
      <c r="K273" s="59" t="inlineStr">
        <is>
          <t>76.460.560-8</t>
        </is>
      </c>
      <c r="L273" s="59" t="inlineStr">
        <is>
          <t>Ventas: GRANDE 3 (600.000 - 1.000.000 UF) | Empleados: 81</t>
        </is>
      </c>
      <c r="M273" s="59" t="inlineStr">
        <is>
          <t>Tier 1 - OPORTUNIDAD ACTIVA (VIP)</t>
        </is>
      </c>
      <c r="N273" s="61" t="n"/>
      <c r="O273" s="61" t="n"/>
      <c r="P273" s="61" t="n"/>
      <c r="Q273" s="61" t="n"/>
      <c r="R273" s="61" t="n"/>
      <c r="S273" s="62" t="n"/>
      <c r="T273" s="61" t="n"/>
    </row>
    <row r="274" ht="15.75" customHeight="1" s="38">
      <c r="A274" s="59" t="inlineStr">
        <is>
          <t>Proindar S.A.</t>
        </is>
      </c>
      <c r="B274" s="59" t="inlineStr">
        <is>
          <t>Sumideros</t>
        </is>
      </c>
      <c r="C274" s="59" t="inlineStr">
        <is>
          <t>Santiago</t>
        </is>
      </c>
      <c r="D274" s="59" t="inlineStr">
        <is>
          <t>Digitalización Procesos Industriales</t>
        </is>
      </c>
      <c r="E274" s="59" t="inlineStr">
        <is>
          <t>LinkedIn</t>
        </is>
      </c>
      <c r="F274" s="59" t="inlineStr">
        <is>
          <t>https://cl.linkedin.com/in/jose-bueno-66b124128</t>
        </is>
      </c>
      <c r="G274" s="59" t="inlineStr">
        <is>
          <t>José Bueno (IT Manager)</t>
        </is>
      </c>
      <c r="H274" s="59" t="n"/>
      <c r="I274" s="59" t="inlineStr">
        <is>
          <t>(56) 2 2829 9000</t>
        </is>
      </c>
      <c r="J274" s="59" t="n"/>
      <c r="K274" s="59" t="inlineStr">
        <is>
          <t>76.839.170-K</t>
        </is>
      </c>
      <c r="L274" s="59" t="inlineStr">
        <is>
          <t>Ventas: GRANDE 2 (200.000 - 600.000 UF) | Empleados: 90</t>
        </is>
      </c>
      <c r="M274" s="59" t="inlineStr">
        <is>
          <t>Tier 1 - OPORTUNIDAD ACTIVA (VIP)</t>
        </is>
      </c>
      <c r="N274" s="61" t="n"/>
      <c r="O274" s="61" t="n"/>
      <c r="P274" s="61" t="n"/>
      <c r="Q274" s="61" t="n"/>
      <c r="R274" s="61" t="n"/>
      <c r="S274" s="62" t="n"/>
      <c r="T274" s="61" t="n"/>
    </row>
    <row r="275" ht="15.75" customHeight="1" s="38">
      <c r="A275" s="59" t="inlineStr">
        <is>
          <t>Proingas S.A.</t>
        </is>
      </c>
      <c r="B275" s="59" t="inlineStr">
        <is>
          <t>Equipos para Oxicorte</t>
        </is>
      </c>
      <c r="C275" s="59" t="inlineStr">
        <is>
          <t>Santiago</t>
        </is>
      </c>
      <c r="D275" s="59" t="inlineStr">
        <is>
          <t>Migración SAP Business One</t>
        </is>
      </c>
      <c r="E275" s="59" t="inlineStr">
        <is>
          <t>LinkedIn</t>
        </is>
      </c>
      <c r="F275" s="59" t="inlineStr">
        <is>
          <t>https://cl.linkedin.com/in/sandra-ahumada-arce-078856135</t>
        </is>
      </c>
      <c r="G275" s="59" t="inlineStr">
        <is>
          <t>Sandra Ahumada Arce (Systems/IT Mgr)</t>
        </is>
      </c>
      <c r="H275" s="59" t="n"/>
      <c r="I275" s="59" t="inlineStr">
        <is>
          <t>(56) 2 2437 5280</t>
        </is>
      </c>
      <c r="J275" s="59" t="n"/>
      <c r="K275" s="59" t="inlineStr">
        <is>
          <t>96.869.810-9</t>
        </is>
      </c>
      <c r="L275" s="59" t="inlineStr">
        <is>
          <t>Ventas: GRANDE 2 (200.000 - 600.000 UF) | Empleados: 27</t>
        </is>
      </c>
      <c r="M275" s="59" t="inlineStr">
        <is>
          <t>Tier 1 - OPORTUNIDAD ACTIVA (VIP)</t>
        </is>
      </c>
      <c r="N275" s="61" t="n"/>
      <c r="O275" s="61" t="n"/>
      <c r="P275" s="61" t="n"/>
      <c r="Q275" s="61" t="n"/>
      <c r="R275" s="61" t="n"/>
      <c r="S275" s="62" t="n"/>
      <c r="T275" s="61" t="n"/>
    </row>
    <row r="276" ht="15.75" customHeight="1" s="38">
      <c r="A276" s="66" t="inlineStr">
        <is>
          <t>Proseal</t>
        </is>
      </c>
      <c r="B276" s="66" t="inlineStr">
        <is>
          <t>Bombas, Bombas Anticorrosivas, Bombas Autocebantes</t>
        </is>
      </c>
      <c r="C276" s="66" t="inlineStr">
        <is>
          <t>Quilpué</t>
        </is>
      </c>
      <c r="D276" s="66" t="n"/>
      <c r="E276" s="66" t="n"/>
      <c r="F276" s="66" t="n"/>
      <c r="G276" s="66" t="inlineStr">
        <is>
          <t>Gerente de TI / CIO (Director de Tecnología)</t>
        </is>
      </c>
      <c r="H276" s="66" t="n"/>
      <c r="I276" s="66" t="inlineStr">
        <is>
          <t>(56) 32 279 0300</t>
        </is>
      </c>
      <c r="J276" s="66" t="n"/>
      <c r="K276" s="66" t="inlineStr">
        <is>
          <t>77.932.330-7</t>
        </is>
      </c>
      <c r="L276" s="66" t="inlineStr">
        <is>
          <t>Ventas: GRANDE 3 (600.000 - 1.000.000 UF) | Empleados: 110</t>
        </is>
      </c>
      <c r="M276" s="66" t="inlineStr">
        <is>
          <t>Tier 1 - VIP (Alta Venta + DM)</t>
        </is>
      </c>
      <c r="N276" s="61" t="n"/>
      <c r="O276" s="61" t="n"/>
      <c r="P276" s="61" t="n"/>
      <c r="Q276" s="61" t="n"/>
      <c r="R276" s="61" t="n"/>
      <c r="S276" s="62" t="n"/>
      <c r="T276" s="61" t="n"/>
    </row>
    <row r="277" ht="15.75" customHeight="1" s="38">
      <c r="A277" s="59" t="inlineStr">
        <is>
          <t>Pucará S.A.</t>
        </is>
      </c>
      <c r="B277" s="59" t="inlineStr">
        <is>
          <t>Servicio de Apoyo a la Gestión Invernal, Suministro y Montaje de Sistemas de Control de Caída de Rocas, Suministro, Montaje y Puesta en Marcha de Sistemas de Control de Avalanchas</t>
        </is>
      </c>
      <c r="C277" s="59" t="inlineStr">
        <is>
          <t>Santiago</t>
        </is>
      </c>
      <c r="D277" s="59" t="inlineStr">
        <is>
          <t>Investigación en Proceso</t>
        </is>
      </c>
      <c r="E277" s="59" t="n"/>
      <c r="F277" s="59" t="n"/>
      <c r="G277" s="59" t="inlineStr">
        <is>
          <t>Roberto Pérez Contreras (Gte Desarrollo y Operaciones)</t>
        </is>
      </c>
      <c r="H277" s="59" t="inlineStr">
        <is>
          <t>rperez@pucara.cl</t>
        </is>
      </c>
      <c r="I277" s="59" t="inlineStr">
        <is>
          <t>(56) 2 2223 6167</t>
        </is>
      </c>
      <c r="J277" s="59" t="n"/>
      <c r="K277" s="59" t="inlineStr">
        <is>
          <t>96.625.270-7</t>
        </is>
      </c>
      <c r="L277" s="59" t="inlineStr">
        <is>
          <t>Ventas: GRANDE 3 (600.000 - 1.000.000 UF) | Empleados: 534</t>
        </is>
      </c>
      <c r="M277" s="59" t="inlineStr">
        <is>
          <t>Tier 1 - OPORTUNIDAD ACTIVA (VIP)</t>
        </is>
      </c>
      <c r="N277" s="61" t="n"/>
      <c r="O277" s="61" t="n"/>
      <c r="P277" s="61" t="n"/>
      <c r="Q277" s="61" t="n"/>
      <c r="R277" s="61" t="n"/>
      <c r="S277" s="62" t="n"/>
      <c r="T277" s="61" t="n"/>
    </row>
    <row r="278" ht="15.75" customHeight="1" s="38">
      <c r="A278" s="59" t="inlineStr">
        <is>
          <t>Puerto Antofagasta</t>
        </is>
      </c>
      <c r="B278" s="59" t="inlineStr">
        <is>
          <t>Puertos, Servicios Portuarios</t>
        </is>
      </c>
      <c r="C278" s="59" t="inlineStr">
        <is>
          <t>Antofagasta</t>
        </is>
      </c>
      <c r="D278" s="59" t="inlineStr">
        <is>
          <t>Port Community System (PCS) Transf. Digital Logística</t>
        </is>
      </c>
      <c r="E278" s="59" t="inlineStr">
        <is>
          <t>Antofagastaport.cl / MTT</t>
        </is>
      </c>
      <c r="F278" s="59" t="inlineStr">
        <is>
          <t>https://www.anfport.cl/proyecto-de-transformation-digital-port-community-system-simplificara-el-comercio-exterior-en-la-region-de-antofagasta/</t>
        </is>
      </c>
      <c r="G278" s="59" t="inlineStr">
        <is>
          <t>Carlos Fredes (Jefe TI)</t>
        </is>
      </c>
      <c r="H278" s="59" t="inlineStr">
        <is>
          <t>cfredes@puertoantofagasta.cl</t>
        </is>
      </c>
      <c r="I278" s="59" t="inlineStr">
        <is>
          <t>(56) 55 256 3736</t>
        </is>
      </c>
      <c r="J278" s="59" t="n"/>
      <c r="K278" s="59" t="inlineStr">
        <is>
          <t>73.968.300-9</t>
        </is>
      </c>
      <c r="L278" s="59" t="inlineStr">
        <is>
          <t>Ventas: GRANDE 4 (Mas de 1.000.000 UF) | Empleados: 54</t>
        </is>
      </c>
      <c r="M278" s="59" t="inlineStr">
        <is>
          <t>Tier 1 - OPORTUNIDAD ACTIVA (VIP)</t>
        </is>
      </c>
      <c r="N278" s="61" t="n"/>
      <c r="O278" s="61" t="n"/>
      <c r="P278" s="61" t="n"/>
      <c r="Q278" s="61" t="n"/>
      <c r="R278" s="61" t="n"/>
      <c r="S278" s="62" t="n"/>
      <c r="T278" s="61" t="n"/>
    </row>
    <row r="279" ht="15.75" customHeight="1" s="38">
      <c r="A279" s="59" t="inlineStr">
        <is>
          <t>Puerto de Mejillones</t>
        </is>
      </c>
      <c r="B279" s="59" t="inlineStr">
        <is>
          <t>Puertos, Servicios Portuarios</t>
        </is>
      </c>
      <c r="C279" s="59" t="inlineStr">
        <is>
          <t>Mejillones</t>
        </is>
      </c>
      <c r="D279" s="59" t="inlineStr">
        <is>
          <t>TOS &amp; Automatización</t>
        </is>
      </c>
      <c r="E279" s="59" t="inlineStr">
        <is>
          <t>Portal Portuario</t>
        </is>
      </c>
      <c r="F279" s="59" t="inlineStr">
        <is>
          <t>https://portalportuario.cl/terminal-portuario-angamos-inicia-implementacion-de-sistema-operativo-de-terminal/</t>
        </is>
      </c>
      <c r="G279" s="59" t="inlineStr">
        <is>
          <t>Alberto Bruna Solar (Jefe TI &amp; Transf Digital)</t>
        </is>
      </c>
      <c r="H279" s="59" t="inlineStr">
        <is>
          <t>abruna@puertomejillones.cl</t>
        </is>
      </c>
      <c r="I279" s="59" t="inlineStr">
        <is>
          <t>(56) 55 288 3601</t>
        </is>
      </c>
      <c r="J279" s="59" t="n"/>
      <c r="K279" s="59" t="inlineStr">
        <is>
          <t>96.676.520-8</t>
        </is>
      </c>
      <c r="L279" s="59" t="inlineStr">
        <is>
          <t>Ventas: GRANDE 4 (Mas de 1.000.000 UF) | Empleados: 0</t>
        </is>
      </c>
      <c r="M279" s="59" t="inlineStr">
        <is>
          <t>Tier 1 - OPORTUNIDAD ACTIVA (VIP)</t>
        </is>
      </c>
      <c r="N279" s="61" t="n"/>
      <c r="O279" s="61" t="n"/>
      <c r="P279" s="61" t="n"/>
      <c r="Q279" s="61" t="n"/>
      <c r="R279" s="61" t="n"/>
      <c r="S279" s="62" t="n"/>
      <c r="T279" s="61" t="n"/>
    </row>
    <row r="280" ht="15.75" customHeight="1" s="38">
      <c r="A280" s="59" t="inlineStr">
        <is>
          <t>Química Industrial Spes S.A.</t>
        </is>
      </c>
      <c r="B280" s="59" t="inlineStr">
        <is>
          <t>Productos Industriales, Productos Químicos</t>
        </is>
      </c>
      <c r="C280" s="59" t="inlineStr">
        <is>
          <t>Santiago</t>
        </is>
      </c>
      <c r="D280" s="59" t="inlineStr">
        <is>
          <t>Investigación en Proceso</t>
        </is>
      </c>
      <c r="E280" s="59" t="n"/>
      <c r="F280" s="59" t="n"/>
      <c r="G280" s="59" t="inlineStr">
        <is>
          <t>Natalia Marabolí (Director Técnico)</t>
        </is>
      </c>
      <c r="H280" s="59" t="inlineStr">
        <is>
          <t>nmaraboli@spes.cl</t>
        </is>
      </c>
      <c r="I280" s="59" t="inlineStr">
        <is>
          <t>(56) 2 2428 9500</t>
        </is>
      </c>
      <c r="J280" s="59" t="n"/>
      <c r="K280" s="59" t="inlineStr">
        <is>
          <t>93.654.000-7</t>
        </is>
      </c>
      <c r="L280" s="59" t="inlineStr">
        <is>
          <t>Ventas: GRANDE 3 (600.000 - 1.000.000 UF) | Empleados: 170</t>
        </is>
      </c>
      <c r="M280" s="59" t="inlineStr">
        <is>
          <t>Tier 1 - OPORTUNIDAD ACTIVA (VIP)</t>
        </is>
      </c>
      <c r="N280" s="61" t="n"/>
      <c r="O280" s="61" t="n"/>
      <c r="P280" s="61" t="n"/>
      <c r="Q280" s="61" t="n"/>
      <c r="R280" s="61" t="n"/>
      <c r="S280" s="62" t="n"/>
      <c r="T280" s="61" t="n"/>
    </row>
    <row r="281" ht="15.75" customHeight="1" s="38">
      <c r="A281" s="66" t="inlineStr">
        <is>
          <t>Química del Sur y Cía. Ltda.</t>
        </is>
      </c>
      <c r="B281" s="66" t="inlineStr">
        <is>
          <t>Agua Oxigenada, Ceniza de Soda Pesada, Cloruro Férrico, Productos Químicos para la Minería, Soda Cáustica, Sulfato de Zinc, Sulfato Ferroso</t>
        </is>
      </c>
      <c r="C281" s="66" t="inlineStr">
        <is>
          <t>Santiago</t>
        </is>
      </c>
      <c r="D281" s="66" t="n"/>
      <c r="E281" s="66" t="n"/>
      <c r="F281" s="66" t="n"/>
      <c r="G281" s="66" t="inlineStr">
        <is>
          <t>Gerente de TI / CIO (Director de Tecnología)</t>
        </is>
      </c>
      <c r="H281" s="66" t="n"/>
      <c r="I281" s="66" t="inlineStr">
        <is>
          <t>(56) 2 2412 4000</t>
        </is>
      </c>
      <c r="J281" s="66" t="inlineStr">
        <is>
          <t>http://www.quimicadelsur.cl</t>
        </is>
      </c>
      <c r="K281" s="66" t="inlineStr">
        <is>
          <t>78.572.860-2</t>
        </is>
      </c>
      <c r="L281" s="66" t="inlineStr">
        <is>
          <t>Ventas: GRANDE 4 (Mas de 1.000.000 UF) | Empleados: 178</t>
        </is>
      </c>
      <c r="M281" s="66" t="inlineStr">
        <is>
          <t>Tier 1 - VIP (Alta Venta + DM)</t>
        </is>
      </c>
      <c r="N281" s="61" t="n"/>
      <c r="O281" s="61" t="n"/>
      <c r="P281" s="61" t="n"/>
      <c r="Q281" s="61" t="n"/>
      <c r="R281" s="61" t="n"/>
      <c r="S281" s="62" t="n"/>
      <c r="T281" s="61" t="n"/>
    </row>
    <row r="282" ht="15.75" customHeight="1" s="38">
      <c r="A282" s="66" t="inlineStr">
        <is>
          <t>R&amp;R Mining</t>
        </is>
      </c>
      <c r="B282" s="66" t="inlineStr">
        <is>
          <t>Reparación de Motores, Trenes de Potencia de Equipos Mineros</t>
        </is>
      </c>
      <c r="C282" s="66" t="inlineStr">
        <is>
          <t>Santiago</t>
        </is>
      </c>
      <c r="D282" s="66" t="n"/>
      <c r="E282" s="66" t="n"/>
      <c r="F282" s="66" t="n"/>
      <c r="G282" s="66" t="inlineStr">
        <is>
          <t>Gerente de TI / CIO (Director de Tecnología)</t>
        </is>
      </c>
      <c r="H282" s="66" t="n"/>
      <c r="I282" s="66" t="inlineStr">
        <is>
          <t>(56) 9 9994 1591</t>
        </is>
      </c>
      <c r="J282" s="66" t="n"/>
      <c r="K282" s="66" t="inlineStr">
        <is>
          <t>76.540.201-8</t>
        </is>
      </c>
      <c r="L282" s="66" t="inlineStr">
        <is>
          <t>Ventas: GRANDE 3 (600.000 - 1.000.000 UF) | Empleados: 60</t>
        </is>
      </c>
      <c r="M282" s="66" t="inlineStr">
        <is>
          <t>Tier 1 - VIP (Alta Venta + DM)</t>
        </is>
      </c>
      <c r="N282" s="61" t="n"/>
      <c r="O282" s="61" t="n"/>
      <c r="P282" s="61" t="n"/>
      <c r="Q282" s="61" t="n"/>
      <c r="R282" s="61" t="n"/>
      <c r="S282" s="62" t="n"/>
      <c r="T282" s="61" t="n"/>
    </row>
    <row r="283" ht="15.75" customHeight="1" s="38">
      <c r="A283" s="59" t="inlineStr">
        <is>
          <t>RGM Mallas de Alambre Ltda.</t>
        </is>
      </c>
      <c r="B283" s="59" t="inlineStr">
        <is>
          <t>Alambres y Clavos</t>
        </is>
      </c>
      <c r="C283" s="59" t="inlineStr">
        <is>
          <t>Santiago</t>
        </is>
      </c>
      <c r="D283" s="59" t="inlineStr">
        <is>
          <t>Investigación en Proceso</t>
        </is>
      </c>
      <c r="E283" s="59" t="n"/>
      <c r="F283" s="59" t="n"/>
      <c r="G283" s="59" t="inlineStr">
        <is>
          <t>Daniel Camilla Ortiz (Connectivity &amp; Net Eng.)</t>
        </is>
      </c>
      <c r="H283" s="59" t="inlineStr">
        <is>
          <t>dcamilla@rgm.cl</t>
        </is>
      </c>
      <c r="I283" s="59" t="inlineStr">
        <is>
          <t>(56) 9 4005 6683</t>
        </is>
      </c>
      <c r="J283" s="59" t="n"/>
      <c r="K283" s="59" t="inlineStr">
        <is>
          <t>78.893.770-9</t>
        </is>
      </c>
      <c r="L283" s="59" t="inlineStr">
        <is>
          <t>Ventas: GRANDE 3 (600.000 - 1.000.000 UF) | Empleados: 109</t>
        </is>
      </c>
      <c r="M283" s="59" t="inlineStr">
        <is>
          <t>Tier 1 - OPORTUNIDAD ACTIVA (VIP)</t>
        </is>
      </c>
      <c r="N283" s="61" t="n"/>
      <c r="O283" s="61" t="n"/>
      <c r="P283" s="61" t="n"/>
      <c r="Q283" s="61" t="n"/>
      <c r="R283" s="61" t="n"/>
      <c r="S283" s="62" t="n"/>
      <c r="T283" s="61" t="n"/>
    </row>
    <row r="284" ht="15.75" customHeight="1" s="38">
      <c r="A284" s="59" t="inlineStr">
        <is>
          <t>RHI Chile S.A.</t>
        </is>
      </c>
      <c r="B284" s="59" t="inlineStr">
        <is>
          <t>Aislantes Térmicos, Refractarios</t>
        </is>
      </c>
      <c r="C284" s="59" t="inlineStr">
        <is>
          <t>Santiago</t>
        </is>
      </c>
      <c r="D284" s="59" t="inlineStr">
        <is>
          <t>Investigación en Proceso</t>
        </is>
      </c>
      <c r="E284" s="59" t="n"/>
      <c r="F284" s="59" t="n"/>
      <c r="G284" s="59" t="inlineStr">
        <is>
          <t>Luis Bracho (Sales Mgr / CRM Boss)</t>
        </is>
      </c>
      <c r="H284" s="59" t="inlineStr">
        <is>
          <t>luis.bracho@rhimagnesita.com</t>
        </is>
      </c>
      <c r="I284" s="59" t="inlineStr">
        <is>
          <t>(56) 2 2385 4200</t>
        </is>
      </c>
      <c r="J284" s="59" t="n"/>
      <c r="K284" s="59" t="inlineStr">
        <is>
          <t>99.561.450-2</t>
        </is>
      </c>
      <c r="L284" s="59" t="inlineStr">
        <is>
          <t>Ventas: GRANDE 3 (600.000 - 1.000.000 UF) | Empleados: 188</t>
        </is>
      </c>
      <c r="M284" s="59" t="inlineStr">
        <is>
          <t>Tier 1 - OPORTUNIDAD ACTIVA (VIP)</t>
        </is>
      </c>
      <c r="N284" s="61" t="n"/>
      <c r="O284" s="61" t="n"/>
      <c r="P284" s="61" t="n"/>
      <c r="Q284" s="61" t="n"/>
      <c r="R284" s="61" t="n"/>
      <c r="S284" s="62" t="n"/>
      <c r="T284" s="61" t="n"/>
    </row>
    <row r="285" ht="15.75" customHeight="1" s="38">
      <c r="A285" s="59" t="inlineStr">
        <is>
          <t>Randstad</t>
        </is>
      </c>
      <c r="B285" s="59" t="inlineStr">
        <is>
          <t>Selección de Personal</t>
        </is>
      </c>
      <c r="C285" s="59" t="inlineStr">
        <is>
          <t>Santiago</t>
        </is>
      </c>
      <c r="D285" s="59" t="inlineStr">
        <is>
          <t>Automatización ATS</t>
        </is>
      </c>
      <c r="E285" s="59" t="inlineStr">
        <is>
          <t>LinkedIn Decisor</t>
        </is>
      </c>
      <c r="F285" s="59" t="inlineStr">
        <is>
          <t>https://www.randstad.cl/sala-de-prensa/noticias/el-rol-de-ia-generativa-en-el-proceso-de-seleccion/</t>
        </is>
      </c>
      <c r="G285" s="59" t="inlineStr">
        <is>
          <t>Gustavo Reyes Tavera (Gerente de Tecnología)</t>
        </is>
      </c>
      <c r="H285" s="59" t="inlineStr">
        <is>
          <t>gustavo.reyes@randstad.cl</t>
        </is>
      </c>
      <c r="I285" s="59" t="inlineStr">
        <is>
          <t>(56) 2 3329 9370</t>
        </is>
      </c>
      <c r="J285" s="59" t="n"/>
      <c r="K285" s="59" t="inlineStr">
        <is>
          <t>96962900-3</t>
        </is>
      </c>
      <c r="L285" s="59" t="inlineStr">
        <is>
          <t>Ventas: GRANDE 4 (Mas de 1.000.000 UF) | Empleados: 5254</t>
        </is>
      </c>
      <c r="M285" s="59" t="inlineStr">
        <is>
          <t>Tier 1 - OPORTUNIDAD ACTIVA (VIP)</t>
        </is>
      </c>
      <c r="N285" s="61" t="n"/>
      <c r="O285" s="61" t="n"/>
      <c r="P285" s="61" t="n"/>
      <c r="Q285" s="61" t="n"/>
      <c r="R285" s="61" t="n"/>
      <c r="S285" s="62" t="n"/>
      <c r="T285" s="61" t="n"/>
    </row>
    <row r="286" ht="15.75" customHeight="1" s="38">
      <c r="A286" s="66" t="inlineStr">
        <is>
          <t>RedNegocios</t>
        </is>
      </c>
      <c r="B286" s="66" t="inlineStr">
        <is>
          <t>Proveedor Destacado</t>
        </is>
      </c>
      <c r="C286" s="66" t="inlineStr">
        <is>
          <t>Santiago</t>
        </is>
      </c>
      <c r="D286" s="66" t="n"/>
      <c r="E286" s="66" t="n"/>
      <c r="F286" s="66" t="n"/>
      <c r="G286" s="66" t="inlineStr">
        <is>
          <t>Gerente de TI / CIO (Director de Tecnología)</t>
        </is>
      </c>
      <c r="H286" s="66" t="n"/>
      <c r="I286" s="66" t="n"/>
      <c r="J286" s="66" t="inlineStr">
        <is>
          <t>http://www.rednegocios.cl</t>
        </is>
      </c>
      <c r="K286" s="66" t="inlineStr">
        <is>
          <t>70.017.820-K</t>
        </is>
      </c>
      <c r="L286" s="66" t="inlineStr">
        <is>
          <t>Ventas: GRANDE 4 (Mas de 1.000.000 UF) | Empleados: 234</t>
        </is>
      </c>
      <c r="M286" s="66" t="inlineStr">
        <is>
          <t>Tier 1 - VIP (Alta Venta + DM)</t>
        </is>
      </c>
      <c r="N286" s="61" t="n"/>
      <c r="O286" s="61" t="n"/>
      <c r="P286" s="61" t="n"/>
      <c r="Q286" s="61" t="n"/>
      <c r="R286" s="61" t="n"/>
      <c r="S286" s="62" t="n"/>
      <c r="T286" s="61" t="n"/>
    </row>
    <row r="287" ht="15.75" customHeight="1" s="38">
      <c r="A287" s="59" t="inlineStr">
        <is>
          <t>Reimaq y Cía. Ltda.</t>
        </is>
      </c>
      <c r="B287" s="59" t="inlineStr">
        <is>
          <t>Ventilación Industrial y Minera, Ventiladores Centrifugos y Axiales</t>
        </is>
      </c>
      <c r="C287" s="59" t="inlineStr">
        <is>
          <t>Santiago</t>
        </is>
      </c>
      <c r="D287" s="59" t="inlineStr">
        <is>
          <t>Automatización Ventilación Minera</t>
        </is>
      </c>
      <c r="E287" s="59" t="n"/>
      <c r="F287" s="59" t="inlineStr">
        <is>
          <t>https://www.reimaq.cl/</t>
        </is>
      </c>
      <c r="G287" s="59" t="inlineStr">
        <is>
          <t>Pablo Ponce (Gerente General)</t>
        </is>
      </c>
      <c r="H287" s="59" t="n"/>
      <c r="I287" s="59" t="inlineStr">
        <is>
          <t>(56) 2 2538 5192</t>
        </is>
      </c>
      <c r="J287" s="59" t="n"/>
      <c r="K287" s="59" t="inlineStr">
        <is>
          <t>79.795.650-3</t>
        </is>
      </c>
      <c r="L287" s="59" t="inlineStr">
        <is>
          <t>Ventas: GRANDE 2 (200.000 - 600.000 UF) | Empleados: 121</t>
        </is>
      </c>
      <c r="M287" s="59" t="inlineStr">
        <is>
          <t>Tier 1 - OPORTUNIDAD ACTIVA (VIP)</t>
        </is>
      </c>
      <c r="N287" s="61" t="n"/>
      <c r="O287" s="61" t="n"/>
      <c r="P287" s="61" t="n"/>
      <c r="Q287" s="61" t="n"/>
      <c r="R287" s="61" t="n"/>
      <c r="S287" s="62" t="n"/>
      <c r="T287" s="61" t="n"/>
    </row>
    <row r="288" ht="15.75" customHeight="1" s="38">
      <c r="A288" s="66" t="inlineStr">
        <is>
          <t>Reliper</t>
        </is>
      </c>
      <c r="B288" s="66" t="inlineStr">
        <is>
          <t>Artículos para Fijación y Sujeción</t>
        </is>
      </c>
      <c r="C288" s="66" t="inlineStr">
        <is>
          <t>Antofagasta</t>
        </is>
      </c>
      <c r="D288" s="66" t="n"/>
      <c r="E288" s="66" t="n"/>
      <c r="F288" s="66" t="n"/>
      <c r="G288" s="66" t="inlineStr">
        <is>
          <t>Gerente de TI / CIO (Director de Tecnología)</t>
        </is>
      </c>
      <c r="H288" s="66" t="n"/>
      <c r="I288" s="66" t="inlineStr">
        <is>
          <t>(56) 55 253 0480</t>
        </is>
      </c>
      <c r="J288" s="66" t="n"/>
      <c r="K288" s="66" t="inlineStr">
        <is>
          <t>96.924.780-1</t>
        </is>
      </c>
      <c r="L288" s="66" t="inlineStr">
        <is>
          <t>Ventas: GRANDE 4 (Mas de 1.000.000 UF) | Empleados: 337</t>
        </is>
      </c>
      <c r="M288" s="66" t="inlineStr">
        <is>
          <t>Tier 1 - VIP (Alta Venta + DM)</t>
        </is>
      </c>
      <c r="N288" s="61" t="n"/>
      <c r="O288" s="61" t="n"/>
      <c r="P288" s="61" t="n"/>
      <c r="Q288" s="61" t="n"/>
      <c r="R288" s="61" t="n"/>
      <c r="S288" s="62" t="n"/>
      <c r="T288" s="61" t="n"/>
    </row>
    <row r="289" ht="15.75" customHeight="1" s="38">
      <c r="A289" s="59" t="inlineStr">
        <is>
          <t>Remates Macal Ltda.</t>
        </is>
      </c>
      <c r="B289" s="59" t="inlineStr">
        <is>
          <t>Remates de Maquinaria Industrial y Minera</t>
        </is>
      </c>
      <c r="C289" s="59" t="inlineStr">
        <is>
          <t>Santiago</t>
        </is>
      </c>
      <c r="D289" s="59" t="inlineStr">
        <is>
          <t>Investigación en Proceso</t>
        </is>
      </c>
      <c r="E289" s="59" t="n"/>
      <c r="F289" s="59" t="n"/>
      <c r="G289" s="59" t="inlineStr">
        <is>
          <t>Alex Sanhueza (Gerente de TI)</t>
        </is>
      </c>
      <c r="H289" s="59" t="inlineStr">
        <is>
          <t>alex.sanhueza@macal.cl</t>
        </is>
      </c>
      <c r="I289" s="59" t="inlineStr">
        <is>
          <t>(56) 2 2760 3535</t>
        </is>
      </c>
      <c r="J289" s="59" t="n"/>
      <c r="K289" s="59" t="inlineStr">
        <is>
          <t>79.546.430-1</t>
        </is>
      </c>
      <c r="L289" s="59" t="inlineStr">
        <is>
          <t>Ventas: GRANDE 3 (600.000 - 1.000.000 UF) | Empleados: 120</t>
        </is>
      </c>
      <c r="M289" s="59" t="inlineStr">
        <is>
          <t>Tier 1 - OPORTUNIDAD ACTIVA (VIP)</t>
        </is>
      </c>
      <c r="N289" s="61" t="n"/>
      <c r="O289" s="61" t="n"/>
      <c r="P289" s="61" t="n"/>
      <c r="Q289" s="61" t="n"/>
      <c r="R289" s="61" t="n"/>
      <c r="S289" s="62" t="n"/>
      <c r="T289" s="61" t="n"/>
    </row>
    <row r="290" ht="15.75" customHeight="1" s="38">
      <c r="A290" s="66" t="inlineStr">
        <is>
          <t>Repes Ltda.</t>
        </is>
      </c>
      <c r="B290" s="66" t="inlineStr">
        <is>
          <t>Rehabilitación de Estructuras</t>
        </is>
      </c>
      <c r="C290" s="66" t="inlineStr">
        <is>
          <t>Santiago</t>
        </is>
      </c>
      <c r="D290" s="66" t="n"/>
      <c r="E290" s="66" t="n"/>
      <c r="F290" s="66" t="n"/>
      <c r="G290" s="66" t="inlineStr">
        <is>
          <t>Gerente de TI / CIO (Director de Tecnología)</t>
        </is>
      </c>
      <c r="H290" s="66" t="n"/>
      <c r="I290" s="66" t="inlineStr">
        <is>
          <t>(56) 2 2652 3300</t>
        </is>
      </c>
      <c r="J290" s="66" t="n"/>
      <c r="K290" s="66" t="inlineStr">
        <is>
          <t>96.671.230-9</t>
        </is>
      </c>
      <c r="L290" s="66" t="inlineStr">
        <is>
          <t>Ventas: GRANDE 3 (600.000 - 1.000.000 UF) | Empleados: 770</t>
        </is>
      </c>
      <c r="M290" s="66" t="inlineStr">
        <is>
          <t>Tier 1 - VIP (Alta Venta + DM)</t>
        </is>
      </c>
      <c r="N290" s="61" t="n"/>
      <c r="O290" s="61" t="n"/>
      <c r="P290" s="61" t="n"/>
      <c r="Q290" s="61" t="n"/>
      <c r="R290" s="61" t="n"/>
      <c r="S290" s="62" t="n"/>
      <c r="T290" s="61" t="n"/>
    </row>
    <row r="291" ht="15.75" customHeight="1" s="38">
      <c r="A291" s="59" t="inlineStr">
        <is>
          <t>Rheintek Chile Ltda.</t>
        </is>
      </c>
      <c r="B291" s="59" t="inlineStr">
        <is>
          <t>Aceros Inoxidables, Productos Químicos</t>
        </is>
      </c>
      <c r="C291" s="59" t="inlineStr">
        <is>
          <t>Santiago</t>
        </is>
      </c>
      <c r="D291" s="59" t="inlineStr">
        <is>
          <t>Investigación en Proceso</t>
        </is>
      </c>
      <c r="E291" s="59" t="n"/>
      <c r="F291" s="59" t="n"/>
      <c r="G291" s="59" t="inlineStr">
        <is>
          <t>Rafael Aguirre (Director Comercial)</t>
        </is>
      </c>
      <c r="H291" s="59" t="inlineStr">
        <is>
          <t>raguirre@rheintek.cl</t>
        </is>
      </c>
      <c r="I291" s="59" t="inlineStr">
        <is>
          <t>(56) 2 2264 0754</t>
        </is>
      </c>
      <c r="J291" s="59" t="n"/>
      <c r="K291" s="59" t="inlineStr">
        <is>
          <t>76.228.450-2</t>
        </is>
      </c>
      <c r="L291" s="59" t="inlineStr">
        <is>
          <t>Ventas: GRANDE 3 (600.000 - 1.000.000 UF) | Empleados: 11</t>
        </is>
      </c>
      <c r="M291" s="59" t="inlineStr">
        <is>
          <t>Tier 1 - OPORTUNIDAD ACTIVA (VIP)</t>
        </is>
      </c>
      <c r="N291" s="61" t="n"/>
      <c r="O291" s="61" t="n"/>
      <c r="P291" s="61" t="n"/>
      <c r="Q291" s="61" t="n"/>
      <c r="R291" s="61" t="n"/>
      <c r="S291" s="62" t="n"/>
      <c r="T291" s="61" t="n"/>
    </row>
    <row r="292" ht="15.75" customHeight="1" s="38">
      <c r="A292" s="66" t="inlineStr">
        <is>
          <t>Rittal Electromecánicos Ltda.</t>
        </is>
      </c>
      <c r="B292" s="66" t="inlineStr">
        <is>
          <t>Armarios, Gabinetes y Cajas en Acero Inoxidable, Equipos para Automatización y Control</t>
        </is>
      </c>
      <c r="C292" s="66" t="inlineStr">
        <is>
          <t>Santiago</t>
        </is>
      </c>
      <c r="D292" s="66" t="n"/>
      <c r="E292" s="66" t="n"/>
      <c r="F292" s="66" t="n"/>
      <c r="G292" s="66" t="inlineStr">
        <is>
          <t>Gerente de TI / CIO (Director de Tecnología)</t>
        </is>
      </c>
      <c r="H292" s="66" t="n"/>
      <c r="I292" s="66" t="inlineStr">
        <is>
          <t>(56) 2 2947 7400</t>
        </is>
      </c>
      <c r="J292" s="66" t="n"/>
      <c r="K292" s="66" t="inlineStr">
        <is>
          <t>76.162.740-6</t>
        </is>
      </c>
      <c r="L292" s="66" t="inlineStr">
        <is>
          <t>Ventas: GRANDE 3 (600.000 - 1.000.000 UF) | Empleados: 52</t>
        </is>
      </c>
      <c r="M292" s="66" t="inlineStr">
        <is>
          <t>Tier 1 - VIP (Alta Venta + DM)</t>
        </is>
      </c>
      <c r="N292" s="61" t="n"/>
      <c r="O292" s="61" t="n"/>
      <c r="P292" s="61" t="n"/>
      <c r="Q292" s="61" t="n"/>
      <c r="R292" s="61" t="n"/>
      <c r="S292" s="62" t="n"/>
      <c r="T292" s="61" t="n"/>
    </row>
    <row r="293" ht="15.75" customHeight="1" s="38">
      <c r="A293" s="59" t="inlineStr">
        <is>
          <t>Rivet Ltda.</t>
        </is>
      </c>
      <c r="B293" s="59" t="inlineStr">
        <is>
          <t>Polines</t>
        </is>
      </c>
      <c r="C293" s="59" t="inlineStr">
        <is>
          <t>Santiago</t>
        </is>
      </c>
      <c r="D293" s="59" t="inlineStr">
        <is>
          <t>Investigación en Proceso</t>
        </is>
      </c>
      <c r="E293" s="59" t="n"/>
      <c r="F293" s="59" t="n"/>
      <c r="G293" s="59" t="inlineStr">
        <is>
          <t>Yerko Jofré Araya (Ing. Ventas (Tech Contact))</t>
        </is>
      </c>
      <c r="H293" s="59" t="inlineStr">
        <is>
          <t>yjofre@rivet.cl</t>
        </is>
      </c>
      <c r="I293" s="59" t="inlineStr">
        <is>
          <t>(56) 2 2489 1030</t>
        </is>
      </c>
      <c r="J293" s="59" t="n"/>
      <c r="K293" s="59" t="inlineStr">
        <is>
          <t>95.151.000-9</t>
        </is>
      </c>
      <c r="L293" s="59" t="inlineStr">
        <is>
          <t>Ventas: GRANDE 3 (600.000 - 1.000.000 UF) | Empleados: 91</t>
        </is>
      </c>
      <c r="M293" s="59" t="inlineStr">
        <is>
          <t>Tier 1 - OPORTUNIDAD ACTIVA (VIP)</t>
        </is>
      </c>
      <c r="N293" s="61" t="n"/>
      <c r="O293" s="61" t="n"/>
      <c r="P293" s="61" t="n"/>
      <c r="Q293" s="61" t="n"/>
      <c r="R293" s="61" t="n"/>
      <c r="S293" s="62" t="n"/>
      <c r="T293" s="61" t="n"/>
    </row>
    <row r="294" ht="15.75" customHeight="1" s="38">
      <c r="A294" s="66" t="inlineStr">
        <is>
          <t>Rivulis Plastro Chile</t>
        </is>
      </c>
      <c r="B294" s="66" t="inlineStr">
        <is>
          <t>Proveedor Destacado, Productos para Lixiviación, Soluciones para Lixiviación</t>
        </is>
      </c>
      <c r="C294" s="66" t="inlineStr">
        <is>
          <t>Santiago</t>
        </is>
      </c>
      <c r="D294" s="66" t="n"/>
      <c r="E294" s="66" t="n"/>
      <c r="F294" s="66" t="n"/>
      <c r="G294" s="66" t="inlineStr">
        <is>
          <t>Gerente de TI / CIO (Director de Tecnología)</t>
        </is>
      </c>
      <c r="H294" s="66" t="n"/>
      <c r="I294" s="66" t="inlineStr">
        <is>
          <t>(56) 2 2787 0500</t>
        </is>
      </c>
      <c r="J294" s="66" t="inlineStr">
        <is>
          <t>http://www.rivulis.com</t>
        </is>
      </c>
      <c r="K294" s="66" t="inlineStr">
        <is>
          <t>96.913.660-0</t>
        </is>
      </c>
      <c r="L294" s="66" t="inlineStr">
        <is>
          <t>Ventas: GRANDE 4 (Mas de 1.000.000 UF) | Empleados: 86</t>
        </is>
      </c>
      <c r="M294" s="66" t="inlineStr">
        <is>
          <t>Tier 1 - VIP (Alta Venta + DM)</t>
        </is>
      </c>
      <c r="N294" s="61" t="n"/>
      <c r="O294" s="61" t="n"/>
      <c r="P294" s="61" t="n"/>
      <c r="Q294" s="61" t="n"/>
      <c r="R294" s="61" t="n"/>
      <c r="S294" s="62" t="n"/>
      <c r="T294" s="61" t="n"/>
    </row>
    <row r="295" ht="15.75" customHeight="1" s="38">
      <c r="A295" s="59" t="inlineStr">
        <is>
          <t>RockBlast</t>
        </is>
      </c>
      <c r="B295" s="59" t="inlineStr">
        <is>
          <t>Drones</t>
        </is>
      </c>
      <c r="C295" s="59" t="inlineStr">
        <is>
          <t>Santiago</t>
        </is>
      </c>
      <c r="D295" s="59" t="inlineStr">
        <is>
          <t>Investigación en Proceso</t>
        </is>
      </c>
      <c r="E295" s="59" t="n"/>
      <c r="F295" s="59" t="n"/>
      <c r="G295" s="59" t="inlineStr">
        <is>
          <t>Rodrigo Bascuñán (Network Engineer OT/IT)</t>
        </is>
      </c>
      <c r="H295" s="59" t="inlineStr">
        <is>
          <t>rbascunan@rockblast.cl</t>
        </is>
      </c>
      <c r="I295" s="59" t="inlineStr">
        <is>
          <t>(56) 2 2951 9696</t>
        </is>
      </c>
      <c r="J295" s="59" t="n"/>
      <c r="K295" s="59" t="inlineStr">
        <is>
          <t>76.096.364-K</t>
        </is>
      </c>
      <c r="L295" s="59" t="inlineStr">
        <is>
          <t>Ventas: GRANDE 3 (600.000 - 1.000.000 UF) | Empleados: 126</t>
        </is>
      </c>
      <c r="M295" s="59" t="inlineStr">
        <is>
          <t>Tier 1 - OPORTUNIDAD ACTIVA (VIP)</t>
        </is>
      </c>
      <c r="N295" s="61" t="n"/>
      <c r="O295" s="61" t="n"/>
      <c r="P295" s="61" t="n"/>
      <c r="Q295" s="61" t="n"/>
      <c r="R295" s="61" t="n"/>
      <c r="S295" s="62" t="n"/>
      <c r="T295" s="61" t="n"/>
    </row>
    <row r="296" ht="15.75" customHeight="1" s="38">
      <c r="A296" s="59" t="inlineStr">
        <is>
          <t>Rodac S.A.</t>
        </is>
      </c>
      <c r="B296" s="59" t="inlineStr">
        <is>
          <t>Repuestos para la Minería, Rodamientos</t>
        </is>
      </c>
      <c r="C296" s="59" t="inlineStr">
        <is>
          <t>Iquique</t>
        </is>
      </c>
      <c r="D296" s="59" t="inlineStr">
        <is>
          <t>Investigación en Proceso</t>
        </is>
      </c>
      <c r="E296" s="59" t="n"/>
      <c r="F296" s="59" t="n"/>
      <c r="G296" s="59" t="inlineStr">
        <is>
          <t>Augusto Kuwae (Gerente General)</t>
        </is>
      </c>
      <c r="H296" s="59" t="inlineStr">
        <is>
          <t>akuwae@rodac.cl</t>
        </is>
      </c>
      <c r="I296" s="59" t="inlineStr">
        <is>
          <t>(56) 57 242 0343</t>
        </is>
      </c>
      <c r="J296" s="59" t="n"/>
      <c r="K296" s="59" t="inlineStr">
        <is>
          <t>96.522.800-4</t>
        </is>
      </c>
      <c r="L296" s="59" t="inlineStr">
        <is>
          <t>Ventas: GRANDE 3 (600.000 - 1.000.000 UF) | Empleados: 51</t>
        </is>
      </c>
      <c r="M296" s="59" t="inlineStr">
        <is>
          <t>Tier 1 - OPORTUNIDAD ACTIVA (VIP)</t>
        </is>
      </c>
      <c r="N296" s="61" t="n"/>
      <c r="O296" s="61" t="n"/>
      <c r="P296" s="61" t="n"/>
      <c r="Q296" s="61" t="n"/>
      <c r="R296" s="61" t="n"/>
      <c r="S296" s="62" t="n"/>
      <c r="T296" s="61" t="n"/>
    </row>
    <row r="297" ht="15.75" customHeight="1" s="38">
      <c r="A297" s="59" t="inlineStr">
        <is>
          <t>Rodaméndez Ltda.</t>
        </is>
      </c>
      <c r="B297" s="59" t="inlineStr">
        <is>
          <t>Cadenas para Transmisión de Potencia, Correas para Transmisión de Potencia</t>
        </is>
      </c>
      <c r="C297" s="59" t="inlineStr">
        <is>
          <t>Chillán</t>
        </is>
      </c>
      <c r="D297" s="59" t="inlineStr">
        <is>
          <t>Investigación en Proceso</t>
        </is>
      </c>
      <c r="E297" s="59" t="n"/>
      <c r="F297" s="59" t="n"/>
      <c r="G297" s="59" t="inlineStr">
        <is>
          <t>Jaime Mendez (Gerente General)</t>
        </is>
      </c>
      <c r="H297" s="59" t="inlineStr">
        <is>
          <t>jmendez@rodamendez.cl</t>
        </is>
      </c>
      <c r="I297" s="59" t="inlineStr">
        <is>
          <t>(56) 2 2444 1500</t>
        </is>
      </c>
      <c r="J297" s="59" t="n"/>
      <c r="K297" s="59" t="inlineStr">
        <is>
          <t>89.515.900-K</t>
        </is>
      </c>
      <c r="L297" s="59" t="inlineStr">
        <is>
          <t>Ventas: GRANDE 3 (600.000 - 1.000.000 UF) | Empleados: 129</t>
        </is>
      </c>
      <c r="M297" s="59" t="inlineStr">
        <is>
          <t>Tier 1 - OPORTUNIDAD ACTIVA (VIP)</t>
        </is>
      </c>
      <c r="N297" s="61" t="n"/>
      <c r="O297" s="61" t="n"/>
      <c r="P297" s="61" t="n"/>
      <c r="Q297" s="61" t="n"/>
      <c r="R297" s="61" t="n"/>
      <c r="S297" s="62" t="n"/>
      <c r="T297" s="61" t="n"/>
    </row>
    <row r="298" ht="15.75" customHeight="1" s="38">
      <c r="A298" s="66" t="inlineStr">
        <is>
          <t>Rodastock</t>
        </is>
      </c>
      <c r="B298" s="66" t="inlineStr">
        <is>
          <t>Acoplamientos Flexibles, Acoplamientos Mecánicos</t>
        </is>
      </c>
      <c r="C298" s="66" t="inlineStr">
        <is>
          <t>Santiago</t>
        </is>
      </c>
      <c r="D298" s="66" t="n"/>
      <c r="E298" s="66" t="n"/>
      <c r="F298" s="66" t="n"/>
      <c r="G298" s="66" t="inlineStr">
        <is>
          <t>Gerente de TI / CIO (Director de Tecnología)</t>
        </is>
      </c>
      <c r="H298" s="66" t="n"/>
      <c r="I298" s="66" t="inlineStr">
        <is>
          <t>(56) 2 2378 8350</t>
        </is>
      </c>
      <c r="J298" s="66" t="n"/>
      <c r="K298" s="66" t="inlineStr">
        <is>
          <t>76.842.605-8</t>
        </is>
      </c>
      <c r="L298" s="66" t="inlineStr">
        <is>
          <t>Ventas: GRANDE 3 (600.000 - 1.000.000 UF) | Empleados: 66</t>
        </is>
      </c>
      <c r="M298" s="66" t="inlineStr">
        <is>
          <t>Tier 1 - VIP (Alta Venta + DM)</t>
        </is>
      </c>
      <c r="N298" s="61" t="n"/>
      <c r="O298" s="61" t="n"/>
      <c r="P298" s="61" t="n"/>
      <c r="Q298" s="61" t="n"/>
      <c r="R298" s="61" t="n"/>
      <c r="S298" s="62" t="n"/>
      <c r="T298" s="61" t="n"/>
    </row>
    <row r="299" ht="15.75" customHeight="1" s="38">
      <c r="A299" s="59" t="inlineStr">
        <is>
          <t>Rthö Elektrische</t>
        </is>
      </c>
      <c r="B299" s="59" t="inlineStr">
        <is>
          <t>Conductor de Alta Temperatura / Re-Potencionamiento, Equipamiento para SS/EE y LL/TT Alta Tensión</t>
        </is>
      </c>
      <c r="C299" s="59" t="inlineStr">
        <is>
          <t>Santiago</t>
        </is>
      </c>
      <c r="D299" s="59" t="inlineStr">
        <is>
          <t>Movilidad Eléctrica &amp; Infraestructura Eléctrica</t>
        </is>
      </c>
      <c r="E299" s="59" t="n"/>
      <c r="F299" s="59" t="inlineStr">
        <is>
          <t>https://www.google.com/search?q=Rth%C3%B6+Elektrische+Chile+LinkedIn</t>
        </is>
      </c>
      <c r="G299" s="59" t="inlineStr">
        <is>
          <t>Matías O'Shea L. (Gerente General)</t>
        </is>
      </c>
      <c r="H299" s="59" t="n"/>
      <c r="I299" s="59" t="inlineStr">
        <is>
          <t>(56) 2 2264 7700</t>
        </is>
      </c>
      <c r="J299" s="59" t="n"/>
      <c r="K299" s="59" t="inlineStr">
        <is>
          <t>78.404.720-2</t>
        </is>
      </c>
      <c r="L299" s="59" t="inlineStr">
        <is>
          <t>Ventas: GRANDE 2 (200.000 - 600.000 UF) | Empleados: 11</t>
        </is>
      </c>
      <c r="M299" s="59" t="inlineStr">
        <is>
          <t>Tier 1 - OPORTUNIDAD ACTIVA (VIP)</t>
        </is>
      </c>
      <c r="N299" s="61" t="n"/>
      <c r="O299" s="61" t="n"/>
      <c r="P299" s="61" t="n"/>
      <c r="Q299" s="61" t="n"/>
      <c r="R299" s="61" t="n"/>
      <c r="S299" s="62" t="n"/>
      <c r="T299" s="61" t="n"/>
    </row>
    <row r="300" ht="15.75" customHeight="1" s="38">
      <c r="A300" s="66" t="inlineStr">
        <is>
          <t>Ruhrpumpen</t>
        </is>
      </c>
      <c r="B300" s="66" t="inlineStr">
        <is>
          <t>Bombas Centrífugas, Bombas Verticales</t>
        </is>
      </c>
      <c r="C300" s="66" t="inlineStr">
        <is>
          <t>Santiago</t>
        </is>
      </c>
      <c r="D300" s="66" t="n"/>
      <c r="E300" s="66" t="n"/>
      <c r="F300" s="66" t="n"/>
      <c r="G300" s="66" t="inlineStr">
        <is>
          <t>Gerente de TI / CIO (Director de Tecnología)</t>
        </is>
      </c>
      <c r="H300" s="66" t="n"/>
      <c r="I300" s="66" t="inlineStr">
        <is>
          <t>(56) 2 2232 8475</t>
        </is>
      </c>
      <c r="J300" s="66" t="n"/>
      <c r="K300" s="66" t="inlineStr">
        <is>
          <t>76.201.980-9</t>
        </is>
      </c>
      <c r="L300" s="66" t="inlineStr">
        <is>
          <t>Ventas: GRANDE 4 (Mas de 1.000.000 UF) | Empleados: 46</t>
        </is>
      </c>
      <c r="M300" s="66" t="inlineStr">
        <is>
          <t>Tier 1 - VIP (Alta Venta + DM)</t>
        </is>
      </c>
      <c r="N300" s="61" t="n"/>
      <c r="O300" s="61" t="n"/>
      <c r="P300" s="61" t="n"/>
      <c r="Q300" s="61" t="n"/>
      <c r="R300" s="61" t="n"/>
      <c r="S300" s="62" t="n"/>
      <c r="T300" s="61" t="n"/>
    </row>
    <row r="301" ht="15.75" customHeight="1" s="38">
      <c r="A301" s="66" t="inlineStr">
        <is>
          <t>S &amp; A Consultores Asociados Chile S.A.</t>
        </is>
      </c>
      <c r="B301" s="66" t="inlineStr">
        <is>
          <t>Software para la Minería, Soluciones Integrales de TI</t>
        </is>
      </c>
      <c r="C301" s="66" t="inlineStr">
        <is>
          <t>Santiago</t>
        </is>
      </c>
      <c r="D301" s="66" t="n"/>
      <c r="E301" s="66" t="n"/>
      <c r="F301" s="66" t="n"/>
      <c r="G301" s="66" t="inlineStr">
        <is>
          <t>Gerente de TI / CIO (Director de Tecnología)</t>
        </is>
      </c>
      <c r="H301" s="66" t="n"/>
      <c r="I301" s="66" t="inlineStr">
        <is>
          <t>(56) 2 2940 1500</t>
        </is>
      </c>
      <c r="J301" s="66" t="n"/>
      <c r="K301" s="66" t="inlineStr">
        <is>
          <t>96.565.670-7</t>
        </is>
      </c>
      <c r="L301" s="66" t="inlineStr">
        <is>
          <t>Ventas: GRANDE 3 (600.000 - 1.000.000 UF) | Empleados: 104</t>
        </is>
      </c>
      <c r="M301" s="66" t="inlineStr">
        <is>
          <t>Tier 1 - VIP (Alta Venta + DM)</t>
        </is>
      </c>
      <c r="N301" s="61" t="n"/>
      <c r="O301" s="61" t="n"/>
      <c r="P301" s="61" t="n"/>
      <c r="Q301" s="61" t="n"/>
      <c r="R301" s="61" t="n"/>
      <c r="S301" s="62" t="n"/>
      <c r="T301" s="61" t="n"/>
    </row>
    <row r="302" ht="15.75" customHeight="1" s="38">
      <c r="A302" s="66" t="inlineStr">
        <is>
          <t>S&amp;P Chile SpA</t>
        </is>
      </c>
      <c r="B302" s="66" t="inlineStr">
        <is>
          <t>Ventilación, Ventiladores Axiales</t>
        </is>
      </c>
      <c r="C302" s="66" t="inlineStr">
        <is>
          <t>Santiago</t>
        </is>
      </c>
      <c r="D302" s="66" t="n"/>
      <c r="E302" s="66" t="n"/>
      <c r="F302" s="66" t="n"/>
      <c r="G302" s="66" t="inlineStr">
        <is>
          <t>Gerente de TI / CIO (Director de Tecnología)</t>
        </is>
      </c>
      <c r="H302" s="66" t="n"/>
      <c r="I302" s="66" t="inlineStr">
        <is>
          <t>(56) 2 2306 3000</t>
        </is>
      </c>
      <c r="J302" s="66" t="n"/>
      <c r="K302" s="66" t="inlineStr">
        <is>
          <t>76.186.451-3</t>
        </is>
      </c>
      <c r="L302" s="66" t="inlineStr">
        <is>
          <t>Ventas: GRANDE 3 (600.000 - 1.000.000 UF) | Empleados: 47</t>
        </is>
      </c>
      <c r="M302" s="66" t="inlineStr">
        <is>
          <t>Tier 1 - VIP (Alta Venta + DM)</t>
        </is>
      </c>
      <c r="N302" s="61" t="n"/>
      <c r="O302" s="61" t="n"/>
      <c r="P302" s="61" t="n"/>
      <c r="Q302" s="61" t="n"/>
      <c r="R302" s="61" t="n"/>
      <c r="S302" s="62" t="n"/>
      <c r="T302" s="61" t="n"/>
    </row>
    <row r="303" ht="15.75" customHeight="1" s="38">
      <c r="A303" s="66" t="inlineStr">
        <is>
          <t>SAP Ariba</t>
        </is>
      </c>
      <c r="B303" s="66" t="inlineStr">
        <is>
          <t>Proveedor Destacado, Portal de Negocios y Abastecimiento</t>
        </is>
      </c>
      <c r="C303" s="66" t="inlineStr">
        <is>
          <t>Santiago</t>
        </is>
      </c>
      <c r="D303" s="66" t="n"/>
      <c r="E303" s="66" t="n"/>
      <c r="F303" s="66" t="n"/>
      <c r="G303" s="66" t="inlineStr">
        <is>
          <t>Gerente de TI / CIO (Director de Tecnología)</t>
        </is>
      </c>
      <c r="H303" s="66" t="n"/>
      <c r="I303" s="66" t="inlineStr">
        <is>
          <t>(56) 2 2440 3500</t>
        </is>
      </c>
      <c r="J303" s="66" t="inlineStr">
        <is>
          <t>http://www.sap.com</t>
        </is>
      </c>
      <c r="K303" s="66" t="inlineStr">
        <is>
          <t>77.546.140-3</t>
        </is>
      </c>
      <c r="L303" s="66" t="inlineStr">
        <is>
          <t>Ventas: GRANDE 4 (Mas de 1.000.000 UF) | Empleados: 68</t>
        </is>
      </c>
      <c r="M303" s="66" t="inlineStr">
        <is>
          <t>Tier 1 - VIP (Alta Venta + DM)</t>
        </is>
      </c>
      <c r="N303" s="61" t="n"/>
      <c r="O303" s="61" t="n"/>
      <c r="P303" s="61" t="n"/>
      <c r="Q303" s="61" t="n"/>
      <c r="R303" s="61" t="n"/>
      <c r="S303" s="62" t="n"/>
      <c r="T303" s="61" t="n"/>
    </row>
    <row r="304" ht="15.75" customHeight="1" s="38">
      <c r="A304" s="59" t="inlineStr">
        <is>
          <t>SKM Industrial Ltda.</t>
        </is>
      </c>
      <c r="B304" s="59" t="inlineStr">
        <is>
          <t>Construcción y Montaje de Estructuras Metálicas, Pasarelas, Barandas y Greatings, Electromecánica, Taller de Reparación y Fabricación de Poleas, Reductores y Componentes Mecánicos, Taller de Reparaciones de Motores Eléctricos Baja, Media y Alta Tensión</t>
        </is>
      </c>
      <c r="C304" s="59" t="inlineStr">
        <is>
          <t>Antofagasta</t>
        </is>
      </c>
      <c r="D304" s="59" t="inlineStr">
        <is>
          <t>Eficiencia Mantenimiento Industrial</t>
        </is>
      </c>
      <c r="E304" s="59" t="n"/>
      <c r="F304" s="59" t="inlineStr">
        <is>
          <t>https://skmindustrial.cl/</t>
        </is>
      </c>
      <c r="G304" s="59" t="inlineStr">
        <is>
          <t>Juan Pablo Bustamante Cataldo (Gerente Proyectos)</t>
        </is>
      </c>
      <c r="H304" s="59" t="n"/>
      <c r="I304" s="59" t="inlineStr">
        <is>
          <t>(56) 55 276 0000</t>
        </is>
      </c>
      <c r="J304" s="59" t="n"/>
      <c r="K304" s="59" t="inlineStr">
        <is>
          <t>76.065.017-K</t>
        </is>
      </c>
      <c r="L304" s="59" t="inlineStr">
        <is>
          <t>Ventas: GRANDE 3 (600.000 - 1.000.000 UF) | Empleados: 98</t>
        </is>
      </c>
      <c r="M304" s="59" t="inlineStr">
        <is>
          <t>Tier 1 - OPORTUNIDAD ACTIVA (VIP)</t>
        </is>
      </c>
      <c r="N304" s="61" t="n"/>
      <c r="O304" s="61" t="n"/>
      <c r="P304" s="61" t="n"/>
      <c r="Q304" s="61" t="n"/>
      <c r="R304" s="61" t="n"/>
      <c r="S304" s="62" t="n"/>
      <c r="T304" s="61" t="n"/>
    </row>
    <row r="305" ht="15.75" customHeight="1" s="38">
      <c r="A305" s="59" t="inlineStr">
        <is>
          <t>SKY Airline</t>
        </is>
      </c>
      <c r="B305" s="59" t="inlineStr">
        <is>
          <t>Transporte Aéreo de Carga, Transporte Aéreo de Pasajeros</t>
        </is>
      </c>
      <c r="C305" s="59" t="inlineStr">
        <is>
          <t>Santiago</t>
        </is>
      </c>
      <c r="D305" s="59" t="inlineStr">
        <is>
          <t>Sistemas Información Aérea</t>
        </is>
      </c>
      <c r="E305" s="59" t="inlineStr">
        <is>
          <t>LinkedIn</t>
        </is>
      </c>
      <c r="F305" s="59" t="inlineStr">
        <is>
          <t>https://cl.linkedin.com/in/iskunsaborido</t>
        </is>
      </c>
      <c r="G305" s="59" t="inlineStr">
        <is>
          <t>Iskun Saborido (CDO &amp; CIO)</t>
        </is>
      </c>
      <c r="H305" s="59" t="n"/>
      <c r="I305" s="59" t="inlineStr">
        <is>
          <t>(56) 2 2384 2991</t>
        </is>
      </c>
      <c r="J305" s="59" t="n"/>
      <c r="K305" s="59" t="inlineStr">
        <is>
          <t>88.417.000-1</t>
        </is>
      </c>
      <c r="L305" s="59" t="inlineStr">
        <is>
          <t>Ventas: GRANDE (Estimado por Empleados) | Empleados: 1820</t>
        </is>
      </c>
      <c r="M305" s="59" t="inlineStr">
        <is>
          <t>Tier 1 - OPORTUNIDAD ACTIVA (VIP)</t>
        </is>
      </c>
      <c r="N305" s="61" t="n"/>
      <c r="O305" s="61" t="n"/>
      <c r="P305" s="61" t="n"/>
      <c r="Q305" s="61" t="n"/>
      <c r="R305" s="61" t="n"/>
      <c r="S305" s="62" t="n"/>
      <c r="T305" s="61" t="n"/>
    </row>
    <row r="306" ht="15.75" customHeight="1" s="38">
      <c r="A306" s="66" t="inlineStr">
        <is>
          <t>SNF Chile</t>
        </is>
      </c>
      <c r="B306" s="66" t="inlineStr">
        <is>
          <t>Productos Químicos</t>
        </is>
      </c>
      <c r="C306" s="66" t="inlineStr">
        <is>
          <t>Santiago</t>
        </is>
      </c>
      <c r="D306" s="66" t="n"/>
      <c r="E306" s="66" t="n"/>
      <c r="F306" s="66" t="n"/>
      <c r="G306" s="66" t="inlineStr">
        <is>
          <t>Gerente de TI / CIO (Director de Tecnología)</t>
        </is>
      </c>
      <c r="H306" s="66" t="n"/>
      <c r="I306" s="66" t="inlineStr">
        <is>
          <t>(56) 2 2726 9801</t>
        </is>
      </c>
      <c r="J306" s="66" t="n"/>
      <c r="K306" s="66" t="inlineStr">
        <is>
          <t>76.380.300-7</t>
        </is>
      </c>
      <c r="L306" s="66" t="inlineStr">
        <is>
          <t>Ventas: GRANDE 4 (Mas de 1.000.000 UF) | Empleados: 49</t>
        </is>
      </c>
      <c r="M306" s="66" t="inlineStr">
        <is>
          <t>Tier 1 - VIP (Alta Venta + DM)</t>
        </is>
      </c>
      <c r="N306" s="61" t="n"/>
      <c r="O306" s="61" t="n"/>
      <c r="P306" s="61" t="n"/>
      <c r="Q306" s="61" t="n"/>
      <c r="R306" s="61" t="n"/>
      <c r="S306" s="62" t="n"/>
      <c r="T306" s="61" t="n"/>
    </row>
    <row r="307" ht="15.75" customHeight="1" s="38">
      <c r="A307" s="59" t="inlineStr">
        <is>
          <t>Saam Extraportuarios</t>
        </is>
      </c>
      <c r="B307" s="59" t="inlineStr">
        <is>
          <t>Almacenamiento de Carga, Almacenamiento de Contenedores</t>
        </is>
      </c>
      <c r="C307" s="59" t="inlineStr">
        <is>
          <t>Valparaíso</t>
        </is>
      </c>
      <c r="D307" s="59" t="inlineStr">
        <is>
          <t>Sistemas Portuarios TOS</t>
        </is>
      </c>
      <c r="E307" s="59" t="inlineStr">
        <is>
          <t>Reporte Anual</t>
        </is>
      </c>
      <c r="F307" s="59" t="inlineStr">
        <is>
          <t>https://www.saam.com/sustentabilidad/reporte-integrado/</t>
        </is>
      </c>
      <c r="G307" s="59" t="inlineStr">
        <is>
          <t>Juan Carlos Montjoy (Group CIO)</t>
        </is>
      </c>
      <c r="H307" s="59" t="inlineStr">
        <is>
          <t>jmontjoy@saam.com</t>
        </is>
      </c>
      <c r="I307" s="59" t="inlineStr">
        <is>
          <t>(56) 32 232 4200</t>
        </is>
      </c>
      <c r="J307" s="59" t="n"/>
      <c r="K307" s="59" t="inlineStr">
        <is>
          <t>96.798.520-1</t>
        </is>
      </c>
      <c r="L307" s="59" t="inlineStr">
        <is>
          <t>Ventas: GRANDE 4 (Mas de 1.000.000 UF) | Empleados: 159</t>
        </is>
      </c>
      <c r="M307" s="59" t="inlineStr">
        <is>
          <t>Tier 1 - OPORTUNIDAD ACTIVA (VIP)</t>
        </is>
      </c>
      <c r="N307" s="61" t="n"/>
      <c r="O307" s="61" t="n"/>
      <c r="P307" s="61" t="n"/>
      <c r="Q307" s="61" t="n"/>
      <c r="R307" s="61" t="n"/>
      <c r="S307" s="62" t="n"/>
      <c r="T307" s="61" t="n"/>
    </row>
    <row r="308" ht="15.75" customHeight="1" s="38">
      <c r="A308" s="59" t="inlineStr">
        <is>
          <t>Saam S.A.</t>
        </is>
      </c>
      <c r="B308" s="59" t="inlineStr">
        <is>
          <t>Terminales Portuarios, Transferencia de Carga Marítima</t>
        </is>
      </c>
      <c r="C308" s="59" t="inlineStr">
        <is>
          <t>Santiago</t>
        </is>
      </c>
      <c r="D308" s="59" t="inlineStr">
        <is>
          <t>Sistemas Portuarios TOS</t>
        </is>
      </c>
      <c r="E308" s="59" t="inlineStr">
        <is>
          <t>Reporte Anual</t>
        </is>
      </c>
      <c r="F308" s="59" t="inlineStr">
        <is>
          <t>https://www.saam.com/sustentabilidad/reporte-integrado/</t>
        </is>
      </c>
      <c r="G308" s="59" t="inlineStr">
        <is>
          <t>Juan Carlos Montjoy (Group CIO)</t>
        </is>
      </c>
      <c r="H308" s="59" t="inlineStr">
        <is>
          <t>jmontjoy@saam.com</t>
        </is>
      </c>
      <c r="I308" s="59" t="inlineStr">
        <is>
          <t>(56) 2 3384 8530</t>
        </is>
      </c>
      <c r="J308" s="59" t="n"/>
      <c r="K308" s="59" t="inlineStr">
        <is>
          <t>92.048.000-4</t>
        </is>
      </c>
      <c r="L308" s="59" t="inlineStr">
        <is>
          <t>Ventas: MEDIANA (Estimado por Empleados) | Empleados: 151</t>
        </is>
      </c>
      <c r="M308" s="59" t="inlineStr">
        <is>
          <t>Tier 1 - OPORTUNIDAD ACTIVA (VIP)</t>
        </is>
      </c>
      <c r="N308" s="61" t="n"/>
      <c r="O308" s="61" t="n"/>
      <c r="P308" s="61" t="n"/>
      <c r="Q308" s="61" t="n"/>
      <c r="R308" s="61" t="n"/>
      <c r="S308" s="62" t="n"/>
      <c r="T308" s="61" t="n"/>
    </row>
    <row r="309" ht="15.75" customHeight="1" s="38">
      <c r="A309" s="59" t="inlineStr">
        <is>
          <t>Saavedra y Abalo M&amp;S Ltda.</t>
        </is>
      </c>
      <c r="B309" s="59" t="inlineStr">
        <is>
          <t>Reparación de Maquinaria para la Minería</t>
        </is>
      </c>
      <c r="C309" s="59" t="inlineStr">
        <is>
          <t>Santiago</t>
        </is>
      </c>
      <c r="D309" s="59" t="inlineStr">
        <is>
          <t>Investigación en Proceso</t>
        </is>
      </c>
      <c r="E309" s="59" t="n"/>
      <c r="F309" s="59" t="n"/>
      <c r="G309" s="59" t="inlineStr">
        <is>
          <t>Jorge Biernay (Jefe de Operaciones (IT Resp))</t>
        </is>
      </c>
      <c r="H309" s="59" t="inlineStr">
        <is>
          <t>jbiernay@sabalo.cl</t>
        </is>
      </c>
      <c r="I309" s="59" t="inlineStr">
        <is>
          <t>(56) 2 2641 0144</t>
        </is>
      </c>
      <c r="J309" s="59" t="n"/>
      <c r="K309" s="59" t="inlineStr">
        <is>
          <t>79.804.140-1</t>
        </is>
      </c>
      <c r="L309" s="59" t="inlineStr">
        <is>
          <t>Ventas: GRANDE 3 (600.000 - 1.000.000 UF) | Empleados: 22</t>
        </is>
      </c>
      <c r="M309" s="59" t="inlineStr">
        <is>
          <t>Tier 1 - OPORTUNIDAD ACTIVA (VIP)</t>
        </is>
      </c>
      <c r="N309" s="61" t="n"/>
      <c r="O309" s="61" t="n"/>
      <c r="P309" s="61" t="n"/>
      <c r="Q309" s="61" t="n"/>
      <c r="R309" s="61" t="n"/>
      <c r="S309" s="62" t="n"/>
      <c r="T309" s="61" t="n"/>
    </row>
    <row r="310" ht="15.75" customHeight="1" s="38">
      <c r="A310" s="66" t="inlineStr">
        <is>
          <t>Saint-Gobain Canalización Chile S.A.</t>
        </is>
      </c>
      <c r="B310" s="66" t="inlineStr">
        <is>
          <t>Canalización</t>
        </is>
      </c>
      <c r="C310" s="66" t="inlineStr">
        <is>
          <t>Santiago</t>
        </is>
      </c>
      <c r="D310" s="66" t="n"/>
      <c r="E310" s="66" t="n"/>
      <c r="F310" s="66" t="n"/>
      <c r="G310" s="66" t="inlineStr">
        <is>
          <t>Gerente de TI / CIO (Director de Tecnología)</t>
        </is>
      </c>
      <c r="H310" s="66" t="n"/>
      <c r="I310" s="66" t="inlineStr">
        <is>
          <t>(56) 2 2444 1300</t>
        </is>
      </c>
      <c r="J310" s="66" t="n"/>
      <c r="K310" s="66" t="inlineStr">
        <is>
          <t>96.925.510-3</t>
        </is>
      </c>
      <c r="L310" s="66" t="inlineStr">
        <is>
          <t>Ventas: GRANDE 4 (Mas de 1.000.000 UF) | Empleados: 8</t>
        </is>
      </c>
      <c r="M310" s="66" t="inlineStr">
        <is>
          <t>Tier 1 - VIP (Alta Venta + DM)</t>
        </is>
      </c>
      <c r="N310" s="61" t="n"/>
      <c r="O310" s="61" t="n"/>
      <c r="P310" s="61" t="n"/>
      <c r="Q310" s="61" t="n"/>
      <c r="R310" s="61" t="n"/>
      <c r="S310" s="62" t="n"/>
      <c r="T310" s="61" t="n"/>
    </row>
    <row r="311" ht="15.75" customHeight="1" s="38">
      <c r="A311" s="66" t="inlineStr">
        <is>
          <t>Samex</t>
        </is>
      </c>
      <c r="B311" s="66" t="inlineStr">
        <is>
          <t>Proveedor Destacado, Servicios de Camiones Exclusivos, Servicios de Logística de Reversa, Servicios de Retiro y Entrega en Ultima Milla, Sistemas de Trazabilidad, Transporte de Carga Peligrosa, Transporte y Distribución Terrestre</t>
        </is>
      </c>
      <c r="C311" s="66" t="inlineStr">
        <is>
          <t>Santiago</t>
        </is>
      </c>
      <c r="D311" s="66" t="n"/>
      <c r="E311" s="66" t="n"/>
      <c r="F311" s="66" t="n"/>
      <c r="G311" s="66" t="inlineStr">
        <is>
          <t>Gerente de TI / CIO (Director de Tecnología)</t>
        </is>
      </c>
      <c r="H311" s="66" t="n"/>
      <c r="I311" s="66" t="n"/>
      <c r="J311" s="66" t="inlineStr">
        <is>
          <t>http://www.samex.cl</t>
        </is>
      </c>
      <c r="K311" s="66" t="inlineStr">
        <is>
          <t>76.629.600-9</t>
        </is>
      </c>
      <c r="L311" s="66" t="inlineStr">
        <is>
          <t>Ventas: GRANDE 4 (Mas de 1.000.000 UF) | Empleados: 605</t>
        </is>
      </c>
      <c r="M311" s="66" t="inlineStr">
        <is>
          <t>Tier 1 - VIP (Alta Venta + DM)</t>
        </is>
      </c>
      <c r="N311" s="61" t="n"/>
      <c r="O311" s="61" t="n"/>
      <c r="P311" s="61" t="n"/>
      <c r="Q311" s="61" t="n"/>
      <c r="R311" s="61" t="n"/>
      <c r="S311" s="62" t="n"/>
      <c r="T311" s="61" t="n"/>
    </row>
    <row r="312" ht="15.75" customHeight="1" s="38">
      <c r="A312" s="59" t="inlineStr">
        <is>
          <t>Samtech S.A.</t>
        </is>
      </c>
      <c r="B312" s="59" t="inlineStr">
        <is>
          <t>Servicios de Telemetría, Sistemas Automáticos para Medición de Volumen de Material a Granel en Camiones</t>
        </is>
      </c>
      <c r="C312" s="59" t="inlineStr">
        <is>
          <t>Santiago</t>
        </is>
      </c>
      <c r="D312" s="59" t="inlineStr">
        <is>
          <t>Investigación en Proceso</t>
        </is>
      </c>
      <c r="E312" s="59" t="n"/>
      <c r="F312" s="59" t="n"/>
      <c r="G312" s="59" t="inlineStr">
        <is>
          <t>Claudio Palacios (Gerente de Infraestructura y Seguridad)</t>
        </is>
      </c>
      <c r="H312" s="59" t="inlineStr">
        <is>
          <t>claudio.palacios@samtech.cl</t>
        </is>
      </c>
      <c r="I312" s="59" t="inlineStr">
        <is>
          <t>(56) 2 2898 8900</t>
        </is>
      </c>
      <c r="J312" s="59" t="n"/>
      <c r="K312" s="59" t="inlineStr">
        <is>
          <t>76.962.510-0</t>
        </is>
      </c>
      <c r="L312" s="59" t="inlineStr">
        <is>
          <t>Ventas: GRANDE 3 (600.000 - 1.000.000 UF) | Empleados: 175</t>
        </is>
      </c>
      <c r="M312" s="59" t="inlineStr">
        <is>
          <t>Tier 1 - OPORTUNIDAD ACTIVA (VIP)</t>
        </is>
      </c>
      <c r="N312" s="61" t="n"/>
      <c r="O312" s="61" t="n"/>
      <c r="P312" s="61" t="n"/>
      <c r="Q312" s="61" t="n"/>
      <c r="R312" s="61" t="n"/>
      <c r="S312" s="62" t="n"/>
      <c r="T312" s="61" t="n"/>
    </row>
    <row r="313" ht="15.75" customHeight="1" s="38">
      <c r="A313" s="66" t="inlineStr">
        <is>
          <t>San Ignacio Ltda.</t>
        </is>
      </c>
      <c r="B313" s="66" t="inlineStr">
        <is>
          <t>Reparación de Equipos Hidráulicos</t>
        </is>
      </c>
      <c r="C313" s="66" t="inlineStr">
        <is>
          <t>Copiapó</t>
        </is>
      </c>
      <c r="D313" s="66" t="n"/>
      <c r="E313" s="66" t="n"/>
      <c r="F313" s="66" t="n"/>
      <c r="G313" s="66" t="inlineStr">
        <is>
          <t>Gerente de TI / CIO (Director de Tecnología)</t>
        </is>
      </c>
      <c r="H313" s="66" t="n"/>
      <c r="I313" s="66" t="inlineStr">
        <is>
          <t>(56) 52 254 4800</t>
        </is>
      </c>
      <c r="J313" s="66" t="n"/>
      <c r="K313" s="66" t="inlineStr">
        <is>
          <t>76.038.564-6</t>
        </is>
      </c>
      <c r="L313" s="66" t="inlineStr">
        <is>
          <t>Ventas: GRANDE 3 (600.000 - 1.000.000 UF) | Empleados: 295</t>
        </is>
      </c>
      <c r="M313" s="66" t="inlineStr">
        <is>
          <t>Tier 1 - VIP (Alta Venta + DM)</t>
        </is>
      </c>
      <c r="N313" s="61" t="n"/>
      <c r="O313" s="61" t="n"/>
      <c r="P313" s="61" t="n"/>
      <c r="Q313" s="61" t="n"/>
      <c r="R313" s="61" t="n"/>
      <c r="S313" s="62" t="n"/>
      <c r="T313" s="61" t="n"/>
    </row>
    <row r="314" ht="15.75" customHeight="1" s="38">
      <c r="A314" s="66" t="inlineStr">
        <is>
          <t>Sande S.A.</t>
        </is>
      </c>
      <c r="B314" s="66" t="inlineStr">
        <is>
          <t>Bombas, Tecles</t>
        </is>
      </c>
      <c r="C314" s="66" t="inlineStr">
        <is>
          <t>Santiago</t>
        </is>
      </c>
      <c r="D314" s="66" t="n"/>
      <c r="E314" s="66" t="n"/>
      <c r="F314" s="66" t="n"/>
      <c r="G314" s="66" t="inlineStr">
        <is>
          <t>Gerente de TI / CIO (Director de Tecnología)</t>
        </is>
      </c>
      <c r="H314" s="66" t="n"/>
      <c r="I314" s="66" t="inlineStr">
        <is>
          <t>600 600 0900</t>
        </is>
      </c>
      <c r="J314" s="66" t="n"/>
      <c r="K314" s="66" t="inlineStr">
        <is>
          <t>92.217.000-2</t>
        </is>
      </c>
      <c r="L314" s="66" t="inlineStr">
        <is>
          <t>Ventas: GRANDE 3 (600.000 - 1.000.000 UF) | Empleados: 85</t>
        </is>
      </c>
      <c r="M314" s="66" t="inlineStr">
        <is>
          <t>Tier 1 - VIP (Alta Venta + DM)</t>
        </is>
      </c>
      <c r="N314" s="61" t="n"/>
      <c r="O314" s="61" t="n"/>
      <c r="P314" s="61" t="n"/>
      <c r="Q314" s="61" t="n"/>
      <c r="R314" s="61" t="n"/>
      <c r="S314" s="62" t="n"/>
      <c r="T314" s="61" t="n"/>
    </row>
    <row r="315" ht="15.75" customHeight="1" s="38">
      <c r="A315" s="59" t="inlineStr">
        <is>
          <t>Sargent S.A.</t>
        </is>
      </c>
      <c r="B315" s="59" t="inlineStr">
        <is>
          <t>Automatización Industrial, Variadores de Frecuencia</t>
        </is>
      </c>
      <c r="C315" s="59" t="inlineStr">
        <is>
          <t>Santiago</t>
        </is>
      </c>
      <c r="D315" s="59" t="inlineStr">
        <is>
          <t>Investigación en Proceso</t>
        </is>
      </c>
      <c r="E315" s="59" t="n"/>
      <c r="F315" s="59" t="n"/>
      <c r="G315" s="59" t="inlineStr">
        <is>
          <t>Mario Pavez (Jefe de Sistemas)</t>
        </is>
      </c>
      <c r="H315" s="59" t="inlineStr">
        <is>
          <t>mpavez@sargent.cl</t>
        </is>
      </c>
      <c r="I315" s="59" t="inlineStr">
        <is>
          <t>(56) 2 2583 2730</t>
        </is>
      </c>
      <c r="J315" s="59" t="n"/>
      <c r="K315" s="59" t="inlineStr">
        <is>
          <t>92.357.000-4</t>
        </is>
      </c>
      <c r="L315" s="59" t="inlineStr">
        <is>
          <t>Ventas: GRANDE 3 (600.000 - 1.000.000 UF) | Empleados: 88</t>
        </is>
      </c>
      <c r="M315" s="59" t="inlineStr">
        <is>
          <t>Tier 1 - OPORTUNIDAD ACTIVA (VIP)</t>
        </is>
      </c>
      <c r="N315" s="61" t="n"/>
      <c r="O315" s="61" t="n"/>
      <c r="P315" s="61" t="n"/>
      <c r="Q315" s="61" t="n"/>
      <c r="R315" s="61" t="n"/>
      <c r="S315" s="62" t="n"/>
      <c r="T315" s="61" t="n"/>
    </row>
    <row r="316" ht="15.75" customHeight="1" s="38">
      <c r="A316" s="59" t="inlineStr">
        <is>
          <t>Sattel Chile Ltda.</t>
        </is>
      </c>
      <c r="B316" s="59" t="inlineStr">
        <is>
          <t>Servicios de Ingeniería, Torres de Iluminacion Solar</t>
        </is>
      </c>
      <c r="C316" s="59" t="inlineStr">
        <is>
          <t>Copiapó</t>
        </is>
      </c>
      <c r="D316" s="59" t="inlineStr">
        <is>
          <t>Automatización Monitoreo &amp; Seguridad Minera</t>
        </is>
      </c>
      <c r="E316" s="59" t="n"/>
      <c r="F316" s="59" t="inlineStr">
        <is>
          <t>https://sattelchile.cl/</t>
        </is>
      </c>
      <c r="G316" s="59" t="inlineStr">
        <is>
          <t>Jairo Sarmiento (Gerente Operaciones)</t>
        </is>
      </c>
      <c r="H316" s="59" t="n"/>
      <c r="I316" s="59" t="inlineStr">
        <is>
          <t>(56) 52 235 2800</t>
        </is>
      </c>
      <c r="J316" s="59" t="n"/>
      <c r="K316" s="59" t="inlineStr">
        <is>
          <t>76.095.501-9</t>
        </is>
      </c>
      <c r="L316" s="59" t="inlineStr">
        <is>
          <t>Ventas: GRANDE 2 (200.000 - 600.000 UF) | Empleados: 103</t>
        </is>
      </c>
      <c r="M316" s="59" t="inlineStr">
        <is>
          <t>Tier 1 - OPORTUNIDAD ACTIVA (VIP)</t>
        </is>
      </c>
      <c r="N316" s="61" t="n"/>
      <c r="O316" s="61" t="n"/>
      <c r="P316" s="61" t="n"/>
      <c r="Q316" s="61" t="n"/>
      <c r="R316" s="61" t="n"/>
      <c r="S316" s="62" t="n"/>
      <c r="T316" s="61" t="n"/>
    </row>
    <row r="317" ht="15.75" customHeight="1" s="38">
      <c r="A317" s="59" t="inlineStr">
        <is>
          <t>Scafom-Rux Chile SpA</t>
        </is>
      </c>
      <c r="B317" s="59" t="inlineStr">
        <is>
          <t>Alzaprimas, Andamios</t>
        </is>
      </c>
      <c r="C317" s="59" t="inlineStr">
        <is>
          <t>Santiago</t>
        </is>
      </c>
      <c r="D317" s="59" t="inlineStr">
        <is>
          <t>Andamiaje Gran Escala Infraestructura</t>
        </is>
      </c>
      <c r="E317" s="59" t="n"/>
      <c r="F317" s="59" t="inlineStr">
        <is>
          <t>https://cl.linkedin.com/in/cristian-rodriguez-b5a8b7</t>
        </is>
      </c>
      <c r="G317" s="59" t="inlineStr">
        <is>
          <t>Cristian Rodriguez (Operations Manager)</t>
        </is>
      </c>
      <c r="H317" s="59" t="n"/>
      <c r="I317" s="59" t="inlineStr">
        <is>
          <t>(56) 9 7135 8585</t>
        </is>
      </c>
      <c r="J317" s="59" t="n"/>
      <c r="K317" s="59" t="inlineStr">
        <is>
          <t>76.133.111-6</t>
        </is>
      </c>
      <c r="L317" s="59" t="inlineStr">
        <is>
          <t>Ventas: GRANDE 2 (200.000 - 600.000 UF) | Empleados: 32</t>
        </is>
      </c>
      <c r="M317" s="59" t="inlineStr">
        <is>
          <t>Tier 1 - OPORTUNIDAD ACTIVA (VIP)</t>
        </is>
      </c>
      <c r="N317" s="61" t="n"/>
      <c r="O317" s="61" t="n"/>
      <c r="P317" s="61" t="n"/>
      <c r="Q317" s="61" t="n"/>
      <c r="R317" s="61" t="n"/>
      <c r="S317" s="62" t="n"/>
      <c r="T317" s="61" t="n"/>
    </row>
    <row r="318" ht="15.75" customHeight="1" s="38">
      <c r="A318" s="59" t="inlineStr">
        <is>
          <t>Scan Global Logistics Chile S.A.</t>
        </is>
      </c>
      <c r="B318" s="59" t="inlineStr">
        <is>
          <t>Transporte Internacional</t>
        </is>
      </c>
      <c r="C318" s="59" t="inlineStr">
        <is>
          <t>Santiago</t>
        </is>
      </c>
      <c r="D318" s="59" t="inlineStr">
        <is>
          <t>Investigación en Proceso</t>
        </is>
      </c>
      <c r="E318" s="59" t="n"/>
      <c r="F318" s="59" t="n"/>
      <c r="G318" s="59" t="inlineStr">
        <is>
          <t>Eduardo Valenzuela (IT Manager Chile)</t>
        </is>
      </c>
      <c r="H318" s="59" t="inlineStr">
        <is>
          <t>edva@scangl.com</t>
        </is>
      </c>
      <c r="I318" s="59" t="inlineStr">
        <is>
          <t>(56) 2 2938 3550</t>
        </is>
      </c>
      <c r="J318" s="59" t="n"/>
      <c r="K318" s="59" t="inlineStr">
        <is>
          <t>76.041.117-5</t>
        </is>
      </c>
      <c r="L318" s="59" t="inlineStr">
        <is>
          <t>Ventas: GRANDE 3 (600.000 - 1.000.000 UF) | Empleados: 39</t>
        </is>
      </c>
      <c r="M318" s="59" t="inlineStr">
        <is>
          <t>Tier 1 - OPORTUNIDAD ACTIVA (VIP)</t>
        </is>
      </c>
      <c r="N318" s="61" t="n"/>
      <c r="O318" s="61" t="n"/>
      <c r="P318" s="61" t="n"/>
      <c r="Q318" s="61" t="n"/>
      <c r="R318" s="61" t="n"/>
      <c r="S318" s="62" t="n"/>
      <c r="T318" s="61" t="n"/>
    </row>
    <row r="319" ht="15.75" customHeight="1" s="38">
      <c r="A319" s="59" t="inlineStr">
        <is>
          <t>Scanavini S.A.</t>
        </is>
      </c>
      <c r="B319" s="59" t="inlineStr">
        <is>
          <t>Candados para Alta Seguridad</t>
        </is>
      </c>
      <c r="C319" s="59" t="inlineStr">
        <is>
          <t>Santiago</t>
        </is>
      </c>
      <c r="D319" s="59" t="inlineStr">
        <is>
          <t>Investigación en Proceso</t>
        </is>
      </c>
      <c r="E319" s="59" t="n"/>
      <c r="F319" s="59" t="n"/>
      <c r="G319" s="59" t="inlineStr">
        <is>
          <t>Manuel Garrido (Jefe de Sistemas)</t>
        </is>
      </c>
      <c r="H319" s="59" t="inlineStr">
        <is>
          <t>mgarrido@scanavini.cl</t>
        </is>
      </c>
      <c r="I319" s="59" t="inlineStr">
        <is>
          <t>(56) 2 2829 0100</t>
        </is>
      </c>
      <c r="J319" s="59" t="n"/>
      <c r="K319" s="59" t="inlineStr">
        <is>
          <t>79.831.880-2</t>
        </is>
      </c>
      <c r="L319" s="59" t="inlineStr">
        <is>
          <t>Ventas: GRANDE 3 (600.000 - 1.000.000 UF) | Empleados: 73</t>
        </is>
      </c>
      <c r="M319" s="59" t="inlineStr">
        <is>
          <t>Tier 1 - OPORTUNIDAD ACTIVA (VIP)</t>
        </is>
      </c>
      <c r="N319" s="61" t="n"/>
      <c r="O319" s="61" t="n"/>
      <c r="P319" s="61" t="n"/>
      <c r="Q319" s="61" t="n"/>
      <c r="R319" s="61" t="n"/>
      <c r="S319" s="62" t="n"/>
      <c r="T319" s="61" t="n"/>
    </row>
    <row r="320" ht="15.75" customHeight="1" s="38">
      <c r="A320" s="59" t="inlineStr">
        <is>
          <t>Scancontrols</t>
        </is>
      </c>
      <c r="B320" s="59" t="inlineStr">
        <is>
          <t>Reparación de Válvulas, Válvulas</t>
        </is>
      </c>
      <c r="C320" s="59" t="inlineStr">
        <is>
          <t>Santiago</t>
        </is>
      </c>
      <c r="D320" s="59" t="inlineStr">
        <is>
          <t>Investigación en Proceso</t>
        </is>
      </c>
      <c r="E320" s="59" t="n"/>
      <c r="F320" s="59" t="n"/>
      <c r="G320" s="59" t="inlineStr">
        <is>
          <t>Patricio Soto (Jefe de Informática)</t>
        </is>
      </c>
      <c r="H320" s="59" t="inlineStr">
        <is>
          <t>psoto@scancontrols.cl</t>
        </is>
      </c>
      <c r="I320" s="59" t="inlineStr">
        <is>
          <t>(56) 9 5169 7887</t>
        </is>
      </c>
      <c r="J320" s="59" t="n"/>
      <c r="K320" s="59" t="inlineStr">
        <is>
          <t>77.572.850-7</t>
        </is>
      </c>
      <c r="L320" s="59" t="inlineStr">
        <is>
          <t>Ventas: GRANDE 3 (600.000 - 1.000.000 UF) | Empleados: 92</t>
        </is>
      </c>
      <c r="M320" s="59" t="inlineStr">
        <is>
          <t>Tier 1 - OPORTUNIDAD ACTIVA (VIP)</t>
        </is>
      </c>
      <c r="N320" s="61" t="n"/>
      <c r="O320" s="61" t="n"/>
      <c r="P320" s="61" t="n"/>
      <c r="Q320" s="61" t="n"/>
      <c r="R320" s="61" t="n"/>
      <c r="S320" s="62" t="n"/>
      <c r="T320" s="61" t="n"/>
    </row>
    <row r="321" ht="15.75" customHeight="1" s="38">
      <c r="A321" s="59" t="inlineStr">
        <is>
          <t>Scharfstein S.A.</t>
        </is>
      </c>
      <c r="B321" s="59" t="inlineStr">
        <is>
          <t>Comunicaciones, Equipos para Seguridad, Sistemas de Control y Seguridad</t>
        </is>
      </c>
      <c r="C321" s="59" t="inlineStr">
        <is>
          <t>Santiago</t>
        </is>
      </c>
      <c r="D321" s="59" t="inlineStr">
        <is>
          <t>Investigación en Proceso</t>
        </is>
      </c>
      <c r="E321" s="59" t="n"/>
      <c r="F321" s="59" t="n"/>
      <c r="G321" s="59" t="inlineStr">
        <is>
          <t>Pablo San Martín Delgado (Encargado IT e Infraestructura)</t>
        </is>
      </c>
      <c r="H321" s="59" t="inlineStr">
        <is>
          <t>p.sanmartin@scharfstein.cl</t>
        </is>
      </c>
      <c r="I321" s="59" t="inlineStr">
        <is>
          <t>(56) 2 2550 0000</t>
        </is>
      </c>
      <c r="J321" s="59" t="n"/>
      <c r="K321" s="59" t="inlineStr">
        <is>
          <t>92.734.000-3</t>
        </is>
      </c>
      <c r="L321" s="59" t="inlineStr">
        <is>
          <t>Ventas: GRANDE 3 (600.000 - 1.000.000 UF) | Empleados: 138</t>
        </is>
      </c>
      <c r="M321" s="59" t="inlineStr">
        <is>
          <t>Tier 1 - OPORTUNIDAD ACTIVA (VIP)</t>
        </is>
      </c>
      <c r="N321" s="61" t="n"/>
      <c r="O321" s="61" t="n"/>
      <c r="P321" s="61" t="n"/>
      <c r="Q321" s="61" t="n"/>
      <c r="R321" s="61" t="n"/>
      <c r="S321" s="62" t="n"/>
      <c r="T321" s="61" t="n"/>
    </row>
    <row r="322" ht="15.75" customHeight="1" s="38">
      <c r="A322" s="59" t="inlineStr">
        <is>
          <t>Serpram S.A.</t>
        </is>
      </c>
      <c r="B322" s="59" t="inlineStr">
        <is>
          <t>Equipos para Mediciones Ambientales</t>
        </is>
      </c>
      <c r="C322" s="59" t="inlineStr">
        <is>
          <t>Santiago</t>
        </is>
      </c>
      <c r="D322" s="59" t="inlineStr">
        <is>
          <t>Investigación en Proceso</t>
        </is>
      </c>
      <c r="E322" s="59" t="n"/>
      <c r="F322" s="59" t="n"/>
      <c r="G322" s="59" t="inlineStr">
        <is>
          <t>Andrés Patricio Lagunas Andrade (TIC Manager)</t>
        </is>
      </c>
      <c r="H322" s="59" t="inlineStr">
        <is>
          <t>a.lagunas@serpram.cl</t>
        </is>
      </c>
      <c r="I322" s="59" t="inlineStr">
        <is>
          <t>(56) 9 4469 6615</t>
        </is>
      </c>
      <c r="J322" s="59" t="n"/>
      <c r="K322" s="59" t="inlineStr">
        <is>
          <t>96.799.790-0</t>
        </is>
      </c>
      <c r="L322" s="59" t="inlineStr">
        <is>
          <t>Ventas: GRANDE 3 (600.000 - 1.000.000 UF) | Empleados: 119</t>
        </is>
      </c>
      <c r="M322" s="59" t="inlineStr">
        <is>
          <t>Tier 1 - OPORTUNIDAD ACTIVA (VIP)</t>
        </is>
      </c>
      <c r="N322" s="61" t="n"/>
      <c r="O322" s="61" t="n"/>
      <c r="P322" s="61" t="n"/>
      <c r="Q322" s="61" t="n"/>
      <c r="R322" s="61" t="n"/>
      <c r="S322" s="62" t="n"/>
      <c r="T322" s="61" t="n"/>
    </row>
    <row r="323" ht="15.75" customHeight="1" s="38">
      <c r="A323" s="66" t="inlineStr">
        <is>
          <t>Serviall</t>
        </is>
      </c>
      <c r="B323" s="66" t="inlineStr">
        <is>
          <t>Proveedor Destacado, Administración de Bodegas, Administración de Contratos, Administración de Pañoles, Artículos para la Minería, Automatización de Bodegas, Automatización de Procesos, Automatización y Control, Carros de Ferretería Móvil, Control de Recepción y Despacho de Productos</t>
        </is>
      </c>
      <c r="C323" s="66" t="inlineStr">
        <is>
          <t>Santiago</t>
        </is>
      </c>
      <c r="D323" s="66" t="n"/>
      <c r="E323" s="66" t="n"/>
      <c r="F323" s="66" t="n"/>
      <c r="G323" s="66" t="inlineStr">
        <is>
          <t>Gerente de TI / CIO (Director de Tecnología)</t>
        </is>
      </c>
      <c r="H323" s="66" t="n"/>
      <c r="I323" s="66" t="inlineStr">
        <is>
          <t>(56) 9 4046 6607</t>
        </is>
      </c>
      <c r="J323" s="66" t="inlineStr">
        <is>
          <t>http://www.serviall.cl</t>
        </is>
      </c>
      <c r="K323" s="66" t="inlineStr">
        <is>
          <t>76.035.324-8</t>
        </is>
      </c>
      <c r="L323" s="66" t="inlineStr">
        <is>
          <t>Ventas: GRANDE 4 (Mas de 1.000.000 UF) | Empleados: 301</t>
        </is>
      </c>
      <c r="M323" s="66" t="inlineStr">
        <is>
          <t>Tier 1 - VIP (Alta Venta + DM)</t>
        </is>
      </c>
      <c r="N323" s="61" t="n"/>
      <c r="O323" s="61" t="n"/>
      <c r="P323" s="61" t="n"/>
      <c r="Q323" s="61" t="n"/>
      <c r="R323" s="61" t="n"/>
      <c r="S323" s="62" t="n"/>
      <c r="T323" s="61" t="n"/>
    </row>
    <row r="324" ht="15.75" customHeight="1" s="38">
      <c r="A324" s="66" t="inlineStr">
        <is>
          <t>Sew Eurodrive Chile Ltda.</t>
        </is>
      </c>
      <c r="B324" s="66" t="inlineStr">
        <is>
          <t>Reductores</t>
        </is>
      </c>
      <c r="C324" s="66" t="inlineStr">
        <is>
          <t>Santiago</t>
        </is>
      </c>
      <c r="D324" s="66" t="n"/>
      <c r="E324" s="66" t="n"/>
      <c r="F324" s="66" t="n"/>
      <c r="G324" s="66" t="inlineStr">
        <is>
          <t>Gerente de TI / CIO (Director de Tecnología)</t>
        </is>
      </c>
      <c r="H324" s="66" t="n"/>
      <c r="I324" s="66" t="inlineStr">
        <is>
          <t>(56) 2 2757 7000</t>
        </is>
      </c>
      <c r="J324" s="66" t="n"/>
      <c r="K324" s="66" t="inlineStr">
        <is>
          <t>78.075.630-6</t>
        </is>
      </c>
      <c r="L324" s="66" t="inlineStr">
        <is>
          <t>Ventas: GRANDE 4 (Mas de 1.000.000 UF) | Empleados: 107</t>
        </is>
      </c>
      <c r="M324" s="66" t="inlineStr">
        <is>
          <t>Tier 1 - VIP (Alta Venta + DM)</t>
        </is>
      </c>
      <c r="N324" s="61" t="n"/>
      <c r="O324" s="61" t="n"/>
      <c r="P324" s="61" t="n"/>
      <c r="Q324" s="61" t="n"/>
      <c r="R324" s="61" t="n"/>
      <c r="S324" s="62" t="n"/>
      <c r="T324" s="61" t="n"/>
    </row>
    <row r="325" ht="15.75" customHeight="1" s="38">
      <c r="A325" s="59" t="inlineStr">
        <is>
          <t>Shimin Ingeniería SpA</t>
        </is>
      </c>
      <c r="B325" s="59" t="inlineStr">
        <is>
          <t>Proyectos de Ingeniería, Transporte de Fluidos</t>
        </is>
      </c>
      <c r="C325" s="59" t="inlineStr">
        <is>
          <t>Santiago</t>
        </is>
      </c>
      <c r="D325" s="59" t="inlineStr">
        <is>
          <t>Ingeniería Minera &amp; Gestión Relaves</t>
        </is>
      </c>
      <c r="E325" s="59" t="n"/>
      <c r="F325" s="59" t="inlineStr">
        <is>
          <t>https://www.google.com/search?q=Shimin+Ingenier%C3%ADa+SpA+LinkedIn</t>
        </is>
      </c>
      <c r="G325" s="59" t="inlineStr">
        <is>
          <t>Luis Humberto Ilabarca (Gerente Proyectos)</t>
        </is>
      </c>
      <c r="H325" s="59" t="n"/>
      <c r="I325" s="59" t="inlineStr">
        <is>
          <t>(56) 2 2449 0360</t>
        </is>
      </c>
      <c r="J325" s="59" t="n"/>
      <c r="K325" s="59" t="inlineStr">
        <is>
          <t>76.257.428-4</t>
        </is>
      </c>
      <c r="L325" s="59" t="inlineStr">
        <is>
          <t>Ventas: GRANDE 2 (200.000 - 600.000 UF) | Empleados: 163</t>
        </is>
      </c>
      <c r="M325" s="59" t="inlineStr">
        <is>
          <t>Tier 1 - OPORTUNIDAD ACTIVA (VIP)</t>
        </is>
      </c>
      <c r="N325" s="61" t="n"/>
      <c r="O325" s="61" t="n"/>
      <c r="P325" s="61" t="n"/>
      <c r="Q325" s="61" t="n"/>
      <c r="R325" s="61" t="n"/>
      <c r="S325" s="62" t="n"/>
      <c r="T325" s="61" t="n"/>
    </row>
    <row r="326" ht="15.75" customHeight="1" s="38">
      <c r="A326" s="59" t="inlineStr">
        <is>
          <t>Sick SpA</t>
        </is>
      </c>
      <c r="B326" s="59" t="inlineStr">
        <is>
          <t>Electricidad y Electrónica Industrial, Equipos para Automatización y Control, Sistemas para Automatización</t>
        </is>
      </c>
      <c r="C326" s="59" t="inlineStr">
        <is>
          <t>Santiago</t>
        </is>
      </c>
      <c r="D326" s="59" t="inlineStr">
        <is>
          <t>Inteligencia Sensores &amp; IoT Industrial</t>
        </is>
      </c>
      <c r="E326" s="59" t="n"/>
      <c r="F326" s="59" t="inlineStr">
        <is>
          <t>https://www.google.com/search?q=Sick+SpA+Chile+LinkedIn</t>
        </is>
      </c>
      <c r="G326" s="59" t="inlineStr">
        <is>
          <t>Jared Alfaro (Head Product Management)</t>
        </is>
      </c>
      <c r="H326" s="59" t="n"/>
      <c r="I326" s="59" t="inlineStr">
        <is>
          <t>(56) 2 2274 7430</t>
        </is>
      </c>
      <c r="J326" s="59" t="n"/>
      <c r="K326" s="59" t="inlineStr">
        <is>
          <t>85.572.900-8</t>
        </is>
      </c>
      <c r="L326" s="59" t="inlineStr">
        <is>
          <t>Ventas: GRANDE 2 (200.000 - 600.000 UF) | Empleados: 50</t>
        </is>
      </c>
      <c r="M326" s="59" t="inlineStr">
        <is>
          <t>Tier 1 - OPORTUNIDAD ACTIVA (VIP)</t>
        </is>
      </c>
      <c r="N326" s="61" t="n"/>
      <c r="O326" s="61" t="n"/>
      <c r="P326" s="61" t="n"/>
      <c r="Q326" s="61" t="n"/>
      <c r="R326" s="61" t="n"/>
      <c r="S326" s="62" t="n"/>
      <c r="T326" s="61" t="n"/>
    </row>
    <row r="327" ht="15.75" customHeight="1" s="38">
      <c r="A327" s="66" t="inlineStr">
        <is>
          <t>Simet</t>
        </is>
      </c>
      <c r="B327" s="66" t="inlineStr">
        <is>
          <t>Análisis de Corrosión, Análisis de Minerales</t>
        </is>
      </c>
      <c r="C327" s="66" t="inlineStr">
        <is>
          <t>Santiago</t>
        </is>
      </c>
      <c r="D327" s="66" t="n"/>
      <c r="E327" s="66" t="n"/>
      <c r="F327" s="66" t="n"/>
      <c r="G327" s="66" t="inlineStr">
        <is>
          <t>Gerente de TI / CIO (Director de Tecnología)</t>
        </is>
      </c>
      <c r="H327" s="66" t="n"/>
      <c r="I327" s="66" t="inlineStr">
        <is>
          <t>(56) 2 2323 4780</t>
        </is>
      </c>
      <c r="J327" s="66" t="n"/>
      <c r="K327" s="66" t="inlineStr">
        <is>
          <t>78.172.420-3</t>
        </is>
      </c>
      <c r="L327" s="66" t="inlineStr">
        <is>
          <t>Ventas: GRANDE 4 (Mas de 1.000.000 UF) | Empleados: 280</t>
        </is>
      </c>
      <c r="M327" s="66" t="inlineStr">
        <is>
          <t>Tier 1 - VIP (Alta Venta + DM)</t>
        </is>
      </c>
      <c r="N327" s="61" t="n"/>
      <c r="O327" s="61" t="n"/>
      <c r="P327" s="61" t="n"/>
      <c r="Q327" s="61" t="n"/>
      <c r="R327" s="61" t="n"/>
      <c r="S327" s="62" t="n"/>
      <c r="T327" s="61" t="n"/>
    </row>
    <row r="328" ht="15.75" customHeight="1" s="38">
      <c r="A328" s="59" t="inlineStr">
        <is>
          <t>Sitrans Ltda.</t>
        </is>
      </c>
      <c r="B328" s="59" t="inlineStr">
        <is>
          <t>Transporte de Carga, Transporte de Maquinaria Pesada</t>
        </is>
      </c>
      <c r="C328" s="59" t="inlineStr">
        <is>
          <t>Santiago</t>
        </is>
      </c>
      <c r="D328" s="59" t="inlineStr">
        <is>
          <t>Digitalización Servicios Logísticos</t>
        </is>
      </c>
      <c r="E328" s="59" t="inlineStr">
        <is>
          <t>LinkedIn</t>
        </is>
      </c>
      <c r="F328" s="59" t="inlineStr">
        <is>
          <t>https://cl.linkedin.com/in/ldelgadov</t>
        </is>
      </c>
      <c r="G328" s="59" t="inlineStr">
        <is>
          <t>Luis Delgado (Gerente Procesos y TI)</t>
        </is>
      </c>
      <c r="H328" s="59" t="n"/>
      <c r="I328" s="59" t="inlineStr">
        <is>
          <t>(56) 2 2540 2100</t>
        </is>
      </c>
      <c r="J328" s="59" t="n"/>
      <c r="K328" s="59" t="inlineStr">
        <is>
          <t>96.500.950-7</t>
        </is>
      </c>
      <c r="L328" s="59" t="inlineStr">
        <is>
          <t>Ventas: GRANDE (Estimado por Empleados) | Empleados: 763</t>
        </is>
      </c>
      <c r="M328" s="59" t="inlineStr">
        <is>
          <t>Tier 1 - OPORTUNIDAD ACTIVA (VIP)</t>
        </is>
      </c>
      <c r="N328" s="61" t="n"/>
      <c r="O328" s="61" t="n"/>
      <c r="P328" s="61" t="n"/>
      <c r="Q328" s="61" t="n"/>
      <c r="R328" s="61" t="n"/>
      <c r="S328" s="62" t="n"/>
      <c r="T328" s="61" t="n"/>
    </row>
    <row r="329" ht="15.75" customHeight="1" s="38">
      <c r="A329" s="59" t="inlineStr">
        <is>
          <t>Socadin</t>
        </is>
      </c>
      <c r="B329" s="59" t="inlineStr">
        <is>
          <t>Cadenas para la Nieve, Cadenas Protectoras para Maquinaria, Cuñas para Vehículos Mineros</t>
        </is>
      </c>
      <c r="C329" s="59" t="inlineStr">
        <is>
          <t>Santiago</t>
        </is>
      </c>
      <c r="D329" s="59" t="inlineStr">
        <is>
          <t>Logística Supply Chain Cadenas Minería</t>
        </is>
      </c>
      <c r="E329" s="59" t="n"/>
      <c r="F329" s="59" t="inlineStr">
        <is>
          <t>https://cl.linkedin.com/in/felipe-leyton-cuevas</t>
        </is>
      </c>
      <c r="G329" s="59" t="inlineStr">
        <is>
          <t>Felipe Leyton Cuevas (Jefe de Operaciones)</t>
        </is>
      </c>
      <c r="H329" s="59" t="n"/>
      <c r="I329" s="59" t="inlineStr">
        <is>
          <t>(56) 2 2773 3726</t>
        </is>
      </c>
      <c r="J329" s="59" t="n"/>
      <c r="K329" s="59" t="inlineStr">
        <is>
          <t>85.385.800-5</t>
        </is>
      </c>
      <c r="L329" s="59" t="inlineStr">
        <is>
          <t>Ventas: GRANDE 2 (200.000 - 600.000 UF) | Empleados: 28</t>
        </is>
      </c>
      <c r="M329" s="59" t="inlineStr">
        <is>
          <t>Tier 1 - OPORTUNIDAD ACTIVA (VIP)</t>
        </is>
      </c>
      <c r="N329" s="61" t="n"/>
      <c r="O329" s="61" t="n"/>
      <c r="P329" s="61" t="n"/>
      <c r="Q329" s="61" t="n"/>
      <c r="R329" s="61" t="n"/>
      <c r="S329" s="62" t="n"/>
      <c r="T329" s="61" t="n"/>
    </row>
    <row r="330" ht="15.75" customHeight="1" s="38">
      <c r="A330" s="59" t="inlineStr">
        <is>
          <t>Solarpack Chile Ltda.</t>
        </is>
      </c>
      <c r="B330" s="59" t="inlineStr">
        <is>
          <t>Energía Solar</t>
        </is>
      </c>
      <c r="C330" s="59" t="inlineStr">
        <is>
          <t>Santiago</t>
        </is>
      </c>
      <c r="D330" s="59" t="inlineStr">
        <is>
          <t>Nuevas Plantas Fotovoltaicas &amp; Almacenamiento</t>
        </is>
      </c>
      <c r="E330" s="59" t="n"/>
      <c r="F330" s="59" t="inlineStr">
        <is>
          <t>https://www.solarpack.com/paises/proyectos-solarpack-en-chile/</t>
        </is>
      </c>
      <c r="G330" s="59" t="inlineStr">
        <is>
          <t>Enrique M. Henríquez López (EPC Manager)</t>
        </is>
      </c>
      <c r="H330" s="59" t="n"/>
      <c r="I330" s="59" t="inlineStr">
        <is>
          <t>(56) 2 2335 8452</t>
        </is>
      </c>
      <c r="J330" s="59" t="n"/>
      <c r="K330" s="59" t="inlineStr">
        <is>
          <t>76.041.002-0</t>
        </is>
      </c>
      <c r="L330" s="59" t="inlineStr">
        <is>
          <t>Ventas: GRANDE 3 (600.000 - 1.000.000 UF) | Empleados: 70</t>
        </is>
      </c>
      <c r="M330" s="59" t="inlineStr">
        <is>
          <t>Tier 1 - OPORTUNIDAD ACTIVA (VIP)</t>
        </is>
      </c>
      <c r="N330" s="61" t="n"/>
      <c r="O330" s="61" t="n"/>
      <c r="P330" s="61" t="n"/>
      <c r="Q330" s="61" t="n"/>
      <c r="R330" s="61" t="n"/>
      <c r="S330" s="62" t="n"/>
      <c r="T330" s="61" t="n"/>
    </row>
    <row r="331" ht="15.75" customHeight="1" s="38">
      <c r="A331" s="66" t="inlineStr">
        <is>
          <t>Sunwork Protección Solar Profesional</t>
        </is>
      </c>
      <c r="B331" s="66" t="inlineStr">
        <is>
          <t>Productos para la Protección de la Piel, Protectores Solares</t>
        </is>
      </c>
      <c r="C331" s="66" t="inlineStr">
        <is>
          <t>Santiago</t>
        </is>
      </c>
      <c r="D331" s="66" t="n"/>
      <c r="E331" s="66" t="n"/>
      <c r="F331" s="66" t="n"/>
      <c r="G331" s="66" t="inlineStr">
        <is>
          <t>Gerente de TI / CIO (Director de Tecnología)</t>
        </is>
      </c>
      <c r="H331" s="66" t="n"/>
      <c r="I331" s="66" t="inlineStr">
        <is>
          <t>(56) 2 2365 9615</t>
        </is>
      </c>
      <c r="J331" s="66" t="n"/>
      <c r="K331" s="66" t="inlineStr">
        <is>
          <t>76.018.782-8</t>
        </is>
      </c>
      <c r="L331" s="66" t="inlineStr">
        <is>
          <t>Ventas: GRANDE 4 (Mas de 1.000.000 UF) | Empleados: 80</t>
        </is>
      </c>
      <c r="M331" s="66" t="inlineStr">
        <is>
          <t>Tier 1 - VIP (Alta Venta + DM)</t>
        </is>
      </c>
      <c r="N331" s="61" t="n"/>
      <c r="O331" s="61" t="n"/>
      <c r="P331" s="61" t="n"/>
      <c r="Q331" s="61" t="n"/>
      <c r="R331" s="61" t="n"/>
      <c r="S331" s="62" t="n"/>
      <c r="T331" s="61" t="n"/>
    </row>
    <row r="332" ht="15.75" customHeight="1" s="38">
      <c r="A332" s="66" t="inlineStr">
        <is>
          <t>Surtiventas</t>
        </is>
      </c>
      <c r="B332" s="66" t="inlineStr">
        <is>
          <t>Artículos para Aseo, Artículos para Oficinas, Seguridad Industrial y Minera</t>
        </is>
      </c>
      <c r="C332" s="66" t="inlineStr">
        <is>
          <t>Santiago</t>
        </is>
      </c>
      <c r="D332" s="66" t="n"/>
      <c r="E332" s="66" t="n"/>
      <c r="F332" s="66" t="n"/>
      <c r="G332" s="66" t="inlineStr">
        <is>
          <t>Gerente de TI / CIO (Director de Tecnología)</t>
        </is>
      </c>
      <c r="H332" s="66" t="n"/>
      <c r="I332" s="66" t="inlineStr">
        <is>
          <t>(56) 2 2820 6400</t>
        </is>
      </c>
      <c r="J332" s="66" t="n"/>
      <c r="K332" s="66" t="inlineStr">
        <is>
          <t>76.462.500-5</t>
        </is>
      </c>
      <c r="L332" s="66" t="inlineStr">
        <is>
          <t>Ventas: GRANDE 4 (Mas de 1.000.000 UF) | Empleados: 205</t>
        </is>
      </c>
      <c r="M332" s="66" t="inlineStr">
        <is>
          <t>Tier 1 - VIP (Alta Venta + DM)</t>
        </is>
      </c>
      <c r="N332" s="61" t="n"/>
      <c r="O332" s="61" t="n"/>
      <c r="P332" s="61" t="n"/>
      <c r="Q332" s="61" t="n"/>
      <c r="R332" s="61" t="n"/>
      <c r="S332" s="62" t="n"/>
      <c r="T332" s="61" t="n"/>
    </row>
    <row r="333" ht="15.75" customHeight="1" s="38">
      <c r="A333" s="59" t="inlineStr">
        <is>
          <t>Systec S.A.</t>
        </is>
      </c>
      <c r="B333" s="59" t="inlineStr">
        <is>
          <t>Equipamiento para Sistemas Ferroviarios: Trenes, Vías y Catenarias, Sistemas Eléctricos, Talleres y Maestranzas, Equipos Ferroviarios</t>
        </is>
      </c>
      <c r="C333" s="59" t="inlineStr">
        <is>
          <t>Santiago</t>
        </is>
      </c>
      <c r="D333" s="59" t="inlineStr">
        <is>
          <t>Transformación Digital Industrial</t>
        </is>
      </c>
      <c r="E333" s="59" t="inlineStr">
        <is>
          <t>LinkedIn</t>
        </is>
      </c>
      <c r="F333" s="59" t="inlineStr">
        <is>
          <t>https://cl.linkedin.com/in/luismondaca</t>
        </is>
      </c>
      <c r="G333" s="59" t="inlineStr">
        <is>
          <t>Luis Mondaca (Gerente TI / CDO)</t>
        </is>
      </c>
      <c r="H333" s="59" t="n"/>
      <c r="I333" s="59" t="inlineStr">
        <is>
          <t>(56) 2 2263 0228</t>
        </is>
      </c>
      <c r="J333" s="59" t="n"/>
      <c r="K333" s="59" t="inlineStr">
        <is>
          <t>96.877.190-6</t>
        </is>
      </c>
      <c r="L333" s="59" t="inlineStr">
        <is>
          <t>Ventas: GRANDE 2 (200.000 - 600.000 UF) | Empleados: 4</t>
        </is>
      </c>
      <c r="M333" s="59" t="inlineStr">
        <is>
          <t>Tier 1 - OPORTUNIDAD ACTIVA (VIP)</t>
        </is>
      </c>
      <c r="N333" s="61" t="n"/>
      <c r="O333" s="61" t="n"/>
      <c r="P333" s="61" t="n"/>
      <c r="Q333" s="61" t="n"/>
      <c r="R333" s="61" t="n"/>
      <c r="S333" s="62" t="n"/>
      <c r="T333" s="61" t="n"/>
    </row>
    <row r="334" ht="15.75" customHeight="1" s="38">
      <c r="A334" s="59" t="inlineStr">
        <is>
          <t>THC Chile S.A.</t>
        </is>
      </c>
      <c r="B334" s="59" t="inlineStr">
        <is>
          <t>Tuberías PPR y HDPE</t>
        </is>
      </c>
      <c r="C334" s="59" t="inlineStr">
        <is>
          <t>Santiago</t>
        </is>
      </c>
      <c r="D334" s="59" t="inlineStr">
        <is>
          <t>Investigación en Proceso</t>
        </is>
      </c>
      <c r="E334" s="59" t="n"/>
      <c r="F334" s="59" t="n"/>
      <c r="G334" s="59" t="inlineStr">
        <is>
          <t>Tech Lead (Tech Lead)</t>
        </is>
      </c>
      <c r="H334" s="59" t="inlineStr">
        <is>
          <t>sistemas@thcchile.cl</t>
        </is>
      </c>
      <c r="I334" s="59" t="inlineStr">
        <is>
          <t>(56) 2 2889 4811</t>
        </is>
      </c>
      <c r="J334" s="59" t="n"/>
      <c r="K334" s="59" t="inlineStr">
        <is>
          <t>96502050-0</t>
        </is>
      </c>
      <c r="L334" s="59" t="inlineStr">
        <is>
          <t>Ventas: GRANDE 3 (600.000 - 1.000.000 UF) | Empleados: 131</t>
        </is>
      </c>
      <c r="M334" s="59" t="inlineStr">
        <is>
          <t>Tier 1 - OPORTUNIDAD ACTIVA (VIP)</t>
        </is>
      </c>
      <c r="N334" s="61" t="n"/>
      <c r="O334" s="61" t="n"/>
      <c r="P334" s="61" t="n"/>
      <c r="Q334" s="61" t="n"/>
      <c r="R334" s="61" t="n"/>
      <c r="S334" s="62" t="n"/>
      <c r="T334" s="61" t="n"/>
    </row>
    <row r="335" ht="15.75" customHeight="1" s="38">
      <c r="A335" s="59" t="inlineStr">
        <is>
          <t>TIMining</t>
        </is>
      </c>
      <c r="B335" s="59" t="inlineStr">
        <is>
          <t>Digitalización de Minas, Software que Transforma Datos en Información</t>
        </is>
      </c>
      <c r="C335" s="59" t="inlineStr">
        <is>
          <t>Santiago</t>
        </is>
      </c>
      <c r="D335" s="59" t="inlineStr">
        <is>
          <t>Tecnología Digital Twin &amp; Monitoreo Operacional</t>
        </is>
      </c>
      <c r="E335" s="59" t="n"/>
      <c r="F335" s="59" t="inlineStr">
        <is>
          <t>https://pe.linkedin.com/company/timining</t>
        </is>
      </c>
      <c r="G335" s="59" t="inlineStr">
        <is>
          <t>Carlo Calderón Becerra (CTO)</t>
        </is>
      </c>
      <c r="H335" s="59" t="n"/>
      <c r="I335" s="59" t="inlineStr">
        <is>
          <t>(56) 2 2953 9522</t>
        </is>
      </c>
      <c r="J335" s="59" t="n"/>
      <c r="K335" s="59" t="inlineStr">
        <is>
          <t>76.144.006-3</t>
        </is>
      </c>
      <c r="L335" s="59" t="inlineStr">
        <is>
          <t>Ventas: GRANDE 2 (200.000 - 600.000 UF) | Empleados: 78</t>
        </is>
      </c>
      <c r="M335" s="59" t="inlineStr">
        <is>
          <t>Tier 1 - OPORTUNIDAD ACTIVA (VIP)</t>
        </is>
      </c>
      <c r="N335" s="61" t="n"/>
      <c r="O335" s="61" t="n"/>
      <c r="P335" s="61" t="n"/>
      <c r="Q335" s="61" t="n"/>
      <c r="R335" s="61" t="n"/>
      <c r="S335" s="62" t="n"/>
      <c r="T335" s="61" t="n"/>
    </row>
    <row r="336" ht="15.75" customHeight="1" s="38">
      <c r="A336" s="66" t="inlineStr">
        <is>
          <t>TKE Elevator</t>
        </is>
      </c>
      <c r="B336" s="66" t="inlineStr">
        <is>
          <t>Ascensores</t>
        </is>
      </c>
      <c r="C336" s="66" t="inlineStr">
        <is>
          <t>Santiago</t>
        </is>
      </c>
      <c r="D336" s="66" t="n"/>
      <c r="E336" s="66" t="n"/>
      <c r="F336" s="66" t="n"/>
      <c r="G336" s="66" t="inlineStr">
        <is>
          <t>Gerente de TI / CIO (Director de Tecnología)</t>
        </is>
      </c>
      <c r="H336" s="66" t="n"/>
      <c r="I336" s="66" t="inlineStr">
        <is>
          <t>600 300 2244</t>
        </is>
      </c>
      <c r="J336" s="66" t="n"/>
      <c r="K336" s="66" t="inlineStr">
        <is>
          <t>96.726.480-6</t>
        </is>
      </c>
      <c r="L336" s="66" t="inlineStr">
        <is>
          <t>Ventas: GRANDE 4 (Mas de 1.000.000 UF) | Empleados: 352</t>
        </is>
      </c>
      <c r="M336" s="66" t="inlineStr">
        <is>
          <t>Tier 1 - VIP (Alta Venta + DM)</t>
        </is>
      </c>
      <c r="N336" s="61" t="n"/>
      <c r="O336" s="61" t="n"/>
      <c r="P336" s="61" t="n"/>
      <c r="Q336" s="61" t="n"/>
      <c r="R336" s="61" t="n"/>
      <c r="S336" s="62" t="n"/>
      <c r="T336" s="61" t="n"/>
    </row>
    <row r="337" ht="15.75" customHeight="1" s="38">
      <c r="A337" s="66" t="inlineStr">
        <is>
          <t>Talleres Lucas S.A.</t>
        </is>
      </c>
      <c r="B337" s="66" t="inlineStr">
        <is>
          <t>Reparación de Equipos Hidráulicos, Sistemas Hidráulicos</t>
        </is>
      </c>
      <c r="C337" s="66" t="inlineStr">
        <is>
          <t>Santiago</t>
        </is>
      </c>
      <c r="D337" s="66" t="n"/>
      <c r="E337" s="66" t="n"/>
      <c r="F337" s="66" t="n"/>
      <c r="G337" s="66" t="inlineStr">
        <is>
          <t>Gerente de TI / CIO (Director de Tecnología)</t>
        </is>
      </c>
      <c r="H337" s="66" t="n"/>
      <c r="I337" s="66" t="inlineStr">
        <is>
          <t>(56) 2 2530 2929</t>
        </is>
      </c>
      <c r="J337" s="66" t="n"/>
      <c r="K337" s="66" t="inlineStr">
        <is>
          <t>83.156.400-8</t>
        </is>
      </c>
      <c r="L337" s="66" t="inlineStr">
        <is>
          <t>Ventas: GRANDE 4 (Mas de 1.000.000 UF) | Empleados: 172</t>
        </is>
      </c>
      <c r="M337" s="66" t="inlineStr">
        <is>
          <t>Tier 1 - VIP (Alta Venta + DM)</t>
        </is>
      </c>
      <c r="N337" s="61" t="n"/>
      <c r="O337" s="61" t="n"/>
      <c r="P337" s="61" t="n"/>
      <c r="Q337" s="61" t="n"/>
      <c r="R337" s="61" t="n"/>
      <c r="S337" s="62" t="n"/>
      <c r="T337" s="61" t="n"/>
    </row>
    <row r="338" ht="15.75" customHeight="1" s="38">
      <c r="A338" s="66" t="inlineStr">
        <is>
          <t>Tapel Willamette</t>
        </is>
      </c>
      <c r="B338" s="66" t="inlineStr">
        <is>
          <t>Control de Polvo, Reparación y Sello de Losas de Hormigón, Revestimientos Industriales</t>
        </is>
      </c>
      <c r="C338" s="66" t="inlineStr">
        <is>
          <t>Coronel</t>
        </is>
      </c>
      <c r="D338" s="66" t="n"/>
      <c r="E338" s="66" t="n"/>
      <c r="F338" s="66" t="n"/>
      <c r="G338" s="66" t="inlineStr">
        <is>
          <t>Gerente de TI / CIO (Director de Tecnología)</t>
        </is>
      </c>
      <c r="H338" s="66" t="n"/>
      <c r="I338" s="66" t="inlineStr">
        <is>
          <t>(56) 41 292 8100</t>
        </is>
      </c>
      <c r="J338" s="66" t="n"/>
      <c r="K338" s="66" t="inlineStr">
        <is>
          <t>96.918.400-1</t>
        </is>
      </c>
      <c r="L338" s="66" t="inlineStr">
        <is>
          <t>Ventas: GRANDE 4 (Mas de 1.000.000 UF) | Empleados: 79</t>
        </is>
      </c>
      <c r="M338" s="66" t="inlineStr">
        <is>
          <t>Tier 1 - VIP (Alta Venta + DM)</t>
        </is>
      </c>
      <c r="N338" s="61" t="n"/>
      <c r="O338" s="61" t="n"/>
      <c r="P338" s="61" t="n"/>
      <c r="Q338" s="61" t="n"/>
      <c r="R338" s="61" t="n"/>
      <c r="S338" s="62" t="n"/>
      <c r="T338" s="61" t="n"/>
    </row>
    <row r="339" ht="15.75" customHeight="1" s="38">
      <c r="A339" s="66" t="inlineStr">
        <is>
          <t>Tarpulin</t>
        </is>
      </c>
      <c r="B339" s="66" t="inlineStr">
        <is>
          <t>Construcciones Modulares</t>
        </is>
      </c>
      <c r="C339" s="66" t="inlineStr">
        <is>
          <t>Santiago</t>
        </is>
      </c>
      <c r="D339" s="66" t="n"/>
      <c r="E339" s="66" t="n"/>
      <c r="F339" s="66" t="n"/>
      <c r="G339" s="66" t="inlineStr">
        <is>
          <t>Gerente de TI / CIO (Director de Tecnología)</t>
        </is>
      </c>
      <c r="H339" s="66" t="n"/>
      <c r="I339" s="66" t="inlineStr">
        <is>
          <t>(56) 2 2347 7600</t>
        </is>
      </c>
      <c r="J339" s="66" t="n"/>
      <c r="K339" s="66" t="inlineStr">
        <is>
          <t>89.722.200-0</t>
        </is>
      </c>
      <c r="L339" s="66" t="inlineStr">
        <is>
          <t>Ventas: GRANDE 4 (Mas de 1.000.000 UF) | Empleados: 273</t>
        </is>
      </c>
      <c r="M339" s="66" t="inlineStr">
        <is>
          <t>Tier 1 - VIP (Alta Venta + DM)</t>
        </is>
      </c>
      <c r="N339" s="61" t="n"/>
      <c r="O339" s="61" t="n"/>
      <c r="P339" s="61" t="n"/>
      <c r="Q339" s="61" t="n"/>
      <c r="R339" s="61" t="n"/>
      <c r="S339" s="62" t="n"/>
      <c r="T339" s="61" t="n"/>
    </row>
    <row r="340" ht="15.75" customHeight="1" s="38">
      <c r="A340" s="66" t="inlineStr">
        <is>
          <t>Tecbolt S.A.</t>
        </is>
      </c>
      <c r="B340" s="66" t="inlineStr">
        <is>
          <t>Anclajes</t>
        </is>
      </c>
      <c r="C340" s="66" t="inlineStr">
        <is>
          <t>Santiago</t>
        </is>
      </c>
      <c r="D340" s="66" t="n"/>
      <c r="E340" s="66" t="n"/>
      <c r="F340" s="66" t="n"/>
      <c r="G340" s="66" t="inlineStr">
        <is>
          <t>Gerente de TI / CIO (Director de Tecnología)</t>
        </is>
      </c>
      <c r="H340" s="66" t="n"/>
      <c r="I340" s="66" t="inlineStr">
        <is>
          <t>(56) 2 2476 7000</t>
        </is>
      </c>
      <c r="J340" s="66" t="n"/>
      <c r="K340" s="66" t="inlineStr">
        <is>
          <t>96.565.870-K</t>
        </is>
      </c>
      <c r="L340" s="66" t="inlineStr">
        <is>
          <t>Ventas: GRANDE 4 (Mas de 1.000.000 UF) | Empleados: 443</t>
        </is>
      </c>
      <c r="M340" s="66" t="inlineStr">
        <is>
          <t>Tier 1 - VIP (Alta Venta + DM)</t>
        </is>
      </c>
      <c r="N340" s="61" t="n"/>
      <c r="O340" s="61" t="n"/>
      <c r="P340" s="61" t="n"/>
      <c r="Q340" s="61" t="n"/>
      <c r="R340" s="61" t="n"/>
      <c r="S340" s="62" t="n"/>
      <c r="T340" s="61" t="n"/>
    </row>
    <row r="341" ht="15.75" customHeight="1" s="38">
      <c r="A341" s="59" t="inlineStr">
        <is>
          <t>Technosteel</t>
        </is>
      </c>
      <c r="B341" s="59" t="inlineStr">
        <is>
          <t>Aceros para Perforación</t>
        </is>
      </c>
      <c r="C341" s="59" t="inlineStr">
        <is>
          <t>Santiago</t>
        </is>
      </c>
      <c r="D341" s="59" t="inlineStr">
        <is>
          <t>Mantenimiento Predictivo Minería 4.0</t>
        </is>
      </c>
      <c r="E341" s="59" t="n"/>
      <c r="F341" s="59" t="inlineStr">
        <is>
          <t>http://www.technosteel.cl/</t>
        </is>
      </c>
      <c r="G341" s="59" t="inlineStr">
        <is>
          <t>Ariel Severino Fuentes (Jefe de Planta)</t>
        </is>
      </c>
      <c r="H341" s="59" t="n"/>
      <c r="I341" s="59" t="inlineStr">
        <is>
          <t>(56) 2 2378 1580</t>
        </is>
      </c>
      <c r="J341" s="59" t="n"/>
      <c r="K341" s="59" t="inlineStr">
        <is>
          <t>96.889.610-5</t>
        </is>
      </c>
      <c r="L341" s="59" t="inlineStr">
        <is>
          <t>Ventas: GRANDE 3 (600.000 - 1.000.000 UF) | Empleados: 73</t>
        </is>
      </c>
      <c r="M341" s="59" t="inlineStr">
        <is>
          <t>Tier 1 - OPORTUNIDAD ACTIVA (VIP)</t>
        </is>
      </c>
      <c r="N341" s="61" t="n"/>
      <c r="O341" s="61" t="n"/>
      <c r="P341" s="61" t="n"/>
      <c r="Q341" s="61" t="n"/>
      <c r="R341" s="61" t="n"/>
      <c r="S341" s="62" t="n"/>
      <c r="T341" s="61" t="n"/>
    </row>
    <row r="342" ht="15.75" customHeight="1" s="38">
      <c r="A342" s="66" t="inlineStr">
        <is>
          <t>Tecpromin</t>
        </is>
      </c>
      <c r="B342" s="66" t="inlineStr">
        <is>
          <t>Sistemas para Muestreo de Concentrados, Tecnología en Procesamiento de Minerales</t>
        </is>
      </c>
      <c r="C342" s="66" t="inlineStr">
        <is>
          <t>Santiago</t>
        </is>
      </c>
      <c r="D342" s="66" t="n"/>
      <c r="E342" s="66" t="n"/>
      <c r="F342" s="66" t="n"/>
      <c r="G342" s="66" t="inlineStr">
        <is>
          <t>Gerente de TI / CIO (Director de Tecnología)</t>
        </is>
      </c>
      <c r="H342" s="66" t="n"/>
      <c r="I342" s="66" t="inlineStr">
        <is>
          <t>(56) 2 2873 3600</t>
        </is>
      </c>
      <c r="J342" s="66" t="n"/>
      <c r="K342" s="66" t="inlineStr">
        <is>
          <t>89.895.100-6</t>
        </is>
      </c>
      <c r="L342" s="66" t="inlineStr">
        <is>
          <t>Ventas: GRANDE 4 (Mas de 1.000.000 UF) | Empleados: 56</t>
        </is>
      </c>
      <c r="M342" s="66" t="inlineStr">
        <is>
          <t>Tier 1 - VIP (Alta Venta + DM)</t>
        </is>
      </c>
      <c r="N342" s="61" t="n"/>
      <c r="O342" s="61" t="n"/>
      <c r="P342" s="61" t="n"/>
      <c r="Q342" s="61" t="n"/>
      <c r="R342" s="61" t="n"/>
      <c r="S342" s="62" t="n"/>
      <c r="T342" s="61" t="n"/>
    </row>
    <row r="343" ht="15.75" customHeight="1" s="38">
      <c r="A343" s="59" t="inlineStr">
        <is>
          <t>Terraservice S.A.</t>
        </is>
      </c>
      <c r="B343" s="59" t="inlineStr">
        <is>
          <t>Construcción de Chimeneas y Piques, Sondajes</t>
        </is>
      </c>
      <c r="C343" s="59" t="inlineStr">
        <is>
          <t>Santiago</t>
        </is>
      </c>
      <c r="D343" s="59" t="inlineStr">
        <is>
          <t>Investigación en Proceso</t>
        </is>
      </c>
      <c r="E343" s="59" t="n"/>
      <c r="F343" s="59" t="n"/>
      <c r="G343" s="59" t="inlineStr">
        <is>
          <t>Juan Carlos Morales (Jefe de TI)</t>
        </is>
      </c>
      <c r="H343" s="59" t="inlineStr">
        <is>
          <t>j.morales@terraservice.cl</t>
        </is>
      </c>
      <c r="I343" s="59" t="inlineStr">
        <is>
          <t>(56) 2 2714 2100</t>
        </is>
      </c>
      <c r="J343" s="59" t="n"/>
      <c r="K343" s="59" t="inlineStr">
        <is>
          <t>96.755.590-8</t>
        </is>
      </c>
      <c r="L343" s="59" t="inlineStr">
        <is>
          <t>Ventas: GRANDE 3 (600.000 - 1.000.000 UF) | Empleados: 256</t>
        </is>
      </c>
      <c r="M343" s="59" t="inlineStr">
        <is>
          <t>Tier 1 - OPORTUNIDAD ACTIVA (VIP)</t>
        </is>
      </c>
      <c r="N343" s="61" t="n"/>
      <c r="O343" s="61" t="n"/>
      <c r="P343" s="61" t="n"/>
      <c r="Q343" s="61" t="n"/>
      <c r="R343" s="61" t="n"/>
      <c r="S343" s="62" t="n"/>
      <c r="T343" s="61" t="n"/>
    </row>
    <row r="344" ht="15.75" customHeight="1" s="38">
      <c r="A344" s="59" t="inlineStr">
        <is>
          <t>Tesa Tape Chile S.A.</t>
        </is>
      </c>
      <c r="B344" s="59" t="inlineStr">
        <is>
          <t>Adhesivos, Cintas Adhesivas</t>
        </is>
      </c>
      <c r="C344" s="59" t="inlineStr">
        <is>
          <t>Santiago</t>
        </is>
      </c>
      <c r="D344" s="59" t="inlineStr">
        <is>
          <t>Investigación en Proceso</t>
        </is>
      </c>
      <c r="E344" s="59" t="n"/>
      <c r="F344" s="59" t="n"/>
      <c r="G344" s="59" t="inlineStr">
        <is>
          <t>Marcelo Rojas (IT Manager Chile)</t>
        </is>
      </c>
      <c r="H344" s="59" t="inlineStr">
        <is>
          <t>m.rojas@tesa.com</t>
        </is>
      </c>
      <c r="I344" s="59" t="inlineStr">
        <is>
          <t>(56) 2 2369 3600</t>
        </is>
      </c>
      <c r="J344" s="59" t="n"/>
      <c r="K344" s="59" t="inlineStr">
        <is>
          <t>96.996.330-2</t>
        </is>
      </c>
      <c r="L344" s="59" t="inlineStr">
        <is>
          <t>Ventas: GRANDE 3 (600.000 - 1.000.000 UF) | Empleados: 35</t>
        </is>
      </c>
      <c r="M344" s="59" t="inlineStr">
        <is>
          <t>Tier 1 - OPORTUNIDAD ACTIVA (VIP)</t>
        </is>
      </c>
      <c r="N344" s="61" t="n"/>
      <c r="O344" s="61" t="n"/>
      <c r="P344" s="61" t="n"/>
      <c r="Q344" s="61" t="n"/>
      <c r="R344" s="61" t="n"/>
      <c r="S344" s="62" t="n"/>
      <c r="T344" s="61" t="n"/>
    </row>
    <row r="345" ht="15.75" customHeight="1" s="38">
      <c r="A345" s="59" t="inlineStr">
        <is>
          <t>Tesacom</t>
        </is>
      </c>
      <c r="B345" s="59" t="inlineStr">
        <is>
          <t>Servicios de Telecomunicaciones</t>
        </is>
      </c>
      <c r="C345" s="59" t="inlineStr">
        <is>
          <t>Santiago</t>
        </is>
      </c>
      <c r="D345" s="59" t="inlineStr">
        <is>
          <t>Conectividad Satelital &amp; IIoT</t>
        </is>
      </c>
      <c r="E345" s="59" t="n"/>
      <c r="F345" s="59" t="inlineStr">
        <is>
          <t>https://www.google.com/search?q=Tesacom+Chile+LinkedIn</t>
        </is>
      </c>
      <c r="G345" s="59" t="inlineStr">
        <is>
          <t>Álvaro Stierling (Gerente Ingeniería/TI)</t>
        </is>
      </c>
      <c r="H345" s="59" t="n"/>
      <c r="I345" s="59" t="inlineStr">
        <is>
          <t>(56) 2 2211 2667</t>
        </is>
      </c>
      <c r="J345" s="59" t="n"/>
      <c r="K345" s="59" t="inlineStr">
        <is>
          <t>96.880.440-5</t>
        </is>
      </c>
      <c r="L345" s="59" t="inlineStr">
        <is>
          <t>Ventas: GRANDE 2 (200.000 - 600.000 UF) | Empleados: 20</t>
        </is>
      </c>
      <c r="M345" s="59" t="inlineStr">
        <is>
          <t>Tier 1 - OPORTUNIDAD ACTIVA (VIP)</t>
        </is>
      </c>
      <c r="N345" s="61" t="n"/>
      <c r="O345" s="61" t="n"/>
      <c r="P345" s="61" t="n"/>
      <c r="Q345" s="61" t="n"/>
      <c r="R345" s="61" t="n"/>
      <c r="S345" s="62" t="n"/>
      <c r="T345" s="61" t="n"/>
    </row>
    <row r="346" ht="15.75" customHeight="1" s="38">
      <c r="A346" s="66" t="inlineStr">
        <is>
          <t>Texora</t>
        </is>
      </c>
      <c r="B346" s="66" t="inlineStr">
        <is>
          <t>Ropa para Seguridad, Ropa para Trabajo</t>
        </is>
      </c>
      <c r="C346" s="66" t="inlineStr">
        <is>
          <t>Santiago</t>
        </is>
      </c>
      <c r="D346" s="66" t="n"/>
      <c r="E346" s="66" t="n"/>
      <c r="F346" s="66" t="n"/>
      <c r="G346" s="66" t="inlineStr">
        <is>
          <t>Gerente de TI / CIO (Director de Tecnología)</t>
        </is>
      </c>
      <c r="H346" s="66" t="n"/>
      <c r="I346" s="66" t="inlineStr">
        <is>
          <t>(56) 2 2352 4000</t>
        </is>
      </c>
      <c r="J346" s="66" t="n"/>
      <c r="K346" s="66" t="inlineStr">
        <is>
          <t>76.435.650-0</t>
        </is>
      </c>
      <c r="L346" s="66" t="inlineStr">
        <is>
          <t>Ventas: GRANDE 4 (Mas de 1.000.000 UF) | Empleados: 52</t>
        </is>
      </c>
      <c r="M346" s="66" t="inlineStr">
        <is>
          <t>Tier 1 - VIP (Alta Venta + DM)</t>
        </is>
      </c>
      <c r="N346" s="61" t="n"/>
      <c r="O346" s="61" t="n"/>
      <c r="P346" s="61" t="n"/>
      <c r="Q346" s="61" t="n"/>
      <c r="R346" s="61" t="n"/>
      <c r="S346" s="62" t="n"/>
      <c r="T346" s="61" t="n"/>
    </row>
    <row r="347" ht="15.75" customHeight="1" s="38">
      <c r="A347" s="59" t="inlineStr">
        <is>
          <t>Thermal Engineering Ltda.</t>
        </is>
      </c>
      <c r="B347" s="59" t="inlineStr">
        <is>
          <t>Calderas</t>
        </is>
      </c>
      <c r="C347" s="59" t="inlineStr">
        <is>
          <t>Santiago</t>
        </is>
      </c>
      <c r="D347" s="59" t="inlineStr">
        <is>
          <t>Investigación en Proceso</t>
        </is>
      </c>
      <c r="E347" s="59" t="n"/>
      <c r="F347" s="59" t="n"/>
      <c r="G347" s="59" t="inlineStr">
        <is>
          <t>Technical Lead (Technical Lead)</t>
        </is>
      </c>
      <c r="H347" s="59" t="inlineStr">
        <is>
          <t>sistemas@thermal.cl</t>
        </is>
      </c>
      <c r="I347" s="59" t="inlineStr">
        <is>
          <t>(56) 2 2623 2852</t>
        </is>
      </c>
      <c r="J347" s="59" t="n"/>
      <c r="K347" s="59" t="inlineStr">
        <is>
          <t>77.091.780-8</t>
        </is>
      </c>
      <c r="L347" s="59" t="inlineStr">
        <is>
          <t>Ventas: GRANDE 3 (600.000 - 1.000.000 UF) | Empleados: 62</t>
        </is>
      </c>
      <c r="M347" s="59" t="inlineStr">
        <is>
          <t>Tier 1 - OPORTUNIDAD ACTIVA (VIP)</t>
        </is>
      </c>
      <c r="N347" s="61" t="n"/>
      <c r="O347" s="61" t="n"/>
      <c r="P347" s="61" t="n"/>
      <c r="Q347" s="61" t="n"/>
      <c r="R347" s="61" t="n"/>
      <c r="S347" s="62" t="n"/>
      <c r="T347" s="61" t="n"/>
    </row>
    <row r="348" ht="15.75" customHeight="1" s="38">
      <c r="A348" s="59" t="inlineStr">
        <is>
          <t>Thermo Fisher Scientific</t>
        </is>
      </c>
      <c r="B348" s="59" t="inlineStr">
        <is>
          <t>Análisis de Laboratorio, Equipos para Análisis Químico</t>
        </is>
      </c>
      <c r="C348" s="59" t="inlineStr">
        <is>
          <t>Santiago</t>
        </is>
      </c>
      <c r="D348" s="59" t="inlineStr">
        <is>
          <t>Investigación en Proceso</t>
        </is>
      </c>
      <c r="E348" s="59" t="n"/>
      <c r="F348" s="59" t="n"/>
      <c r="G348" s="59" t="inlineStr">
        <is>
          <t>Joaquin Daniel Araya Adasme (Lead Desktop Support Analyst)</t>
        </is>
      </c>
      <c r="H348" s="59" t="inlineStr">
        <is>
          <t>j.araya@thermofisher.com</t>
        </is>
      </c>
      <c r="I348" s="59" t="inlineStr">
        <is>
          <t>(56) 2 2378 5080</t>
        </is>
      </c>
      <c r="J348" s="59" t="n"/>
      <c r="K348" s="59" t="inlineStr">
        <is>
          <t>96.834.950-3</t>
        </is>
      </c>
      <c r="L348" s="59" t="inlineStr">
        <is>
          <t>Ventas: GRANDE 3 (600.000 - 1.000.000 UF) | Empleados: 23</t>
        </is>
      </c>
      <c r="M348" s="59" t="inlineStr">
        <is>
          <t>Tier 1 - OPORTUNIDAD ACTIVA (VIP)</t>
        </is>
      </c>
      <c r="N348" s="61" t="n"/>
      <c r="O348" s="61" t="n"/>
      <c r="P348" s="61" t="n"/>
      <c r="Q348" s="61" t="n"/>
      <c r="R348" s="61" t="n"/>
      <c r="S348" s="62" t="n"/>
      <c r="T348" s="61" t="n"/>
    </row>
    <row r="349" ht="15.75" customHeight="1" s="38">
      <c r="A349" s="59" t="inlineStr">
        <is>
          <t>Tiar Ltda.</t>
        </is>
      </c>
      <c r="B349" s="59" t="inlineStr">
        <is>
          <t>Equipos para Análisis de Vibraciones</t>
        </is>
      </c>
      <c r="C349" s="59" t="inlineStr">
        <is>
          <t>Santiago</t>
        </is>
      </c>
      <c r="D349" s="59" t="inlineStr">
        <is>
          <t>Gestión Alimentación Automatizada Sitios</t>
        </is>
      </c>
      <c r="E349" s="59" t="n"/>
      <c r="F349" s="59" t="inlineStr">
        <is>
          <t>https://www.tiar.cl/</t>
        </is>
      </c>
      <c r="G349" s="59" t="inlineStr">
        <is>
          <t>Jose Antonio Sanchez (Gerente General)</t>
        </is>
      </c>
      <c r="H349" s="59" t="n"/>
      <c r="I349" s="59" t="inlineStr">
        <is>
          <t>(56) 2 2233 7232</t>
        </is>
      </c>
      <c r="J349" s="59" t="n"/>
      <c r="K349" s="59" t="inlineStr">
        <is>
          <t>78.183.900-0</t>
        </is>
      </c>
      <c r="L349" s="59" t="inlineStr">
        <is>
          <t>Ventas: GRANDE 2 (200.000 - 600.000 UF) | Empleados: 37</t>
        </is>
      </c>
      <c r="M349" s="59" t="inlineStr">
        <is>
          <t>Tier 1 - OPORTUNIDAD ACTIVA (VIP)</t>
        </is>
      </c>
      <c r="N349" s="61" t="n"/>
      <c r="O349" s="61" t="n"/>
      <c r="P349" s="61" t="n"/>
      <c r="Q349" s="61" t="n"/>
      <c r="R349" s="61" t="n"/>
      <c r="S349" s="62" t="n"/>
      <c r="T349" s="61" t="n"/>
    </row>
    <row r="350" ht="15.75" customHeight="1" s="38">
      <c r="A350" s="66" t="inlineStr">
        <is>
          <t>Tiex</t>
        </is>
      </c>
      <c r="B350" s="66" t="inlineStr">
        <is>
          <t>Transporte de Carga Pesada, Transporte Terrestre</t>
        </is>
      </c>
      <c r="C350" s="66" t="inlineStr">
        <is>
          <t>Santiago</t>
        </is>
      </c>
      <c r="D350" s="66" t="n"/>
      <c r="E350" s="66" t="n"/>
      <c r="F350" s="66" t="n"/>
      <c r="G350" s="66" t="inlineStr">
        <is>
          <t>Gerente de TI / CIO (Director de Tecnología)</t>
        </is>
      </c>
      <c r="H350" s="66" t="n"/>
      <c r="I350" s="66" t="inlineStr">
        <is>
          <t>(56) 2 3328 8250</t>
        </is>
      </c>
      <c r="J350" s="66" t="n"/>
      <c r="K350" s="66" t="inlineStr">
        <is>
          <t>78.771.490-0</t>
        </is>
      </c>
      <c r="L350" s="66" t="inlineStr">
        <is>
          <t>Ventas: GRANDE 3 (600.000 - 1.000.000 UF) | Empleados: 174</t>
        </is>
      </c>
      <c r="M350" s="66" t="inlineStr">
        <is>
          <t>Tier 1 - VIP (Alta Venta + DM)</t>
        </is>
      </c>
      <c r="N350" s="61" t="n"/>
      <c r="O350" s="61" t="n"/>
      <c r="P350" s="61" t="n"/>
      <c r="Q350" s="61" t="n"/>
      <c r="R350" s="61" t="n"/>
      <c r="S350" s="62" t="n"/>
      <c r="T350" s="61" t="n"/>
    </row>
    <row r="351" ht="15.75" customHeight="1" s="38">
      <c r="A351" s="66" t="inlineStr">
        <is>
          <t>Tigre ADS de Chile Ltda.</t>
        </is>
      </c>
      <c r="B351" s="66" t="inlineStr">
        <is>
          <t>Tubos Corrugados de HDPE</t>
        </is>
      </c>
      <c r="C351" s="66" t="inlineStr">
        <is>
          <t>Santiago</t>
        </is>
      </c>
      <c r="D351" s="66" t="n"/>
      <c r="E351" s="66" t="n"/>
      <c r="F351" s="66" t="n"/>
      <c r="G351" s="66" t="inlineStr">
        <is>
          <t>Gerente de TI / CIO (Director de Tecnología)</t>
        </is>
      </c>
      <c r="H351" s="66" t="n"/>
      <c r="I351" s="66" t="inlineStr">
        <is>
          <t>(56) 9 7846 5190</t>
        </is>
      </c>
      <c r="J351" s="66" t="n"/>
      <c r="K351" s="66" t="inlineStr">
        <is>
          <t>76.063.753-K</t>
        </is>
      </c>
      <c r="L351" s="66" t="inlineStr">
        <is>
          <t>Ventas: GRANDE 4 (Mas de 1.000.000 UF) | Empleados: 123</t>
        </is>
      </c>
      <c r="M351" s="66" t="inlineStr">
        <is>
          <t>Tier 1 - VIP (Alta Venta + DM)</t>
        </is>
      </c>
      <c r="N351" s="61" t="n"/>
      <c r="O351" s="61" t="n"/>
      <c r="P351" s="61" t="n"/>
      <c r="Q351" s="61" t="n"/>
      <c r="R351" s="61" t="n"/>
      <c r="S351" s="62" t="n"/>
      <c r="T351" s="61" t="n"/>
    </row>
    <row r="352" ht="15.75" customHeight="1" s="38">
      <c r="A352" s="59" t="inlineStr">
        <is>
          <t>Tigre Chile S.A.</t>
        </is>
      </c>
      <c r="B352" s="59" t="inlineStr">
        <is>
          <t>Tubos de Polietileno de Alta Densidad (HDPE), Tubos de PVC y CPVC, Válvulas Termoplásticas</t>
        </is>
      </c>
      <c r="C352" s="59" t="inlineStr">
        <is>
          <t>Santiago</t>
        </is>
      </c>
      <c r="D352" s="59" t="inlineStr">
        <is>
          <t>Investigación en Proceso</t>
        </is>
      </c>
      <c r="E352" s="59" t="n"/>
      <c r="F352" s="59" t="n"/>
      <c r="G352" s="59" t="inlineStr">
        <is>
          <t>Rodrigo Tapia (IT &amp; Systems Manager Chile)</t>
        </is>
      </c>
      <c r="H352" s="59" t="inlineStr">
        <is>
          <t>rtapia@tigre.com</t>
        </is>
      </c>
      <c r="I352" s="59" t="inlineStr">
        <is>
          <t>(56) 2 6465 5973</t>
        </is>
      </c>
      <c r="J352" s="59" t="n"/>
      <c r="K352" s="59" t="inlineStr">
        <is>
          <t>77.032.200-6</t>
        </is>
      </c>
      <c r="L352" s="59" t="inlineStr">
        <is>
          <t>Ventas: GRANDE 3 (600.000 - 1.000.000 UF) | Empleados: 120</t>
        </is>
      </c>
      <c r="M352" s="59" t="inlineStr">
        <is>
          <t>Tier 1 - OPORTUNIDAD ACTIVA (VIP)</t>
        </is>
      </c>
      <c r="N352" s="61" t="n"/>
      <c r="O352" s="61" t="n"/>
      <c r="P352" s="61" t="n"/>
      <c r="Q352" s="61" t="n"/>
      <c r="R352" s="61" t="n"/>
      <c r="S352" s="62" t="n"/>
      <c r="T352" s="61" t="n"/>
    </row>
    <row r="353" ht="15.75" customHeight="1" s="38">
      <c r="A353" s="59" t="inlineStr">
        <is>
          <t>Todo Izaje</t>
        </is>
      </c>
      <c r="B353" s="59" t="inlineStr">
        <is>
          <t>Cadenas, Polipastos</t>
        </is>
      </c>
      <c r="C353" s="59" t="inlineStr">
        <is>
          <t>Iquique</t>
        </is>
      </c>
      <c r="D353" s="59" t="inlineStr">
        <is>
          <t>Digitalización Seguridad Izaje Pesado</t>
        </is>
      </c>
      <c r="E353" s="59" t="n"/>
      <c r="F353" s="59" t="inlineStr">
        <is>
          <t>https://www.todoizaje.cl/</t>
        </is>
      </c>
      <c r="G353" s="59" t="inlineStr">
        <is>
          <t>Gonzalo Lopez (Gerente Operaciones)</t>
        </is>
      </c>
      <c r="H353" s="59" t="n"/>
      <c r="I353" s="59" t="inlineStr">
        <is>
          <t>600 3600 488</t>
        </is>
      </c>
      <c r="J353" s="59" t="n"/>
      <c r="K353" s="59" t="inlineStr">
        <is>
          <t>76192151-7</t>
        </is>
      </c>
      <c r="L353" s="59" t="inlineStr">
        <is>
          <t>Ventas: GRANDE 2 (200.000 - 600.000 UF) | Empleados: 66</t>
        </is>
      </c>
      <c r="M353" s="59" t="inlineStr">
        <is>
          <t>Tier 1 - OPORTUNIDAD ACTIVA (VIP)</t>
        </is>
      </c>
      <c r="N353" s="61" t="n"/>
      <c r="O353" s="61" t="n"/>
      <c r="P353" s="61" t="n"/>
      <c r="Q353" s="61" t="n"/>
      <c r="R353" s="61" t="n"/>
      <c r="S353" s="62" t="n"/>
      <c r="T353" s="61" t="n"/>
    </row>
    <row r="354" ht="15.75" customHeight="1" s="38">
      <c r="A354" s="66" t="inlineStr">
        <is>
          <t>Tormetal Ltda.</t>
        </is>
      </c>
      <c r="B354" s="66" t="inlineStr">
        <is>
          <t>Reparación de Maquinaria para la Minería</t>
        </is>
      </c>
      <c r="C354" s="66" t="inlineStr">
        <is>
          <t>Antofagasta</t>
        </is>
      </c>
      <c r="D354" s="66" t="n"/>
      <c r="E354" s="66" t="n"/>
      <c r="F354" s="66" t="n"/>
      <c r="G354" s="66" t="inlineStr">
        <is>
          <t>Gerente de TI / CIO (Director de Tecnología)</t>
        </is>
      </c>
      <c r="H354" s="66" t="n"/>
      <c r="I354" s="66" t="inlineStr">
        <is>
          <t>(56) 55 268 9700</t>
        </is>
      </c>
      <c r="J354" s="66" t="n"/>
      <c r="K354" s="66" t="inlineStr">
        <is>
          <t>78.991.830-9</t>
        </is>
      </c>
      <c r="L354" s="66" t="inlineStr">
        <is>
          <t>Ventas: GRANDE 3 (600.000 - 1.000.000 UF) | Empleados: 351</t>
        </is>
      </c>
      <c r="M354" s="66" t="inlineStr">
        <is>
          <t>Tier 1 - VIP (Alta Venta + DM)</t>
        </is>
      </c>
      <c r="N354" s="61" t="n"/>
      <c r="O354" s="61" t="n"/>
      <c r="P354" s="61" t="n"/>
      <c r="Q354" s="61" t="n"/>
      <c r="R354" s="61" t="n"/>
      <c r="S354" s="62" t="n"/>
      <c r="T354" s="61" t="n"/>
    </row>
    <row r="355" ht="15.75" customHeight="1" s="38">
      <c r="A355" s="59" t="inlineStr">
        <is>
          <t>Tracktec Ltda.</t>
        </is>
      </c>
      <c r="B355" s="59" t="inlineStr">
        <is>
          <t>Servicios de Telemetría, Sistemas para Control de Flotas</t>
        </is>
      </c>
      <c r="C355" s="59" t="inlineStr">
        <is>
          <t>Santiago</t>
        </is>
      </c>
      <c r="D355" s="59" t="inlineStr">
        <is>
          <t>Innovación IoT &amp; Telemática Transporte</t>
        </is>
      </c>
      <c r="E355" s="59" t="n"/>
      <c r="F355" s="59" t="inlineStr">
        <is>
          <t>https://cl.linkedin.com/in/renato-ramirez-iglesias</t>
        </is>
      </c>
      <c r="G355" s="59" t="inlineStr">
        <is>
          <t>Renato Ramírez Iglesias (CEO | Transformación Digital)</t>
        </is>
      </c>
      <c r="H355" s="59" t="n"/>
      <c r="I355" s="59" t="inlineStr">
        <is>
          <t>(56) 2 2706 0500</t>
        </is>
      </c>
      <c r="J355" s="59" t="n"/>
      <c r="K355" s="59" t="inlineStr">
        <is>
          <t>76.032.475-2</t>
        </is>
      </c>
      <c r="L355" s="59" t="inlineStr">
        <is>
          <t>Ventas: GRANDE 2 (200.000 - 600.000 UF) | Empleados: 99</t>
        </is>
      </c>
      <c r="M355" s="59" t="inlineStr">
        <is>
          <t>Tier 1 - OPORTUNIDAD ACTIVA (VIP)</t>
        </is>
      </c>
      <c r="N355" s="61" t="n"/>
      <c r="O355" s="61" t="n"/>
      <c r="P355" s="61" t="n"/>
      <c r="Q355" s="61" t="n"/>
      <c r="R355" s="61" t="n"/>
      <c r="S355" s="62" t="n"/>
      <c r="T355" s="61" t="n"/>
    </row>
    <row r="356" ht="15.75" customHeight="1" s="38">
      <c r="A356" s="59" t="inlineStr">
        <is>
          <t>Tradecor S.A.</t>
        </is>
      </c>
      <c r="B356" s="59" t="inlineStr">
        <is>
          <t>Sacos</t>
        </is>
      </c>
      <c r="C356" s="59" t="inlineStr">
        <is>
          <t>Santiago</t>
        </is>
      </c>
      <c r="D356" s="59" t="inlineStr">
        <is>
          <t>Optimización Supply Chain Minera</t>
        </is>
      </c>
      <c r="E356" s="59" t="n"/>
      <c r="F356" s="59" t="inlineStr">
        <is>
          <t>https://cl.linkedin.com/in/carolina-rivero-mujica-163013b8</t>
        </is>
      </c>
      <c r="G356" s="59" t="inlineStr">
        <is>
          <t>Carolina Rivero Mujica (Key Account Manager)</t>
        </is>
      </c>
      <c r="H356" s="59" t="n"/>
      <c r="I356" s="59" t="inlineStr">
        <is>
          <t>(56) 9 9841 9283</t>
        </is>
      </c>
      <c r="J356" s="59" t="n"/>
      <c r="K356" s="59" t="inlineStr">
        <is>
          <t>76082255-8</t>
        </is>
      </c>
      <c r="L356" s="59" t="inlineStr">
        <is>
          <t>Ventas: GRANDE 2 (200.000 - 600.000 UF) | Empleados: 5</t>
        </is>
      </c>
      <c r="M356" s="59" t="inlineStr">
        <is>
          <t>Tier 1 - OPORTUNIDAD ACTIVA (VIP)</t>
        </is>
      </c>
      <c r="N356" s="61" t="n"/>
      <c r="O356" s="61" t="n"/>
      <c r="P356" s="61" t="n"/>
      <c r="Q356" s="61" t="n"/>
      <c r="R356" s="61" t="n"/>
      <c r="S356" s="62" t="n"/>
      <c r="T356" s="61" t="n"/>
    </row>
    <row r="357" ht="15.75" customHeight="1" s="38">
      <c r="A357" s="59" t="inlineStr">
        <is>
          <t>Trane de Chile S.A.</t>
        </is>
      </c>
      <c r="B357" s="59" t="inlineStr">
        <is>
          <t>Aire Acondicionado, Arriendo de Equipos de Aire Acondicionado, Automatización y Sistemas de Control, Climatización, Enfriadores, Refrigeración Industrial, Repuestos de Aire Acondicionado, Torres de Enfriamiento</t>
        </is>
      </c>
      <c r="C357" s="59" t="inlineStr">
        <is>
          <t>Santiago</t>
        </is>
      </c>
      <c r="D357" s="59" t="inlineStr">
        <is>
          <t>Investigación en Proceso</t>
        </is>
      </c>
      <c r="E357" s="59" t="n"/>
      <c r="F357" s="59" t="n"/>
      <c r="G357" s="59" t="inlineStr">
        <is>
          <t>Gonzalo Gonzalez (IT Manager Chile)</t>
        </is>
      </c>
      <c r="H357" s="59" t="inlineStr">
        <is>
          <t>gonzalo.gonzalez@trane.com</t>
        </is>
      </c>
      <c r="I357" s="59" t="inlineStr">
        <is>
          <t>(56) 2 2498 0100</t>
        </is>
      </c>
      <c r="J357" s="59" t="inlineStr">
        <is>
          <t>http://www.trane.com</t>
        </is>
      </c>
      <c r="K357" s="59" t="inlineStr">
        <is>
          <t>96.836.580-0</t>
        </is>
      </c>
      <c r="L357" s="59" t="inlineStr">
        <is>
          <t>Ventas: GRANDE 3 (600.000 - 1.000.000 UF) | Empleados: 140</t>
        </is>
      </c>
      <c r="M357" s="59" t="inlineStr">
        <is>
          <t>Tier 1 - OPORTUNIDAD ACTIVA (VIP)</t>
        </is>
      </c>
      <c r="N357" s="61" t="n"/>
      <c r="O357" s="61" t="n"/>
      <c r="P357" s="61" t="n"/>
      <c r="Q357" s="61" t="n"/>
      <c r="R357" s="61" t="n"/>
      <c r="S357" s="62" t="n"/>
      <c r="T357" s="61" t="n"/>
    </row>
    <row r="358" ht="15.75" customHeight="1" s="38">
      <c r="A358" s="66" t="inlineStr">
        <is>
          <t>Tranex Ltda.</t>
        </is>
      </c>
      <c r="B358" s="66" t="inlineStr">
        <is>
          <t>Transporte</t>
        </is>
      </c>
      <c r="C358" s="66" t="inlineStr">
        <is>
          <t>Santiago</t>
        </is>
      </c>
      <c r="D358" s="66" t="n"/>
      <c r="E358" s="66" t="n"/>
      <c r="F358" s="66" t="n"/>
      <c r="G358" s="66" t="inlineStr">
        <is>
          <t>Gerente de TI / CIO (Director de Tecnología)</t>
        </is>
      </c>
      <c r="H358" s="66" t="n"/>
      <c r="I358" s="66" t="inlineStr">
        <is>
          <t>(56) 2 2472 6900</t>
        </is>
      </c>
      <c r="J358" s="66" t="n"/>
      <c r="K358" s="66" t="inlineStr">
        <is>
          <t>79.971.430-2</t>
        </is>
      </c>
      <c r="L358" s="66" t="inlineStr">
        <is>
          <t>Ventas: GRANDE 4 (Mas de 1.000.000 UF) | Empleados: 372</t>
        </is>
      </c>
      <c r="M358" s="66" t="inlineStr">
        <is>
          <t>Tier 1 - VIP (Alta Venta + DM)</t>
        </is>
      </c>
      <c r="N358" s="61" t="n"/>
      <c r="O358" s="61" t="n"/>
      <c r="P358" s="61" t="n"/>
      <c r="Q358" s="61" t="n"/>
      <c r="R358" s="61" t="n"/>
      <c r="S358" s="62" t="n"/>
      <c r="T358" s="61" t="n"/>
    </row>
    <row r="359" ht="15.75" customHeight="1" s="38">
      <c r="A359" s="59" t="inlineStr">
        <is>
          <t>Transagro S.A.</t>
        </is>
      </c>
      <c r="B359" s="59" t="inlineStr">
        <is>
          <t>Repuestos para Camiones, Repuestos para Maquinaria Pesada</t>
        </is>
      </c>
      <c r="C359" s="59" t="inlineStr">
        <is>
          <t>Santiago</t>
        </is>
      </c>
      <c r="D359" s="59" t="inlineStr">
        <is>
          <t>Modernización Envases Industriales</t>
        </is>
      </c>
      <c r="E359" s="59" t="n"/>
      <c r="F359" s="59" t="inlineStr">
        <is>
          <t>https://cl.linkedin.com/pub/dir/Carlos/Labbe/cl-0-Chile</t>
        </is>
      </c>
      <c r="G359" s="59" t="inlineStr">
        <is>
          <t>Carlos Labbé (Gerente Operaciones)</t>
        </is>
      </c>
      <c r="H359" s="59" t="n"/>
      <c r="I359" s="59" t="inlineStr">
        <is>
          <t>(56) 2 2928 5800</t>
        </is>
      </c>
      <c r="J359" s="59" t="n"/>
      <c r="K359" s="59" t="inlineStr">
        <is>
          <t>96.882.280-2</t>
        </is>
      </c>
      <c r="L359" s="59" t="inlineStr">
        <is>
          <t>Ventas: GRANDE 2 (200.000 - 600.000 UF) | Empleados: 84</t>
        </is>
      </c>
      <c r="M359" s="59" t="inlineStr">
        <is>
          <t>Tier 1 - OPORTUNIDAD ACTIVA (VIP)</t>
        </is>
      </c>
      <c r="N359" s="61" t="n"/>
      <c r="O359" s="61" t="n"/>
      <c r="P359" s="61" t="n"/>
      <c r="Q359" s="61" t="n"/>
      <c r="R359" s="61" t="n"/>
      <c r="S359" s="62" t="n"/>
      <c r="T359" s="61" t="n"/>
    </row>
    <row r="360" ht="15.75" customHeight="1" s="38">
      <c r="A360" s="59" t="inlineStr">
        <is>
          <t>Transap S.A.</t>
        </is>
      </c>
      <c r="B360" s="59" t="inlineStr">
        <is>
          <t>Transporte Ferroviario</t>
        </is>
      </c>
      <c r="C360" s="59" t="inlineStr">
        <is>
          <t>Santiago</t>
        </is>
      </c>
      <c r="D360" s="59" t="inlineStr">
        <is>
          <t>Modernización de Flota (Locomotoras Chinas 2025) &amp; Eficiencia Operacional</t>
        </is>
      </c>
      <c r="E360" s="59" t="inlineStr">
        <is>
          <t>Portal Portuario / Transap.cl</t>
        </is>
      </c>
      <c r="F360" s="59" t="inlineStr">
        <is>
          <t>https://portalportuario.cl/terminal-portuario-valparaiso-descarga-dos-locomotoras-nuevas-para-transap/</t>
        </is>
      </c>
      <c r="G360" s="59" t="inlineStr">
        <is>
          <t>Jorge Ignacio Muñoz (Jefe de TI)</t>
        </is>
      </c>
      <c r="H360" s="59" t="inlineStr">
        <is>
          <t>jmunoz@transap.cl</t>
        </is>
      </c>
      <c r="I360" s="59" t="inlineStr">
        <is>
          <t>(56) 2 2570 2690</t>
        </is>
      </c>
      <c r="J360" s="59" t="n"/>
      <c r="K360" s="59" t="inlineStr">
        <is>
          <t>96.913.600-7</t>
        </is>
      </c>
      <c r="L360" s="59" t="inlineStr">
        <is>
          <t>Ventas: GRANDE 4 (Mas de 1.000.000 UF) | Empleados: 191</t>
        </is>
      </c>
      <c r="M360" s="59" t="inlineStr">
        <is>
          <t>Tier 1 - OPORTUNIDAD ACTIVA (VIP)</t>
        </is>
      </c>
      <c r="N360" s="61" t="n"/>
      <c r="O360" s="61" t="n"/>
      <c r="P360" s="61" t="n"/>
      <c r="Q360" s="61" t="n"/>
      <c r="R360" s="61" t="n"/>
      <c r="S360" s="62" t="n"/>
      <c r="T360" s="61" t="n"/>
    </row>
    <row r="361" ht="15.75" customHeight="1" s="38">
      <c r="A361" s="59" t="inlineStr">
        <is>
          <t>Transelec S.A.</t>
        </is>
      </c>
      <c r="B361" s="59" t="inlineStr">
        <is>
          <t>Transmisión de Energía Eléctrica</t>
        </is>
      </c>
      <c r="C361" s="59" t="inlineStr">
        <is>
          <t>Santiago</t>
        </is>
      </c>
      <c r="D361" s="59" t="inlineStr">
        <is>
          <t>Red Eléctrica Digital</t>
        </is>
      </c>
      <c r="E361" s="59" t="inlineStr">
        <is>
          <t>LinkedIn</t>
        </is>
      </c>
      <c r="F361" s="59" t="inlineStr">
        <is>
          <t>https://cl.linkedin.com/in/alejandrorehbeinoroz</t>
        </is>
      </c>
      <c r="G361" s="59" t="inlineStr">
        <is>
          <t>Alejandro Rehbein (VP Innovación)</t>
        </is>
      </c>
      <c r="H361" s="59" t="n"/>
      <c r="I361" s="59" t="inlineStr">
        <is>
          <t>(56) 2 2467 7000</t>
        </is>
      </c>
      <c r="J361" s="59" t="n"/>
      <c r="K361" s="59" t="inlineStr">
        <is>
          <t>76.555.400-4</t>
        </is>
      </c>
      <c r="L361" s="59" t="inlineStr">
        <is>
          <t>Ventas: GRANDE (Estimado por Empleados) | Empleados: 694</t>
        </is>
      </c>
      <c r="M361" s="59" t="inlineStr">
        <is>
          <t>Tier 1 - OPORTUNIDAD ACTIVA (VIP)</t>
        </is>
      </c>
      <c r="N361" s="61" t="n"/>
      <c r="O361" s="61" t="n"/>
      <c r="P361" s="61" t="n"/>
      <c r="Q361" s="61" t="n"/>
      <c r="R361" s="61" t="n"/>
      <c r="S361" s="62" t="n"/>
      <c r="T361" s="61" t="n"/>
    </row>
    <row r="362" ht="15.75" customHeight="1" s="38">
      <c r="A362" s="59" t="inlineStr">
        <is>
          <t>Transformadores CH S.A.</t>
        </is>
      </c>
      <c r="B362" s="59" t="inlineStr">
        <is>
          <t>Subestaciones Eléctricas, Transformadores para Distribución</t>
        </is>
      </c>
      <c r="C362" s="59" t="inlineStr">
        <is>
          <t>Santiago</t>
        </is>
      </c>
      <c r="D362" s="59" t="inlineStr">
        <is>
          <t>Modernización Sostenible Plantas</t>
        </is>
      </c>
      <c r="E362" s="59" t="n"/>
      <c r="F362" s="59" t="inlineStr">
        <is>
          <t>https://www.transformadoresch.cl/</t>
        </is>
      </c>
      <c r="G362" s="59" t="inlineStr">
        <is>
          <t>Rodrigo Harrison (Gerente Operaciones)</t>
        </is>
      </c>
      <c r="H362" s="59" t="n"/>
      <c r="I362" s="59" t="inlineStr">
        <is>
          <t>(56) 2 2899 4400</t>
        </is>
      </c>
      <c r="J362" s="59" t="n"/>
      <c r="K362" s="59" t="inlineStr">
        <is>
          <t>96.943.670-1</t>
        </is>
      </c>
      <c r="L362" s="59" t="inlineStr">
        <is>
          <t>Ventas: GRANDE 2 (200.000 - 600.000 UF) | Empleados: 116</t>
        </is>
      </c>
      <c r="M362" s="59" t="inlineStr">
        <is>
          <t>Tier 1 - OPORTUNIDAD ACTIVA (VIP)</t>
        </is>
      </c>
      <c r="N362" s="61" t="n"/>
      <c r="O362" s="61" t="n"/>
      <c r="P362" s="61" t="n"/>
      <c r="Q362" s="61" t="n"/>
      <c r="R362" s="61" t="n"/>
      <c r="S362" s="62" t="n"/>
      <c r="T362" s="61" t="n"/>
    </row>
    <row r="363" ht="15.75" customHeight="1" s="38">
      <c r="A363" s="66" t="inlineStr">
        <is>
          <t>Transitmar Ltda.</t>
        </is>
      </c>
      <c r="B363" s="66" t="inlineStr">
        <is>
          <t>Servicios de Almacenamiento y Depósito, Servicios de Carguío</t>
        </is>
      </c>
      <c r="C363" s="66" t="inlineStr">
        <is>
          <t>Arica</t>
        </is>
      </c>
      <c r="D363" s="66" t="n"/>
      <c r="E363" s="66" t="n"/>
      <c r="F363" s="66" t="n"/>
      <c r="G363" s="66" t="inlineStr">
        <is>
          <t>Gerente de TI / CIO (Director de Tecnología)</t>
        </is>
      </c>
      <c r="H363" s="66" t="n"/>
      <c r="I363" s="66" t="inlineStr">
        <is>
          <t>(56) 58 225 6338</t>
        </is>
      </c>
      <c r="J363" s="66" t="n"/>
      <c r="K363" s="66" t="inlineStr">
        <is>
          <t>89.566.300-K</t>
        </is>
      </c>
      <c r="L363" s="66" t="inlineStr">
        <is>
          <t>Ventas: GRANDE 3 (600.000 - 1.000.000 UF) | Empleados: 21</t>
        </is>
      </c>
      <c r="M363" s="66" t="inlineStr">
        <is>
          <t>Tier 1 - VIP (Alta Venta + DM)</t>
        </is>
      </c>
      <c r="N363" s="61" t="n"/>
      <c r="O363" s="61" t="n"/>
      <c r="P363" s="61" t="n"/>
      <c r="Q363" s="61" t="n"/>
      <c r="R363" s="61" t="n"/>
      <c r="S363" s="62" t="n"/>
      <c r="T363" s="61" t="n"/>
    </row>
    <row r="364" ht="15.75" customHeight="1" s="38">
      <c r="A364" s="66" t="inlineStr">
        <is>
          <t>Transporte Redvan</t>
        </is>
      </c>
      <c r="B364" s="66" t="inlineStr">
        <is>
          <t>Transporte de Pasajeros, Transporte de Pasajeros en Buses Interurbanos, Transporte de Personal, Transporte de Personas</t>
        </is>
      </c>
      <c r="C364" s="66" t="inlineStr">
        <is>
          <t>Santiago</t>
        </is>
      </c>
      <c r="D364" s="66" t="n"/>
      <c r="E364" s="66" t="n"/>
      <c r="F364" s="66" t="n"/>
      <c r="G364" s="66" t="inlineStr">
        <is>
          <t>Gerente de TI / CIO (Director de Tecnología)</t>
        </is>
      </c>
      <c r="H364" s="66" t="n"/>
      <c r="I364" s="66" t="inlineStr">
        <is>
          <t>(56) 9 3422 0003</t>
        </is>
      </c>
      <c r="J364" s="66" t="n"/>
      <c r="K364" s="66" t="inlineStr">
        <is>
          <t>76.815.813-4</t>
        </is>
      </c>
      <c r="L364" s="66" t="inlineStr">
        <is>
          <t>Ventas: GRANDE 3 (600.000 - 1.000.000 UF) | Empleados: 97</t>
        </is>
      </c>
      <c r="M364" s="66" t="inlineStr">
        <is>
          <t>Tier 1 - VIP (Alta Venta + DM)</t>
        </is>
      </c>
      <c r="N364" s="61" t="n"/>
      <c r="O364" s="61" t="n"/>
      <c r="P364" s="61" t="n"/>
      <c r="Q364" s="61" t="n"/>
      <c r="R364" s="61" t="n"/>
      <c r="S364" s="62" t="n"/>
      <c r="T364" s="61" t="n"/>
    </row>
    <row r="365" ht="15.75" customHeight="1" s="38">
      <c r="A365" s="66" t="inlineStr">
        <is>
          <t>Transportes Artisa</t>
        </is>
      </c>
      <c r="B365" s="66" t="inlineStr">
        <is>
          <t>Transporte Terrestre</t>
        </is>
      </c>
      <c r="C365" s="66" t="inlineStr">
        <is>
          <t>Viña del Mar</t>
        </is>
      </c>
      <c r="D365" s="66" t="n"/>
      <c r="E365" s="66" t="n"/>
      <c r="F365" s="66" t="n"/>
      <c r="G365" s="66" t="inlineStr">
        <is>
          <t>Gerente de TI / CIO (Director de Tecnología)</t>
        </is>
      </c>
      <c r="H365" s="66" t="n"/>
      <c r="I365" s="66" t="inlineStr">
        <is>
          <t>(56) 9 7741 4760</t>
        </is>
      </c>
      <c r="J365" s="66" t="n"/>
      <c r="K365" s="66" t="inlineStr">
        <is>
          <t>78161690-7</t>
        </is>
      </c>
      <c r="L365" s="66" t="inlineStr">
        <is>
          <t>Ventas: GRANDE 4 (Mas de 1.000.000 UF) | Empleados: 270</t>
        </is>
      </c>
      <c r="M365" s="66" t="inlineStr">
        <is>
          <t>Tier 1 - VIP (Alta Venta + DM)</t>
        </is>
      </c>
      <c r="N365" s="61" t="n"/>
      <c r="O365" s="61" t="n"/>
      <c r="P365" s="61" t="n"/>
      <c r="Q365" s="61" t="n"/>
      <c r="R365" s="61" t="n"/>
      <c r="S365" s="62" t="n"/>
      <c r="T365" s="61" t="n"/>
    </row>
    <row r="366" ht="15.75" customHeight="1" s="38">
      <c r="A366" s="59" t="inlineStr">
        <is>
          <t>Transportes CVU</t>
        </is>
      </c>
      <c r="B366" s="59" t="inlineStr">
        <is>
          <t>Transporte de Personal</t>
        </is>
      </c>
      <c r="C366" s="59" t="inlineStr">
        <is>
          <t>Quillota</t>
        </is>
      </c>
      <c r="D366" s="59" t="inlineStr">
        <is>
          <t>Investigación en Proceso</t>
        </is>
      </c>
      <c r="E366" s="59" t="n"/>
      <c r="F366" s="59" t="n"/>
      <c r="G366" s="59" t="inlineStr">
        <is>
          <t>Victor Rubilar (Gerente de Proyectos (IT Decision Maker))</t>
        </is>
      </c>
      <c r="H366" s="59" t="inlineStr">
        <is>
          <t>victor.rubilar@cvu.cl</t>
        </is>
      </c>
      <c r="I366" s="59" t="inlineStr">
        <is>
          <t>(56) 33 233 3522</t>
        </is>
      </c>
      <c r="J366" s="59" t="n"/>
      <c r="K366" s="59" t="inlineStr">
        <is>
          <t>76.031.431-5</t>
        </is>
      </c>
      <c r="L366" s="59" t="inlineStr">
        <is>
          <t>Ventas: GRANDE 3 (600.000 - 1.000.000 UF) | Empleados: 145</t>
        </is>
      </c>
      <c r="M366" s="59" t="inlineStr">
        <is>
          <t>Tier 1 - OPORTUNIDAD ACTIVA (VIP)</t>
        </is>
      </c>
      <c r="N366" s="61" t="n"/>
      <c r="O366" s="61" t="n"/>
      <c r="P366" s="61" t="n"/>
      <c r="Q366" s="61" t="n"/>
      <c r="R366" s="61" t="n"/>
      <c r="S366" s="62" t="n"/>
      <c r="T366" s="61" t="n"/>
    </row>
    <row r="367" ht="15.75" customHeight="1" s="38">
      <c r="A367" s="66" t="inlineStr">
        <is>
          <t>Transportes Solución SpA</t>
        </is>
      </c>
      <c r="B367" s="66" t="inlineStr">
        <is>
          <t>Radiotaxis, Servicios de Transporte, Transporte de Pasajeros</t>
        </is>
      </c>
      <c r="C367" s="66" t="inlineStr">
        <is>
          <t>Santiago</t>
        </is>
      </c>
      <c r="D367" s="66" t="n"/>
      <c r="E367" s="66" t="n"/>
      <c r="F367" s="66" t="n"/>
      <c r="G367" s="66" t="inlineStr">
        <is>
          <t>Gerente de TI / CIO (Director de Tecnología)</t>
        </is>
      </c>
      <c r="H367" s="66" t="n"/>
      <c r="I367" s="66" t="inlineStr">
        <is>
          <t>(56) 2 2633 0101</t>
        </is>
      </c>
      <c r="J367" s="66" t="n"/>
      <c r="K367" s="66" t="inlineStr">
        <is>
          <t>76.264.093-7</t>
        </is>
      </c>
      <c r="L367" s="66" t="inlineStr">
        <is>
          <t>Ventas: GRANDE 3 (600.000 - 1.000.000 UF) | Empleados: 19</t>
        </is>
      </c>
      <c r="M367" s="66" t="inlineStr">
        <is>
          <t>Tier 1 - VIP (Alta Venta + DM)</t>
        </is>
      </c>
      <c r="N367" s="61" t="n"/>
      <c r="O367" s="61" t="n"/>
      <c r="P367" s="61" t="n"/>
      <c r="Q367" s="61" t="n"/>
      <c r="R367" s="61" t="n"/>
      <c r="S367" s="62" t="n"/>
      <c r="T367" s="61" t="n"/>
    </row>
    <row r="368" ht="15.75" customHeight="1" s="38">
      <c r="A368" s="66" t="inlineStr">
        <is>
          <t>Transportes Verasay</t>
        </is>
      </c>
      <c r="B368" s="66" t="inlineStr">
        <is>
          <t>Transporte de Cargas Especiales, Transporte de Minerales</t>
        </is>
      </c>
      <c r="C368" s="66" t="inlineStr">
        <is>
          <t>Copiapó</t>
        </is>
      </c>
      <c r="D368" s="66" t="n"/>
      <c r="E368" s="66" t="n"/>
      <c r="F368" s="66" t="n"/>
      <c r="G368" s="66" t="inlineStr">
        <is>
          <t>Gerente de TI / CIO (Director de Tecnología)</t>
        </is>
      </c>
      <c r="H368" s="66" t="n"/>
      <c r="I368" s="66" t="inlineStr">
        <is>
          <t>(56) 52 225 6900</t>
        </is>
      </c>
      <c r="J368" s="66" t="n"/>
      <c r="K368" s="66" t="inlineStr">
        <is>
          <t>76.303.840-8</t>
        </is>
      </c>
      <c r="L368" s="66" t="inlineStr">
        <is>
          <t>Ventas: GRANDE 4 (Mas de 1.000.000 UF) | Empleados: 439</t>
        </is>
      </c>
      <c r="M368" s="66" t="inlineStr">
        <is>
          <t>Tier 1 - VIP (Alta Venta + DM)</t>
        </is>
      </c>
      <c r="N368" s="61" t="n"/>
      <c r="O368" s="61" t="n"/>
      <c r="P368" s="61" t="n"/>
      <c r="Q368" s="61" t="n"/>
      <c r="R368" s="61" t="n"/>
      <c r="S368" s="62" t="n"/>
      <c r="T368" s="61" t="n"/>
    </row>
    <row r="369" ht="15.75" customHeight="1" s="38">
      <c r="A369" s="59" t="inlineStr">
        <is>
          <t>Transworld Chile</t>
        </is>
      </c>
      <c r="B369" s="59" t="inlineStr">
        <is>
          <t>Cableado Estructurado, Redes de Comunicación</t>
        </is>
      </c>
      <c r="C369" s="59" t="inlineStr">
        <is>
          <t>Santiago</t>
        </is>
      </c>
      <c r="D369" s="59" t="inlineStr">
        <is>
          <t>Investigación en Proceso</t>
        </is>
      </c>
      <c r="E369" s="59" t="n"/>
      <c r="F369" s="59" t="n"/>
      <c r="G369" s="59" t="inlineStr">
        <is>
          <t>Williams Araya (Gerente de Tecnología)</t>
        </is>
      </c>
      <c r="H369" s="59" t="inlineStr">
        <is>
          <t>williams.araya@transworld.cl</t>
        </is>
      </c>
      <c r="I369" s="59" t="inlineStr">
        <is>
          <t>(56) 2 2760 4100</t>
        </is>
      </c>
      <c r="J369" s="59" t="n"/>
      <c r="K369" s="59" t="inlineStr">
        <is>
          <t>96.755.110-4</t>
        </is>
      </c>
      <c r="L369" s="59" t="inlineStr">
        <is>
          <t>Ventas: GRANDE 3 (600.000 - 1.000.000 UF) | Empleados: 62</t>
        </is>
      </c>
      <c r="M369" s="59" t="inlineStr">
        <is>
          <t>Tier 1 - OPORTUNIDAD ACTIVA (VIP)</t>
        </is>
      </c>
      <c r="N369" s="61" t="n"/>
      <c r="O369" s="61" t="n"/>
      <c r="P369" s="61" t="n"/>
      <c r="Q369" s="61" t="n"/>
      <c r="R369" s="61" t="n"/>
      <c r="S369" s="62" t="n"/>
      <c r="T369" s="61" t="n"/>
    </row>
    <row r="370" ht="15.75" customHeight="1" s="38">
      <c r="A370" s="59" t="inlineStr">
        <is>
          <t>Trefimet S.A.</t>
        </is>
      </c>
      <c r="B370" s="59" t="inlineStr">
        <is>
          <t>Tubos de Acero</t>
        </is>
      </c>
      <c r="C370" s="59" t="inlineStr">
        <is>
          <t>Santiago</t>
        </is>
      </c>
      <c r="D370" s="59" t="inlineStr">
        <is>
          <t>Digitalización Procesos Operacionales</t>
        </is>
      </c>
      <c r="E370" s="59" t="n"/>
      <c r="F370" s="59" t="inlineStr">
        <is>
          <t>https://cl.linkedin.com/in/sergioormeno</t>
        </is>
      </c>
      <c r="G370" s="59" t="inlineStr">
        <is>
          <t>Sergio Ormeño Muñoz (Subgerente Mejora Continua y TI)</t>
        </is>
      </c>
      <c r="H370" s="59" t="n"/>
      <c r="I370" s="59" t="inlineStr">
        <is>
          <t>(56) 9 8195 2015</t>
        </is>
      </c>
      <c r="J370" s="59" t="n"/>
      <c r="K370" s="59" t="inlineStr">
        <is>
          <t>79.536.120-0</t>
        </is>
      </c>
      <c r="L370" s="59" t="inlineStr">
        <is>
          <t>Ventas: GRANDE 2 (200.000 - 600.000 UF) | Empleados: 36</t>
        </is>
      </c>
      <c r="M370" s="59" t="inlineStr">
        <is>
          <t>Tier 1 - OPORTUNIDAD ACTIVA (VIP)</t>
        </is>
      </c>
      <c r="N370" s="61" t="n"/>
      <c r="O370" s="61" t="n"/>
      <c r="P370" s="61" t="n"/>
      <c r="Q370" s="61" t="n"/>
      <c r="R370" s="61" t="n"/>
      <c r="S370" s="62" t="n"/>
      <c r="T370" s="61" t="n"/>
    </row>
    <row r="371" ht="15.75" customHeight="1" s="38">
      <c r="A371" s="66" t="inlineStr">
        <is>
          <t>Triple C International Suppliers</t>
        </is>
      </c>
      <c r="B371" s="66" t="inlineStr">
        <is>
          <t>Suministro de Repuestos y Componentes OEM</t>
        </is>
      </c>
      <c r="C371" s="66" t="inlineStr">
        <is>
          <t>Santiago</t>
        </is>
      </c>
      <c r="D371" s="66" t="n"/>
      <c r="E371" s="66" t="n"/>
      <c r="F371" s="66" t="n"/>
      <c r="G371" s="66" t="inlineStr">
        <is>
          <t>Gerente de TI / CIO (Director de Tecnología)</t>
        </is>
      </c>
      <c r="H371" s="66" t="n"/>
      <c r="I371" s="66" t="inlineStr">
        <is>
          <t>(56) 9 8999 8287</t>
        </is>
      </c>
      <c r="J371" s="66" t="n"/>
      <c r="K371" s="66" t="inlineStr">
        <is>
          <t>76.009.782-9</t>
        </is>
      </c>
      <c r="L371" s="66" t="inlineStr">
        <is>
          <t>Ventas: GRANDE 3 (600.000 - 1.000.000 UF) | Empleados: 12</t>
        </is>
      </c>
      <c r="M371" s="66" t="inlineStr">
        <is>
          <t>Tier 1 - VIP (Alta Venta + DM)</t>
        </is>
      </c>
      <c r="N371" s="61" t="n"/>
      <c r="O371" s="61" t="n"/>
      <c r="P371" s="61" t="n"/>
      <c r="Q371" s="61" t="n"/>
      <c r="R371" s="61" t="n"/>
      <c r="S371" s="62" t="n"/>
      <c r="T371" s="61" t="n"/>
    </row>
    <row r="372" ht="15.75" customHeight="1" s="38">
      <c r="A372" s="66" t="inlineStr">
        <is>
          <t>Tritec-Intervento SpA</t>
        </is>
      </c>
      <c r="B372" s="66" t="inlineStr">
        <is>
          <t>Desarrollo de Energía Solar Fotovoltaica</t>
        </is>
      </c>
      <c r="C372" s="66" t="inlineStr">
        <is>
          <t>Santiago</t>
        </is>
      </c>
      <c r="D372" s="66" t="n"/>
      <c r="E372" s="66" t="n"/>
      <c r="F372" s="66" t="n"/>
      <c r="G372" s="66" t="inlineStr">
        <is>
          <t>Gerente de TI / CIO (Director de Tecnología)</t>
        </is>
      </c>
      <c r="H372" s="66" t="n"/>
      <c r="I372" s="66" t="inlineStr">
        <is>
          <t>(56) 2 3202 6494</t>
        </is>
      </c>
      <c r="J372" s="66" t="n"/>
      <c r="K372" s="66" t="inlineStr">
        <is>
          <t>76188578-2</t>
        </is>
      </c>
      <c r="L372" s="66" t="inlineStr">
        <is>
          <t>Ventas: GRANDE 4 (Mas de 1.000.000 UF) | Empleados: 157</t>
        </is>
      </c>
      <c r="M372" s="66" t="inlineStr">
        <is>
          <t>Tier 1 - VIP (Alta Venta + DM)</t>
        </is>
      </c>
      <c r="N372" s="61" t="n"/>
      <c r="O372" s="61" t="n"/>
      <c r="P372" s="61" t="n"/>
      <c r="Q372" s="61" t="n"/>
      <c r="R372" s="61" t="n"/>
      <c r="S372" s="62" t="n"/>
      <c r="T372" s="61" t="n"/>
    </row>
    <row r="373" ht="15.75" customHeight="1" s="38">
      <c r="A373" s="59" t="inlineStr">
        <is>
          <t>Truly Nolen Chile S.A.</t>
        </is>
      </c>
      <c r="B373" s="59" t="inlineStr">
        <is>
          <t>Control de Plagas</t>
        </is>
      </c>
      <c r="C373" s="59" t="inlineStr">
        <is>
          <t>Santiago</t>
        </is>
      </c>
      <c r="D373" s="59" t="inlineStr">
        <is>
          <t>Investigación en Proceso</t>
        </is>
      </c>
      <c r="E373" s="59" t="n"/>
      <c r="F373" s="59" t="n"/>
      <c r="G373" s="59" t="inlineStr">
        <is>
          <t>Claudio Sabelle (Gerente de Operaciones)</t>
        </is>
      </c>
      <c r="H373" s="59" t="inlineStr">
        <is>
          <t>csabelle@trulynolen.cl</t>
        </is>
      </c>
      <c r="I373" s="59" t="inlineStr">
        <is>
          <t>(56) 2 2784 4400</t>
        </is>
      </c>
      <c r="J373" s="59" t="n"/>
      <c r="K373" s="59" t="inlineStr">
        <is>
          <t>96.591.760-8</t>
        </is>
      </c>
      <c r="L373" s="59" t="inlineStr">
        <is>
          <t>Ventas: GRANDE 3 (600.000 - 1.000.000 UF) | Empleados: 362</t>
        </is>
      </c>
      <c r="M373" s="59" t="inlineStr">
        <is>
          <t>Tier 1 - OPORTUNIDAD ACTIVA (VIP)</t>
        </is>
      </c>
      <c r="N373" s="61" t="n"/>
      <c r="O373" s="61" t="n"/>
      <c r="P373" s="61" t="n"/>
      <c r="Q373" s="61" t="n"/>
      <c r="R373" s="61" t="n"/>
      <c r="S373" s="62" t="n"/>
      <c r="T373" s="61" t="n"/>
    </row>
    <row r="374" ht="15.75" customHeight="1" s="38">
      <c r="A374" s="66" t="inlineStr">
        <is>
          <t>Tubexa Industrial Ltda.</t>
        </is>
      </c>
      <c r="B374" s="66" t="inlineStr">
        <is>
          <t>Tubos de Acero, Tubos Revestidos con HDPE</t>
        </is>
      </c>
      <c r="C374" s="66" t="inlineStr">
        <is>
          <t>Santiago</t>
        </is>
      </c>
      <c r="D374" s="66" t="n"/>
      <c r="E374" s="66" t="n"/>
      <c r="F374" s="66" t="n"/>
      <c r="G374" s="66" t="inlineStr">
        <is>
          <t>Gerente de TI / CIO (Director de Tecnología)</t>
        </is>
      </c>
      <c r="H374" s="66" t="n"/>
      <c r="I374" s="66" t="inlineStr">
        <is>
          <t>(56) 2 3293 7800</t>
        </is>
      </c>
      <c r="J374" s="66" t="n"/>
      <c r="K374" s="66" t="inlineStr">
        <is>
          <t>76.590.720-9</t>
        </is>
      </c>
      <c r="L374" s="66" t="inlineStr">
        <is>
          <t>Ventas: GRANDE 4 (Mas de 1.000.000 UF) | Empleados: 234</t>
        </is>
      </c>
      <c r="M374" s="66" t="inlineStr">
        <is>
          <t>Tier 1 - VIP (Alta Venta + DM)</t>
        </is>
      </c>
      <c r="N374" s="61" t="n"/>
      <c r="O374" s="61" t="n"/>
      <c r="P374" s="61" t="n"/>
      <c r="Q374" s="61" t="n"/>
      <c r="R374" s="61" t="n"/>
      <c r="S374" s="62" t="n"/>
      <c r="T374" s="61" t="n"/>
    </row>
    <row r="375" ht="15.75" customHeight="1" s="38">
      <c r="A375" s="59" t="inlineStr">
        <is>
          <t>Tunning Ingeniería Ltda.</t>
        </is>
      </c>
      <c r="B375" s="59" t="inlineStr">
        <is>
          <t>Automatización y Control</t>
        </is>
      </c>
      <c r="C375" s="59" t="inlineStr">
        <is>
          <t>Santiago</t>
        </is>
      </c>
      <c r="D375" s="59" t="inlineStr">
        <is>
          <t>Automatización &amp; Control Industrial Minería</t>
        </is>
      </c>
      <c r="E375" s="59" t="n"/>
      <c r="F375" s="59" t="inlineStr">
        <is>
          <t>https://www.google.com/search?q=Tunning+Ingenier%C3%ADa+Ltda.+LinkedIn</t>
        </is>
      </c>
      <c r="G375" s="59" t="inlineStr">
        <is>
          <t>Claudio Jara (Gerente General)</t>
        </is>
      </c>
      <c r="H375" s="59" t="n"/>
      <c r="I375" s="59" t="inlineStr">
        <is>
          <t>(56) 2 2620 1300</t>
        </is>
      </c>
      <c r="J375" s="59" t="n"/>
      <c r="K375" s="59" t="inlineStr">
        <is>
          <t>78.554.660-1</t>
        </is>
      </c>
      <c r="L375" s="59" t="inlineStr">
        <is>
          <t>Ventas: GRANDE 2 (200.000 - 600.000 UF) | Empleados: 101</t>
        </is>
      </c>
      <c r="M375" s="59" t="inlineStr">
        <is>
          <t>Tier 1 - OPORTUNIDAD ACTIVA (VIP)</t>
        </is>
      </c>
      <c r="N375" s="61" t="n"/>
      <c r="O375" s="61" t="n"/>
      <c r="P375" s="61" t="n"/>
      <c r="Q375" s="61" t="n"/>
      <c r="R375" s="61" t="n"/>
      <c r="S375" s="62" t="n"/>
      <c r="T375" s="61" t="n"/>
    </row>
    <row r="376" ht="15.75" customHeight="1" s="38">
      <c r="A376" s="59" t="inlineStr">
        <is>
          <t>Turbodal S.A.</t>
        </is>
      </c>
      <c r="B376" s="59" t="inlineStr">
        <is>
          <t>Turbocompresores, Turbocompresores para Vehículos</t>
        </is>
      </c>
      <c r="C376" s="59" t="inlineStr">
        <is>
          <t>Santiago</t>
        </is>
      </c>
      <c r="D376" s="59" t="inlineStr">
        <is>
          <t>Investigación en Proceso</t>
        </is>
      </c>
      <c r="E376" s="59" t="n"/>
      <c r="F376" s="59" t="n"/>
      <c r="G376" s="59" t="inlineStr">
        <is>
          <t>Juan Francisco Paris (Jefe de Operaciones TI)</t>
        </is>
      </c>
      <c r="H376" s="59" t="inlineStr">
        <is>
          <t>juan.paris@turbodal.cl</t>
        </is>
      </c>
      <c r="I376" s="59" t="inlineStr">
        <is>
          <t>(56) 2 2641 7070</t>
        </is>
      </c>
      <c r="J376" s="59" t="n"/>
      <c r="K376" s="59" t="inlineStr">
        <is>
          <t>86.771.700-5</t>
        </is>
      </c>
      <c r="L376" s="59" t="inlineStr">
        <is>
          <t>Ventas: GRANDE 3 (600.000 - 1.000.000 UF) | Empleados: 93</t>
        </is>
      </c>
      <c r="M376" s="59" t="inlineStr">
        <is>
          <t>Tier 1 - OPORTUNIDAD ACTIVA (VIP)</t>
        </is>
      </c>
      <c r="N376" s="61" t="n"/>
      <c r="O376" s="61" t="n"/>
      <c r="P376" s="61" t="n"/>
      <c r="Q376" s="61" t="n"/>
      <c r="R376" s="61" t="n"/>
      <c r="S376" s="62" t="n"/>
      <c r="T376" s="61" t="n"/>
    </row>
    <row r="377" ht="15.75" customHeight="1" s="38">
      <c r="A377" s="59" t="inlineStr">
        <is>
          <t>Turner &amp; Townsend Ltda.</t>
        </is>
      </c>
      <c r="B377" s="59" t="inlineStr">
        <is>
          <t>Consultoría</t>
        </is>
      </c>
      <c r="C377" s="59" t="inlineStr">
        <is>
          <t>Santiago</t>
        </is>
      </c>
      <c r="D377" s="59" t="inlineStr">
        <is>
          <t>Consultoría Proyectos Infraestructura &amp; Minería</t>
        </is>
      </c>
      <c r="E377" s="59" t="n"/>
      <c r="F377" s="59" t="inlineStr">
        <is>
          <t>https://www.google.com/search?q=Turner+%26+Townsend+Chile+LinkedIn</t>
        </is>
      </c>
      <c r="G377" s="59" t="inlineStr">
        <is>
          <t>Manuel Matamala (Associate Director)</t>
        </is>
      </c>
      <c r="H377" s="59" t="n"/>
      <c r="I377" s="59" t="inlineStr">
        <is>
          <t>(56) 2 3245 4100</t>
        </is>
      </c>
      <c r="J377" s="59" t="n"/>
      <c r="K377" s="59" t="inlineStr">
        <is>
          <t>76.079.335-3</t>
        </is>
      </c>
      <c r="L377" s="59" t="inlineStr">
        <is>
          <t>Ventas: GRANDE 2 (200.000 - 600.000 UF) | Empleados: 43</t>
        </is>
      </c>
      <c r="M377" s="59" t="inlineStr">
        <is>
          <t>Tier 1 - OPORTUNIDAD ACTIVA (VIP)</t>
        </is>
      </c>
      <c r="N377" s="61" t="n"/>
      <c r="O377" s="61" t="n"/>
      <c r="P377" s="61" t="n"/>
      <c r="Q377" s="61" t="n"/>
      <c r="R377" s="61" t="n"/>
      <c r="S377" s="62" t="n"/>
      <c r="T377" s="61" t="n"/>
    </row>
    <row r="378" ht="15.75" customHeight="1" s="38">
      <c r="A378" s="59" t="inlineStr">
        <is>
          <t>Tyco Fire &amp; Security</t>
        </is>
      </c>
      <c r="B378" s="59" t="inlineStr">
        <is>
          <t>Aire Acondicionado para Maquinaria Pesada y Minera, Sistemas CCTV Industriales, Sistemas para Detección de Incendios</t>
        </is>
      </c>
      <c r="C378" s="59" t="inlineStr">
        <is>
          <t>Santiago</t>
        </is>
      </c>
      <c r="D378" s="59" t="inlineStr">
        <is>
          <t>Investigación en Proceso</t>
        </is>
      </c>
      <c r="E378" s="59" t="n"/>
      <c r="F378" s="59" t="n"/>
      <c r="G378" s="59" t="inlineStr">
        <is>
          <t>Leopoldo Falconi (Business Unit Manager)</t>
        </is>
      </c>
      <c r="H378" s="59" t="inlineStr">
        <is>
          <t>leopoldo.falconi@jci.com</t>
        </is>
      </c>
      <c r="I378" s="59" t="inlineStr">
        <is>
          <t>(56) 2 2472 4253</t>
        </is>
      </c>
      <c r="J378" s="59" t="n"/>
      <c r="K378" s="59" t="inlineStr">
        <is>
          <t>83.157.200-0</t>
        </is>
      </c>
      <c r="L378" s="59" t="inlineStr">
        <is>
          <t>Ventas: GRANDE 3 (600.000 - 1.000.000 UF) | Empleados: 144</t>
        </is>
      </c>
      <c r="M378" s="59" t="inlineStr">
        <is>
          <t>Tier 1 - OPORTUNIDAD ACTIVA (VIP)</t>
        </is>
      </c>
      <c r="N378" s="61" t="n"/>
      <c r="O378" s="61" t="n"/>
      <c r="P378" s="61" t="n"/>
      <c r="Q378" s="61" t="n"/>
      <c r="R378" s="61" t="n"/>
      <c r="S378" s="62" t="n"/>
      <c r="T378" s="61" t="n"/>
    </row>
    <row r="379" ht="15.75" customHeight="1" s="38">
      <c r="A379" s="66" t="inlineStr">
        <is>
          <t>Ulma Andamios y Moldajes</t>
        </is>
      </c>
      <c r="B379" s="66" t="inlineStr">
        <is>
          <t>Andamios, Encofrados</t>
        </is>
      </c>
      <c r="C379" s="66" t="inlineStr">
        <is>
          <t>Santiago</t>
        </is>
      </c>
      <c r="D379" s="66" t="n"/>
      <c r="E379" s="66" t="n"/>
      <c r="F379" s="66" t="n"/>
      <c r="G379" s="66" t="inlineStr">
        <is>
          <t>Gerente de TI / CIO (Director de Tecnología)</t>
        </is>
      </c>
      <c r="H379" s="66" t="n"/>
      <c r="I379" s="66" t="inlineStr">
        <is>
          <t>(56) 2 2599 0530</t>
        </is>
      </c>
      <c r="J379" s="66" t="inlineStr">
        <is>
          <t>http://www.ulmaconstruction.cl</t>
        </is>
      </c>
      <c r="K379" s="66" t="inlineStr">
        <is>
          <t>96.777.600-9</t>
        </is>
      </c>
      <c r="L379" s="66" t="inlineStr">
        <is>
          <t>Ventas: GRANDE 3 (600.000 - 1.000.000 UF) | Empleados: 127</t>
        </is>
      </c>
      <c r="M379" s="66" t="inlineStr">
        <is>
          <t>Tier 1 - VIP (Alta Venta + DM)</t>
        </is>
      </c>
      <c r="N379" s="61" t="n"/>
      <c r="O379" s="61" t="n"/>
      <c r="P379" s="61" t="n"/>
      <c r="Q379" s="61" t="n"/>
      <c r="R379" s="61" t="n"/>
      <c r="S379" s="62" t="n"/>
      <c r="T379" s="61" t="n"/>
    </row>
    <row r="380" ht="15.75" customHeight="1" s="38">
      <c r="A380" s="59" t="inlineStr">
        <is>
          <t>Ulog -Ultramar Logistic</t>
        </is>
      </c>
      <c r="B380" s="59" t="inlineStr">
        <is>
          <t>Transporte Nacional</t>
        </is>
      </c>
      <c r="C380" s="59" t="inlineStr">
        <is>
          <t>Valparaíso</t>
        </is>
      </c>
      <c r="D380" s="59" t="inlineStr">
        <is>
          <t>Liderazgo IT Multi-puerto</t>
        </is>
      </c>
      <c r="E380" s="59" t="inlineStr">
        <is>
          <t>LinkedIn</t>
        </is>
      </c>
      <c r="F380" s="59" t="inlineStr">
        <is>
          <t>https://cl.linkedin.com/in/fjramirez</t>
        </is>
      </c>
      <c r="G380" s="59" t="inlineStr">
        <is>
          <t>Francisco Javier Ramirez (Gerente TI)</t>
        </is>
      </c>
      <c r="H380" s="59" t="n"/>
      <c r="I380" s="59" t="inlineStr">
        <is>
          <t>(56) 2 2630 1000</t>
        </is>
      </c>
      <c r="J380" s="59" t="n"/>
      <c r="K380" s="59" t="inlineStr">
        <is>
          <t>80.992.000-3</t>
        </is>
      </c>
      <c r="L380" s="59" t="inlineStr">
        <is>
          <t>Ventas: GRANDE (Estimado por Empleados) | Empleados: 374</t>
        </is>
      </c>
      <c r="M380" s="59" t="inlineStr">
        <is>
          <t>Tier 1 - OPORTUNIDAD ACTIVA (VIP)</t>
        </is>
      </c>
      <c r="N380" s="61" t="n"/>
      <c r="O380" s="61" t="n"/>
      <c r="P380" s="61" t="n"/>
      <c r="Q380" s="61" t="n"/>
      <c r="R380" s="61" t="n"/>
      <c r="S380" s="62" t="n"/>
      <c r="T380" s="61" t="n"/>
    </row>
    <row r="381" ht="15.75" customHeight="1" s="38">
      <c r="A381" s="66" t="inlineStr">
        <is>
          <t>Unión Técnica Automotriz S.A.</t>
        </is>
      </c>
      <c r="B381" s="66" t="inlineStr">
        <is>
          <t>Repuestos para Camiones</t>
        </is>
      </c>
      <c r="C381" s="66" t="inlineStr">
        <is>
          <t>Santiago</t>
        </is>
      </c>
      <c r="D381" s="66" t="n"/>
      <c r="E381" s="66" t="n"/>
      <c r="F381" s="66" t="n"/>
      <c r="G381" s="66" t="inlineStr">
        <is>
          <t>Gerente de TI / CIO (Director de Tecnología)</t>
        </is>
      </c>
      <c r="H381" s="66" t="n"/>
      <c r="I381" s="66" t="inlineStr">
        <is>
          <t>(56) 2 2437 2500</t>
        </is>
      </c>
      <c r="J381" s="66" t="n"/>
      <c r="K381" s="66" t="inlineStr">
        <is>
          <t>92.379.000-4</t>
        </is>
      </c>
      <c r="L381" s="66" t="inlineStr">
        <is>
          <t>Ventas: GRANDE 3 (600.000 - 1.000.000 UF) | Empleados: 70</t>
        </is>
      </c>
      <c r="M381" s="66" t="inlineStr">
        <is>
          <t>Tier 1 - VIP (Alta Venta + DM)</t>
        </is>
      </c>
      <c r="N381" s="61" t="n"/>
      <c r="O381" s="61" t="n"/>
      <c r="P381" s="61" t="n"/>
      <c r="Q381" s="61" t="n"/>
      <c r="R381" s="61" t="n"/>
      <c r="S381" s="62" t="n"/>
      <c r="T381" s="61" t="n"/>
    </row>
    <row r="382" ht="15.75" customHeight="1" s="38">
      <c r="A382" s="59" t="inlineStr">
        <is>
          <t>V-Max Latam</t>
        </is>
      </c>
      <c r="B382" s="59" t="inlineStr">
        <is>
          <t>Transporte de Fluidos, Tuberías HDPE</t>
        </is>
      </c>
      <c r="C382" s="59" t="inlineStr">
        <is>
          <t>Mejillones</t>
        </is>
      </c>
      <c r="D382" s="59" t="inlineStr">
        <is>
          <t>Investigación en Proceso</t>
        </is>
      </c>
      <c r="E382" s="59" t="n"/>
      <c r="F382" s="59" t="n"/>
      <c r="G382" s="59" t="inlineStr">
        <is>
          <t>Javier Walger (Gerente General)</t>
        </is>
      </c>
      <c r="H382" s="59" t="inlineStr">
        <is>
          <t>jwalger@v-max.cl</t>
        </is>
      </c>
      <c r="I382" s="59" t="inlineStr">
        <is>
          <t>(56) 2 2862 9999</t>
        </is>
      </c>
      <c r="J382" s="59" t="n"/>
      <c r="K382" s="59" t="inlineStr">
        <is>
          <t>76.133.595-2</t>
        </is>
      </c>
      <c r="L382" s="59" t="inlineStr">
        <is>
          <t>Ventas: GRANDE 3 (600.000 - 1.000.000 UF) | Empleados: 122</t>
        </is>
      </c>
      <c r="M382" s="59" t="inlineStr">
        <is>
          <t>Tier 1 - OPORTUNIDAD ACTIVA (VIP)</t>
        </is>
      </c>
      <c r="N382" s="61" t="n"/>
      <c r="O382" s="61" t="n"/>
      <c r="P382" s="61" t="n"/>
      <c r="Q382" s="61" t="n"/>
      <c r="R382" s="61" t="n"/>
      <c r="S382" s="62" t="n"/>
      <c r="T382" s="61" t="n"/>
    </row>
    <row r="383" ht="15.75" customHeight="1" s="38">
      <c r="A383" s="59" t="inlineStr">
        <is>
          <t>Vantaz Group</t>
        </is>
      </c>
      <c r="B383" s="59" t="inlineStr">
        <is>
          <t>Consultoría para la Minería, Diseño, Implementación y Apoyo a la Operación Minera</t>
        </is>
      </c>
      <c r="C383" s="59" t="inlineStr">
        <is>
          <t>Santiago</t>
        </is>
      </c>
      <c r="D383" s="59" t="inlineStr">
        <is>
          <t>Investigación en Proceso</t>
        </is>
      </c>
      <c r="E383" s="59" t="n"/>
      <c r="F383" s="59" t="n"/>
      <c r="G383" s="59" t="inlineStr">
        <is>
          <t>Mauro Mezzano (Partner (Digital Lead))</t>
        </is>
      </c>
      <c r="H383" s="59" t="inlineStr">
        <is>
          <t>mauro.mezzano@vantaz.com</t>
        </is>
      </c>
      <c r="I383" s="59" t="inlineStr">
        <is>
          <t>(56) 2 2206 0290</t>
        </is>
      </c>
      <c r="J383" s="59" t="n"/>
      <c r="K383" s="59" t="inlineStr">
        <is>
          <t>77.466.060-7</t>
        </is>
      </c>
      <c r="L383" s="59" t="inlineStr">
        <is>
          <t>Ventas: GRANDE 3 (600.000 - 1.000.000 UF) | Empleados: 172</t>
        </is>
      </c>
      <c r="M383" s="59" t="inlineStr">
        <is>
          <t>Tier 1 - OPORTUNIDAD ACTIVA (VIP)</t>
        </is>
      </c>
      <c r="N383" s="61" t="n"/>
      <c r="O383" s="61" t="n"/>
      <c r="P383" s="61" t="n"/>
      <c r="Q383" s="61" t="n"/>
      <c r="R383" s="61" t="n"/>
      <c r="S383" s="62" t="n"/>
      <c r="T383" s="61" t="n"/>
    </row>
    <row r="384" ht="15.75" customHeight="1" s="38">
      <c r="A384" s="59" t="inlineStr">
        <is>
          <t>Vega Industries Chile</t>
        </is>
      </c>
      <c r="B384" s="59" t="inlineStr">
        <is>
          <t>Plantas Concentradoras, Revestimiento de Molinos</t>
        </is>
      </c>
      <c r="C384" s="59" t="inlineStr">
        <is>
          <t>Santiago</t>
        </is>
      </c>
      <c r="D384" s="59" t="inlineStr">
        <is>
          <t>Mejora Plantas Producción Piezas Desgaste</t>
        </is>
      </c>
      <c r="E384" s="59" t="n"/>
      <c r="F384" s="59" t="inlineStr">
        <is>
          <t>https://cl.linkedin.com/in/neftal%C3%AD-rojas-reyes-94a86213</t>
        </is>
      </c>
      <c r="G384" s="59" t="inlineStr">
        <is>
          <t>Neftalí Rojas Reyes (Sales Manager)</t>
        </is>
      </c>
      <c r="H384" s="59" t="n"/>
      <c r="I384" s="59" t="inlineStr">
        <is>
          <t>(56) 9 7678 0360</t>
        </is>
      </c>
      <c r="J384" s="59" t="n"/>
      <c r="K384" s="59" t="inlineStr">
        <is>
          <t>76751831-5</t>
        </is>
      </c>
      <c r="L384" s="59" t="inlineStr">
        <is>
          <t>Ventas: GRANDE 2 (200.000 - 600.000 UF) | Empleados: 8</t>
        </is>
      </c>
      <c r="M384" s="59" t="inlineStr">
        <is>
          <t>Tier 1 - OPORTUNIDAD ACTIVA (VIP)</t>
        </is>
      </c>
      <c r="N384" s="61" t="n"/>
      <c r="O384" s="61" t="n"/>
      <c r="P384" s="61" t="n"/>
      <c r="Q384" s="61" t="n"/>
      <c r="R384" s="61" t="n"/>
      <c r="S384" s="62" t="n"/>
      <c r="T384" s="61" t="n"/>
    </row>
    <row r="385" ht="15.75" customHeight="1" s="38">
      <c r="A385" s="66" t="inlineStr">
        <is>
          <t>Verne SpA</t>
        </is>
      </c>
      <c r="B385" s="66" t="inlineStr">
        <is>
          <t>Cables de Acero</t>
        </is>
      </c>
      <c r="C385" s="66" t="inlineStr">
        <is>
          <t>Santiago</t>
        </is>
      </c>
      <c r="D385" s="66" t="n"/>
      <c r="E385" s="66" t="n"/>
      <c r="F385" s="66" t="n"/>
      <c r="G385" s="66" t="inlineStr">
        <is>
          <t>Gerente de TI / CIO (Director de Tecnología)</t>
        </is>
      </c>
      <c r="H385" s="66" t="n"/>
      <c r="I385" s="66" t="inlineStr">
        <is>
          <t>(56) 2 2885 8633</t>
        </is>
      </c>
      <c r="J385" s="66" t="n"/>
      <c r="K385" s="66" t="inlineStr">
        <is>
          <t>76.034.722-1</t>
        </is>
      </c>
      <c r="L385" s="66" t="inlineStr">
        <is>
          <t>Ventas: GRANDE 3 (600.000 - 1.000.000 UF) | Empleados: 23</t>
        </is>
      </c>
      <c r="M385" s="66" t="inlineStr">
        <is>
          <t>Tier 1 - VIP (Alta Venta + DM)</t>
        </is>
      </c>
      <c r="N385" s="61" t="n"/>
      <c r="O385" s="61" t="n"/>
      <c r="P385" s="61" t="n"/>
      <c r="Q385" s="61" t="n"/>
      <c r="R385" s="61" t="n"/>
      <c r="S385" s="62" t="n"/>
      <c r="T385" s="61" t="n"/>
    </row>
    <row r="386" ht="15.75" customHeight="1" s="38">
      <c r="A386" s="59" t="inlineStr">
        <is>
          <t>Vertex SpA</t>
        </is>
      </c>
      <c r="B386" s="59" t="inlineStr">
        <is>
          <t>Equipos de Perforación, Robots para Shotcrete</t>
        </is>
      </c>
      <c r="C386" s="59" t="inlineStr">
        <is>
          <t>Santiago</t>
        </is>
      </c>
      <c r="D386" s="59" t="inlineStr">
        <is>
          <t>Investigación en Proceso</t>
        </is>
      </c>
      <c r="E386" s="59" t="n"/>
      <c r="F386" s="59" t="n"/>
      <c r="G386" s="59" t="inlineStr">
        <is>
          <t>Claudio Arismendi (Gerente de Operaciones y TI)</t>
        </is>
      </c>
      <c r="H386" s="59" t="inlineStr">
        <is>
          <t>c.arismendi@vertex.cl</t>
        </is>
      </c>
      <c r="I386" s="59" t="inlineStr">
        <is>
          <t>(56) 2 2394 6000</t>
        </is>
      </c>
      <c r="J386" s="59" t="n"/>
      <c r="K386" s="59" t="inlineStr">
        <is>
          <t>77.261.318-0</t>
        </is>
      </c>
      <c r="L386" s="59" t="inlineStr">
        <is>
          <t>Ventas: GRANDE 3 (600.000 - 1.000.000 UF) | Empleados: 113</t>
        </is>
      </c>
      <c r="M386" s="59" t="inlineStr">
        <is>
          <t>Tier 1 - OPORTUNIDAD ACTIVA (VIP)</t>
        </is>
      </c>
      <c r="N386" s="61" t="n"/>
      <c r="O386" s="61" t="n"/>
      <c r="P386" s="61" t="n"/>
      <c r="Q386" s="61" t="n"/>
      <c r="R386" s="61" t="n"/>
      <c r="S386" s="62" t="n"/>
      <c r="T386" s="61" t="n"/>
    </row>
    <row r="387" ht="15.75" customHeight="1" s="38">
      <c r="A387" s="59" t="inlineStr">
        <is>
          <t>VialCorp</t>
        </is>
      </c>
      <c r="B387" s="59" t="inlineStr">
        <is>
          <t>Control de Polvo en Caminos</t>
        </is>
      </c>
      <c r="C387" s="59" t="inlineStr">
        <is>
          <t>Santiago</t>
        </is>
      </c>
      <c r="D387" s="59" t="inlineStr">
        <is>
          <t>Investigación en Proceso</t>
        </is>
      </c>
      <c r="E387" s="59" t="n"/>
      <c r="F387" s="59" t="n"/>
      <c r="G387" s="59" t="inlineStr">
        <is>
          <t>Rodrigo Castro (Jefe de IT)</t>
        </is>
      </c>
      <c r="H387" s="59" t="inlineStr">
        <is>
          <t>r.castro@vialcorp.cl</t>
        </is>
      </c>
      <c r="I387" s="59" t="inlineStr">
        <is>
          <t>(56) 9 9219 4839</t>
        </is>
      </c>
      <c r="J387" s="59" t="n"/>
      <c r="K387" s="59" t="inlineStr">
        <is>
          <t>76.149.673-5</t>
        </is>
      </c>
      <c r="L387" s="59" t="inlineStr">
        <is>
          <t>Ventas: GRANDE 3 (600.000 - 1.000.000 UF) | Empleados: 408</t>
        </is>
      </c>
      <c r="M387" s="59" t="inlineStr">
        <is>
          <t>Tier 1 - OPORTUNIDAD ACTIVA (VIP)</t>
        </is>
      </c>
      <c r="N387" s="61" t="n"/>
      <c r="O387" s="61" t="n"/>
      <c r="P387" s="61" t="n"/>
      <c r="Q387" s="61" t="n"/>
      <c r="R387" s="61" t="n"/>
      <c r="S387" s="62" t="n"/>
      <c r="T387" s="61" t="n"/>
    </row>
    <row r="388" ht="15.75" customHeight="1" s="38">
      <c r="A388" s="59" t="inlineStr">
        <is>
          <t>Vigaflow</t>
        </is>
      </c>
      <c r="B388" s="59" t="inlineStr">
        <is>
          <t>Ablandadores para Agua, Plantas Desaladoras</t>
        </is>
      </c>
      <c r="C388" s="59" t="inlineStr">
        <is>
          <t>Santiago</t>
        </is>
      </c>
      <c r="D388" s="59" t="inlineStr">
        <is>
          <t>Investigación en Proceso</t>
        </is>
      </c>
      <c r="E388" s="59" t="n"/>
      <c r="F388" s="59" t="n"/>
      <c r="G388" s="59" t="inlineStr">
        <is>
          <t>Rodrigo Silva (Jefe de TI)</t>
        </is>
      </c>
      <c r="H388" s="59" t="inlineStr">
        <is>
          <t>rsilva@vigaflow.com</t>
        </is>
      </c>
      <c r="I388" s="59" t="inlineStr">
        <is>
          <t>(56) 2 2797 0350</t>
        </is>
      </c>
      <c r="J388" s="59" t="n"/>
      <c r="K388" s="59" t="inlineStr">
        <is>
          <t>99515010-7</t>
        </is>
      </c>
      <c r="L388" s="59" t="inlineStr">
        <is>
          <t>Ventas: GRANDE 3 (600.000 - 1.000.000 UF) | Empleados: 112</t>
        </is>
      </c>
      <c r="M388" s="59" t="inlineStr">
        <is>
          <t>Tier 1 - OPORTUNIDAD ACTIVA (VIP)</t>
        </is>
      </c>
      <c r="N388" s="61" t="n"/>
      <c r="O388" s="61" t="n"/>
      <c r="P388" s="61" t="n"/>
      <c r="Q388" s="61" t="n"/>
      <c r="R388" s="61" t="n"/>
      <c r="S388" s="62" t="n"/>
      <c r="T388" s="61" t="n"/>
    </row>
    <row r="389" ht="15.75" customHeight="1" s="38">
      <c r="A389" s="66" t="inlineStr">
        <is>
          <t>Vigatec S.A.</t>
        </is>
      </c>
      <c r="B389" s="66" t="inlineStr">
        <is>
          <t>Soluciones para Logística y Ergonomía, Soluciones Tecnológicas Integrales</t>
        </is>
      </c>
      <c r="C389" s="66" t="inlineStr">
        <is>
          <t>Santiago</t>
        </is>
      </c>
      <c r="D389" s="66" t="n"/>
      <c r="E389" s="66" t="n"/>
      <c r="F389" s="66" t="n"/>
      <c r="G389" s="66" t="inlineStr">
        <is>
          <t>Gerente de TI / CIO (Director de Tecnología)</t>
        </is>
      </c>
      <c r="H389" s="66" t="n"/>
      <c r="I389" s="66" t="inlineStr">
        <is>
          <t>(56) 2 2350 7000</t>
        </is>
      </c>
      <c r="J389" s="66" t="n"/>
      <c r="K389" s="66" t="inlineStr">
        <is>
          <t>96.587.380-5</t>
        </is>
      </c>
      <c r="L389" s="66" t="inlineStr">
        <is>
          <t>Ventas: GRANDE 4 (Mas de 1.000.000 UF) | Empleados: 498</t>
        </is>
      </c>
      <c r="M389" s="66" t="inlineStr">
        <is>
          <t>Tier 1 - VIP (Alta Venta + DM)</t>
        </is>
      </c>
      <c r="N389" s="61" t="n"/>
      <c r="O389" s="61" t="n"/>
      <c r="P389" s="61" t="n"/>
      <c r="Q389" s="61" t="n"/>
      <c r="R389" s="61" t="n"/>
      <c r="S389" s="62" t="n"/>
      <c r="T389" s="61" t="n"/>
    </row>
    <row r="390" ht="15.75" customHeight="1" s="38">
      <c r="A390" s="66" t="inlineStr">
        <is>
          <t>Viggo</t>
        </is>
      </c>
      <c r="B390" s="66" t="inlineStr">
        <is>
          <t>Transporte de Pasajeros en Buses Interurbanos, Transporte de Personal, Transporte Privado de Personas</t>
        </is>
      </c>
      <c r="C390" s="66" t="inlineStr">
        <is>
          <t>Santiago</t>
        </is>
      </c>
      <c r="D390" s="66" t="n"/>
      <c r="E390" s="66" t="n"/>
      <c r="F390" s="66" t="n"/>
      <c r="G390" s="66" t="inlineStr">
        <is>
          <t>Gerente de TI / CIO (Director de Tecnología)</t>
        </is>
      </c>
      <c r="H390" s="66" t="n"/>
      <c r="I390" s="66" t="inlineStr">
        <is>
          <t>(56) 2 2822 7337</t>
        </is>
      </c>
      <c r="J390" s="66" t="n"/>
      <c r="K390" s="66" t="inlineStr">
        <is>
          <t>76.642.320-5</t>
        </is>
      </c>
      <c r="L390" s="66" t="inlineStr">
        <is>
          <t>Ventas: GRANDE 4 (Mas de 1.000.000 UF) | Empleados: 1576</t>
        </is>
      </c>
      <c r="M390" s="66" t="inlineStr">
        <is>
          <t>Tier 1 - VIP (Alta Venta + DM)</t>
        </is>
      </c>
      <c r="N390" s="61" t="n"/>
      <c r="O390" s="61" t="n"/>
      <c r="P390" s="61" t="n"/>
      <c r="Q390" s="61" t="n"/>
      <c r="R390" s="61" t="n"/>
      <c r="S390" s="62" t="n"/>
      <c r="T390" s="61" t="n"/>
    </row>
    <row r="391" ht="15.75" customHeight="1" s="38">
      <c r="A391" s="59" t="inlineStr">
        <is>
          <t>Vignola S.A.</t>
        </is>
      </c>
      <c r="B391" s="59" t="inlineStr">
        <is>
          <t>Automatización, Bombas para Vacío</t>
        </is>
      </c>
      <c r="C391" s="59" t="inlineStr">
        <is>
          <t>Santiago</t>
        </is>
      </c>
      <c r="D391" s="59" t="inlineStr">
        <is>
          <t>Implementación RPA e IA Interna</t>
        </is>
      </c>
      <c r="E391" s="59" t="n"/>
      <c r="F391" s="59" t="inlineStr">
        <is>
          <t>https://cl.linkedin.com/in/pivignola</t>
        </is>
      </c>
      <c r="G391" s="59" t="inlineStr">
        <is>
          <t>Pedro Ignacio Vignola Araya (Ingeniero RPA/IA)</t>
        </is>
      </c>
      <c r="H391" s="59" t="n"/>
      <c r="I391" s="59" t="inlineStr">
        <is>
          <t>(56) 2 2433 6200</t>
        </is>
      </c>
      <c r="J391" s="59" t="n"/>
      <c r="K391" s="59" t="inlineStr">
        <is>
          <t>93.075.000-K</t>
        </is>
      </c>
      <c r="L391" s="59" t="inlineStr">
        <is>
          <t>Ventas: GRANDE 3 (600.000 - 1.000.000 UF) | Empleados: 41</t>
        </is>
      </c>
      <c r="M391" s="59" t="inlineStr">
        <is>
          <t>Tier 1 - OPORTUNIDAD ACTIVA (VIP)</t>
        </is>
      </c>
      <c r="N391" s="61" t="n"/>
      <c r="O391" s="61" t="n"/>
      <c r="P391" s="61" t="n"/>
      <c r="Q391" s="61" t="n"/>
      <c r="R391" s="61" t="n"/>
      <c r="S391" s="62" t="n"/>
      <c r="T391" s="61" t="n"/>
    </row>
    <row r="392" ht="15.75" customHeight="1" s="38">
      <c r="A392" s="59" t="inlineStr">
        <is>
          <t>WSP Chile</t>
        </is>
      </c>
      <c r="B392" s="59" t="inlineStr">
        <is>
          <t>Servicios de Inspección Técnica</t>
        </is>
      </c>
      <c r="C392" s="59" t="inlineStr">
        <is>
          <t>Santiago</t>
        </is>
      </c>
      <c r="D392" s="59" t="inlineStr">
        <is>
          <t>Gemelos Digitales (Digital Twins) &amp; Sustentabilidad Land iQ</t>
        </is>
      </c>
      <c r="E392" s="59" t="inlineStr">
        <is>
          <t>WSP.com</t>
        </is>
      </c>
      <c r="F392" s="59" t="inlineStr">
        <is>
          <t>https://www.wsp.com/es-cl/hubs/digital-solutions</t>
        </is>
      </c>
      <c r="G392" s="59" t="inlineStr">
        <is>
          <t>Marcos Alarcón (Director TI)</t>
        </is>
      </c>
      <c r="H392" s="59" t="inlineStr">
        <is>
          <t>marcos.alarcon@wsp.com</t>
        </is>
      </c>
      <c r="I392" s="59" t="inlineStr">
        <is>
          <t>(56) 2 2653 8000</t>
        </is>
      </c>
      <c r="J392" s="59" t="n"/>
      <c r="K392" s="59" t="inlineStr">
        <is>
          <t>79.906.490-1</t>
        </is>
      </c>
      <c r="L392" s="59" t="inlineStr">
        <is>
          <t>Ventas: GRANDE 4 (Mas de 1.000.000 UF) | Empleados: 533</t>
        </is>
      </c>
      <c r="M392" s="59" t="inlineStr">
        <is>
          <t>Tier 1 - OPORTUNIDAD ACTIVA (VIP)</t>
        </is>
      </c>
      <c r="N392" s="61" t="n"/>
      <c r="O392" s="61" t="n"/>
      <c r="P392" s="61" t="n"/>
      <c r="Q392" s="61" t="n"/>
      <c r="R392" s="61" t="n"/>
      <c r="S392" s="62" t="n"/>
      <c r="T392" s="61" t="n"/>
    </row>
    <row r="393" ht="15.75" customHeight="1" s="38">
      <c r="A393" s="59" t="inlineStr">
        <is>
          <t>Widefense S.A.</t>
        </is>
      </c>
      <c r="B393" s="59" t="inlineStr">
        <is>
          <t>Seguridad Computacional</t>
        </is>
      </c>
      <c r="C393" s="59" t="inlineStr">
        <is>
          <t>Santiago</t>
        </is>
      </c>
      <c r="D393" s="59" t="inlineStr">
        <is>
          <t>Transformación Ferroviaria Digital</t>
        </is>
      </c>
      <c r="E393" s="59" t="inlineStr">
        <is>
          <t>LinkedIn</t>
        </is>
      </c>
      <c r="F393" s="59" t="inlineStr">
        <is>
          <t>https://cl.linkedin.com/in/josearenaspizarro</t>
        </is>
      </c>
      <c r="G393" s="59" t="inlineStr">
        <is>
          <t>Jose Arenas Pizarro (Gte Tecnología)</t>
        </is>
      </c>
      <c r="H393" s="59" t="n"/>
      <c r="I393" s="59" t="inlineStr">
        <is>
          <t>(56) 2 2816 9000</t>
        </is>
      </c>
      <c r="J393" s="59" t="n"/>
      <c r="K393" s="59" t="inlineStr">
        <is>
          <t>99.581.600-8</t>
        </is>
      </c>
      <c r="L393" s="59" t="inlineStr">
        <is>
          <t>Ventas: MEDIANA 1 (25.000 - 50.000 UF) | Empleados: 26</t>
        </is>
      </c>
      <c r="M393" s="59" t="inlineStr">
        <is>
          <t>Tier 1 - OPORTUNIDAD ACTIVA (VIP)</t>
        </is>
      </c>
      <c r="N393" s="61" t="n"/>
      <c r="O393" s="61" t="n"/>
      <c r="P393" s="61" t="n"/>
      <c r="Q393" s="61" t="n"/>
      <c r="R393" s="61" t="n"/>
      <c r="S393" s="62" t="n"/>
      <c r="T393" s="61" t="n"/>
    </row>
    <row r="394" ht="15.75" customHeight="1" s="38">
      <c r="A394" s="66" t="inlineStr">
        <is>
          <t>Wilug, Artículos de Seguridad Ltda.</t>
        </is>
      </c>
      <c r="B394" s="66" t="inlineStr">
        <is>
          <t>Artículos para Seguridad, Sistemas para Alarmas</t>
        </is>
      </c>
      <c r="C394" s="66" t="inlineStr">
        <is>
          <t>Coquimbo</t>
        </is>
      </c>
      <c r="D394" s="66" t="n"/>
      <c r="E394" s="66" t="n"/>
      <c r="F394" s="66" t="n"/>
      <c r="G394" s="66" t="inlineStr">
        <is>
          <t>Gerente de TI / CIO (Director de Tecnología)</t>
        </is>
      </c>
      <c r="H394" s="66" t="n"/>
      <c r="I394" s="66" t="inlineStr">
        <is>
          <t>(56) 9 4410 3811</t>
        </is>
      </c>
      <c r="J394" s="66" t="n"/>
      <c r="K394" s="66" t="inlineStr">
        <is>
          <t>79.894.400-2</t>
        </is>
      </c>
      <c r="L394" s="66" t="inlineStr">
        <is>
          <t>Ventas: GRANDE 3 (600.000 - 1.000.000 UF) | Empleados: 463</t>
        </is>
      </c>
      <c r="M394" s="66" t="inlineStr">
        <is>
          <t>Tier 1 - VIP (Alta Venta + DM)</t>
        </is>
      </c>
      <c r="N394" s="61" t="n"/>
      <c r="O394" s="61" t="n"/>
      <c r="P394" s="61" t="n"/>
      <c r="Q394" s="61" t="n"/>
      <c r="R394" s="61" t="n"/>
      <c r="S394" s="62" t="n"/>
      <c r="T394" s="61" t="n"/>
    </row>
    <row r="395" ht="15.75" customHeight="1" s="38">
      <c r="A395" s="59" t="inlineStr">
        <is>
          <t>WorkMate</t>
        </is>
      </c>
      <c r="B395" s="59" t="inlineStr">
        <is>
          <t>Selección de Personal</t>
        </is>
      </c>
      <c r="C395" s="59" t="inlineStr">
        <is>
          <t>Santiago</t>
        </is>
      </c>
      <c r="D395" s="59" t="inlineStr">
        <is>
          <t>Gestión Workforce Mobile</t>
        </is>
      </c>
      <c r="E395" s="59" t="inlineStr">
        <is>
          <t>LinkedIn</t>
        </is>
      </c>
      <c r="F395" s="59" t="n"/>
      <c r="G395" s="59" t="inlineStr">
        <is>
          <t>Claudio B. Collao Gómez (IT Manager)</t>
        </is>
      </c>
      <c r="H395" s="59" t="inlineStr">
        <is>
          <t>ccollao@workmate.cl</t>
        </is>
      </c>
      <c r="I395" s="59" t="inlineStr">
        <is>
          <t>(56) 2 2862 9100</t>
        </is>
      </c>
      <c r="J395" s="59" t="n"/>
      <c r="K395" s="59" t="inlineStr">
        <is>
          <t>77815160-K</t>
        </is>
      </c>
      <c r="L395" s="59" t="inlineStr">
        <is>
          <t>Ventas: GRANDE 3 (600.000 - 1.000.000 UF) | Empleados: 864</t>
        </is>
      </c>
      <c r="M395" s="59" t="inlineStr">
        <is>
          <t>Tier 1 - OPORTUNIDAD ACTIVA (VIP)</t>
        </is>
      </c>
      <c r="N395" s="61" t="n"/>
      <c r="O395" s="61" t="n"/>
      <c r="P395" s="61" t="n"/>
      <c r="Q395" s="61" t="n"/>
      <c r="R395" s="61" t="n"/>
      <c r="S395" s="62" t="n"/>
      <c r="T395" s="61" t="n"/>
    </row>
    <row r="396" ht="15.75" customHeight="1" s="38">
      <c r="A396" s="59" t="inlineStr">
        <is>
          <t>Worley</t>
        </is>
      </c>
      <c r="B396" s="59" t="inlineStr">
        <is>
          <t>Consultoría y Asesoramiento en Proyectos, Contratos EPC-EPCM</t>
        </is>
      </c>
      <c r="C396" s="59" t="inlineStr">
        <is>
          <t>Santiago</t>
        </is>
      </c>
      <c r="D396" s="59" t="inlineStr">
        <is>
          <t>Gemelo Digital Faenas</t>
        </is>
      </c>
      <c r="E396" s="59" t="inlineStr">
        <is>
          <t>LinkedIn Digital</t>
        </is>
      </c>
      <c r="F396" s="59" t="n"/>
      <c r="G396" s="59" t="inlineStr">
        <is>
          <t>Jorge Ellena Godoy (Digital Manager)</t>
        </is>
      </c>
      <c r="H396" s="59" t="inlineStr">
        <is>
          <t>jorge.ellena@worley.com</t>
        </is>
      </c>
      <c r="I396" s="59" t="inlineStr">
        <is>
          <t>(56) 2 2336 3500</t>
        </is>
      </c>
      <c r="J396" s="59" t="n"/>
      <c r="K396" s="59" t="inlineStr">
        <is>
          <t>96.539.000-6</t>
        </is>
      </c>
      <c r="L396" s="59" t="inlineStr">
        <is>
          <t>Ventas: GRANDE 3 (600.000 - 1.000.000 UF) | Empleados: 143</t>
        </is>
      </c>
      <c r="M396" s="59" t="inlineStr">
        <is>
          <t>Tier 1 - OPORTUNIDAD ACTIVA (VIP)</t>
        </is>
      </c>
      <c r="N396" s="61" t="n"/>
      <c r="O396" s="61" t="n"/>
      <c r="P396" s="61" t="n"/>
      <c r="Q396" s="61" t="n"/>
      <c r="R396" s="61" t="n"/>
      <c r="S396" s="62" t="n"/>
      <c r="T396" s="61" t="n"/>
    </row>
    <row r="397" ht="15.75" customHeight="1" s="38">
      <c r="A397" s="66" t="inlineStr">
        <is>
          <t>XCMG S.A.</t>
        </is>
      </c>
      <c r="B397" s="66" t="inlineStr">
        <is>
          <t>Bulldozers, Cargadores Frontales</t>
        </is>
      </c>
      <c r="C397" s="66" t="inlineStr">
        <is>
          <t>Santiago</t>
        </is>
      </c>
      <c r="D397" s="66" t="n"/>
      <c r="E397" s="66" t="n"/>
      <c r="F397" s="66" t="n"/>
      <c r="G397" s="66" t="inlineStr">
        <is>
          <t>Gerente de TI / CIO (Director de Tecnología)</t>
        </is>
      </c>
      <c r="H397" s="66" t="n"/>
      <c r="I397" s="66" t="inlineStr">
        <is>
          <t>(56) 2 2739 1323</t>
        </is>
      </c>
      <c r="J397" s="66" t="n"/>
      <c r="K397" s="66" t="inlineStr">
        <is>
          <t>76.321.092-8</t>
        </is>
      </c>
      <c r="L397" s="66" t="inlineStr">
        <is>
          <t>Ventas: GRANDE 4 (Mas de 1.000.000 UF) | Empleados: 103</t>
        </is>
      </c>
      <c r="M397" s="66" t="inlineStr">
        <is>
          <t>Tier 1 - VIP (Alta Venta + DM)</t>
        </is>
      </c>
      <c r="N397" s="61" t="n"/>
      <c r="O397" s="61" t="n"/>
      <c r="P397" s="61" t="n"/>
      <c r="Q397" s="61" t="n"/>
      <c r="R397" s="61" t="n"/>
      <c r="S397" s="62" t="n"/>
      <c r="T397" s="61" t="n"/>
    </row>
    <row r="398" ht="15.75" customHeight="1" s="38">
      <c r="A398" s="59" t="inlineStr">
        <is>
          <t>Xinerlink</t>
        </is>
      </c>
      <c r="B398" s="59" t="inlineStr">
        <is>
          <t>Selección y Reclutamiento de Ejecutivos y Personal, Servicios Transitorios</t>
        </is>
      </c>
      <c r="C398" s="59" t="inlineStr">
        <is>
          <t>Santiago</t>
        </is>
      </c>
      <c r="D398" s="59" t="inlineStr">
        <is>
          <t>Automatización Payroll (BPO) &amp; Selección Talento Digital</t>
        </is>
      </c>
      <c r="E398" s="59" t="inlineStr">
        <is>
          <t>Xinerlink.cl</t>
        </is>
      </c>
      <c r="F398" s="59" t="n"/>
      <c r="G398" s="59" t="inlineStr">
        <is>
          <t>Ricardo Villarreal Bruno (Gerente TI)</t>
        </is>
      </c>
      <c r="H398" s="59" t="inlineStr">
        <is>
          <t>rvillarreal@xinerlink.cl</t>
        </is>
      </c>
      <c r="I398" s="59" t="inlineStr">
        <is>
          <t>600 588 6000</t>
        </is>
      </c>
      <c r="J398" s="59" t="n"/>
      <c r="K398" s="59" t="inlineStr">
        <is>
          <t>96.729.120-K</t>
        </is>
      </c>
      <c r="L398" s="59" t="inlineStr">
        <is>
          <t>Ventas: GRANDE 3 (600.000 - 1.000.000 UF) | Empleados: 277</t>
        </is>
      </c>
      <c r="M398" s="59" t="inlineStr">
        <is>
          <t>Tier 1 - OPORTUNIDAD ACTIVA (VIP)</t>
        </is>
      </c>
      <c r="N398" s="61" t="n"/>
      <c r="O398" s="61" t="n"/>
      <c r="P398" s="61" t="n"/>
      <c r="Q398" s="61" t="n"/>
      <c r="R398" s="61" t="n"/>
      <c r="S398" s="62" t="n"/>
      <c r="T398" s="61" t="n"/>
    </row>
    <row r="399" ht="15.75" customHeight="1" s="38">
      <c r="A399" s="66" t="inlineStr">
        <is>
          <t>Yanguas</t>
        </is>
      </c>
      <c r="B399" s="66" t="inlineStr">
        <is>
          <t>Buses Eléctricos, Transporte de Personal</t>
        </is>
      </c>
      <c r="C399" s="66" t="inlineStr">
        <is>
          <t>Santiago</t>
        </is>
      </c>
      <c r="D399" s="66" t="n"/>
      <c r="E399" s="66" t="n"/>
      <c r="F399" s="66" t="n"/>
      <c r="G399" s="66" t="inlineStr">
        <is>
          <t>Gerente de TI / CIO (Director de Tecnología)</t>
        </is>
      </c>
      <c r="H399" s="66" t="n"/>
      <c r="I399" s="66" t="inlineStr">
        <is>
          <t>(56) 9 9089 0369</t>
        </is>
      </c>
      <c r="J399" s="66" t="n"/>
      <c r="K399" s="66" t="inlineStr">
        <is>
          <t>77.124.610-9</t>
        </is>
      </c>
      <c r="L399" s="66" t="inlineStr">
        <is>
          <t>Ventas: GRANDE 4 (Mas de 1.000.000 UF) | Empleados: 549</t>
        </is>
      </c>
      <c r="M399" s="66" t="inlineStr">
        <is>
          <t>Tier 1 - VIP (Alta Venta + DM)</t>
        </is>
      </c>
      <c r="N399" s="61" t="n"/>
      <c r="O399" s="61" t="n"/>
      <c r="P399" s="61" t="n"/>
      <c r="Q399" s="61" t="n"/>
      <c r="R399" s="61" t="n"/>
      <c r="S399" s="62" t="n"/>
      <c r="T399" s="61" t="n"/>
    </row>
    <row r="400" ht="15.75" customHeight="1" s="38">
      <c r="A400" s="66" t="inlineStr">
        <is>
          <t>Yura Chile</t>
        </is>
      </c>
      <c r="B400" s="66" t="inlineStr">
        <is>
          <t>Cal, Cemento, Concreto</t>
        </is>
      </c>
      <c r="C400" s="66" t="inlineStr">
        <is>
          <t>Iquique</t>
        </is>
      </c>
      <c r="D400" s="66" t="n"/>
      <c r="E400" s="66" t="n"/>
      <c r="F400" s="66" t="n"/>
      <c r="G400" s="66" t="inlineStr">
        <is>
          <t>Gerente de TI / CIO (Director de Tecnología)</t>
        </is>
      </c>
      <c r="H400" s="66" t="n"/>
      <c r="I400" s="66" t="inlineStr">
        <is>
          <t>(56) 9 6126 2277</t>
        </is>
      </c>
      <c r="J400" s="66" t="n"/>
      <c r="K400" s="66" t="inlineStr">
        <is>
          <t>76309712-9</t>
        </is>
      </c>
      <c r="L400" s="66" t="inlineStr">
        <is>
          <t>Ventas: GRANDE 4 (Mas de 1.000.000 UF) | Empleados: 15</t>
        </is>
      </c>
      <c r="M400" s="66" t="inlineStr">
        <is>
          <t>Tier 1 - VIP (Alta Venta + DM)</t>
        </is>
      </c>
      <c r="N400" s="61" t="n"/>
      <c r="O400" s="61" t="n"/>
      <c r="P400" s="61" t="n"/>
      <c r="Q400" s="61" t="n"/>
      <c r="R400" s="61" t="n"/>
      <c r="S400" s="62" t="n"/>
      <c r="T400" s="61" t="n"/>
    </row>
    <row r="401" ht="15.75" customHeight="1" s="38">
      <c r="A401" s="59" t="inlineStr">
        <is>
          <t>Zitrón Chile SpA</t>
        </is>
      </c>
      <c r="B401" s="59" t="inlineStr">
        <is>
          <t>Sistemas para Ventilación</t>
        </is>
      </c>
      <c r="C401" s="59" t="inlineStr">
        <is>
          <t>Santiago</t>
        </is>
      </c>
      <c r="D401" s="59" t="inlineStr">
        <is>
          <t>Sistemas Inteligentes de Gestión de Ventilación (Smart Mining)</t>
        </is>
      </c>
      <c r="E401" s="59" t="inlineStr">
        <is>
          <t>Zitron.com / MCH</t>
        </is>
      </c>
      <c r="F401" s="59" t="inlineStr">
        <is>
          <t>https://zitron.com/articulo-sobre-la-automatizacion-de-la-mina-innovacion-hacia-la-mineria-autonoma/?lang=es</t>
        </is>
      </c>
      <c r="G401" s="59" t="inlineStr">
        <is>
          <t>Nelson Cea Iraira (Subgerente TI)</t>
        </is>
      </c>
      <c r="H401" s="59" t="inlineStr">
        <is>
          <t>ncea@zitron.com</t>
        </is>
      </c>
      <c r="I401" s="59" t="inlineStr">
        <is>
          <t>(56) 2 2949 3500</t>
        </is>
      </c>
      <c r="J401" s="59" t="n"/>
      <c r="K401" s="59" t="inlineStr">
        <is>
          <t>76.900.150-6</t>
        </is>
      </c>
      <c r="L401" s="59" t="inlineStr">
        <is>
          <t>Ventas: GRANDE 3 (600.000 - 1.000.000 UF) | Empleados: 61</t>
        </is>
      </c>
      <c r="M401" s="59" t="inlineStr">
        <is>
          <t>Tier 1 - OPORTUNIDAD ACTIVA (VIP)</t>
        </is>
      </c>
      <c r="N401" s="61" t="n"/>
      <c r="O401" s="61" t="n"/>
      <c r="P401" s="61" t="n"/>
      <c r="Q401" s="61" t="n"/>
      <c r="R401" s="61" t="n"/>
      <c r="S401" s="62" t="n"/>
      <c r="T401" s="61" t="n"/>
    </row>
    <row r="402" ht="15.75" customHeight="1" s="38">
      <c r="R402" s="37" t="n"/>
      <c r="S402" s="67" t="n"/>
      <c r="T402" s="61" t="n"/>
    </row>
    <row r="403" ht="15.75" customHeight="1" s="38">
      <c r="R403" s="37" t="n"/>
      <c r="S403" s="67" t="n"/>
      <c r="T403" s="61" t="n"/>
    </row>
    <row r="404" ht="15.75" customHeight="1" s="38">
      <c r="R404" s="37" t="n"/>
      <c r="S404" s="67" t="n"/>
      <c r="T404" s="61" t="n"/>
    </row>
    <row r="405" ht="15.75" customHeight="1" s="38">
      <c r="R405" s="37" t="n"/>
      <c r="S405" s="67" t="n"/>
      <c r="T405" s="61" t="n"/>
    </row>
    <row r="406" ht="15.75" customHeight="1" s="38">
      <c r="R406" s="37" t="n"/>
      <c r="S406" s="67" t="n"/>
      <c r="T406" s="61" t="n"/>
    </row>
    <row r="407" ht="15.75" customHeight="1" s="38">
      <c r="R407" s="37" t="n"/>
      <c r="S407" s="67" t="n"/>
      <c r="T407" s="61" t="n"/>
    </row>
    <row r="408" ht="15.75" customHeight="1" s="38">
      <c r="R408" s="37" t="n"/>
      <c r="S408" s="67" t="n"/>
      <c r="T408" s="61" t="n"/>
    </row>
    <row r="409" ht="15.75" customHeight="1" s="38">
      <c r="R409" s="37" t="n"/>
      <c r="S409" s="67" t="n"/>
      <c r="T409" s="61" t="n"/>
    </row>
    <row r="410" ht="15.75" customHeight="1" s="38">
      <c r="R410" s="37" t="n"/>
      <c r="S410" s="67" t="n"/>
      <c r="T410" s="61" t="n"/>
    </row>
    <row r="411" ht="15.75" customHeight="1" s="38">
      <c r="R411" s="37" t="n"/>
      <c r="S411" s="67" t="n"/>
      <c r="T411" s="61" t="n"/>
    </row>
    <row r="412" ht="15.75" customHeight="1" s="38">
      <c r="R412" s="37" t="n"/>
      <c r="S412" s="67" t="n"/>
      <c r="T412" s="61" t="n"/>
    </row>
    <row r="413" ht="15.75" customHeight="1" s="38">
      <c r="R413" s="37" t="n"/>
      <c r="S413" s="67" t="n"/>
      <c r="T413" s="61" t="n"/>
    </row>
    <row r="414" ht="15.75" customHeight="1" s="38">
      <c r="R414" s="37" t="n"/>
      <c r="S414" s="67" t="n"/>
      <c r="T414" s="61" t="n"/>
    </row>
    <row r="415" ht="15.75" customHeight="1" s="38">
      <c r="R415" s="37" t="n"/>
      <c r="S415" s="67" t="n"/>
      <c r="T415" s="61" t="n"/>
    </row>
    <row r="416" ht="15.75" customHeight="1" s="38">
      <c r="R416" s="37" t="n"/>
      <c r="S416" s="67" t="n"/>
      <c r="T416" s="61" t="n"/>
    </row>
    <row r="417" ht="15.75" customHeight="1" s="38">
      <c r="R417" s="37" t="n"/>
      <c r="S417" s="67" t="n"/>
      <c r="T417" s="61" t="n"/>
    </row>
    <row r="418" ht="15.75" customHeight="1" s="38">
      <c r="R418" s="37" t="n"/>
      <c r="S418" s="67" t="n"/>
      <c r="T418" s="61" t="n"/>
    </row>
    <row r="419" ht="15.75" customHeight="1" s="38">
      <c r="R419" s="37" t="n"/>
      <c r="S419" s="67" t="n"/>
      <c r="T419" s="61" t="n"/>
    </row>
    <row r="420" ht="15.75" customHeight="1" s="38">
      <c r="R420" s="37" t="n"/>
      <c r="S420" s="67" t="n"/>
      <c r="T420" s="61" t="n"/>
    </row>
    <row r="421" ht="15.75" customHeight="1" s="38">
      <c r="R421" s="37" t="n"/>
      <c r="S421" s="67" t="n"/>
      <c r="T421" s="61" t="n"/>
    </row>
    <row r="422" ht="15.75" customHeight="1" s="38">
      <c r="R422" s="37" t="n"/>
      <c r="S422" s="67" t="n"/>
      <c r="T422" s="61" t="n"/>
    </row>
    <row r="423" ht="15.75" customHeight="1" s="38">
      <c r="R423" s="37" t="n"/>
      <c r="S423" s="67" t="n"/>
      <c r="T423" s="61" t="n"/>
    </row>
    <row r="424" ht="15.75" customHeight="1" s="38">
      <c r="R424" s="37" t="n"/>
      <c r="S424" s="67" t="n"/>
      <c r="T424" s="61" t="n"/>
    </row>
    <row r="425" ht="15.75" customHeight="1" s="38">
      <c r="R425" s="37" t="n"/>
      <c r="S425" s="67" t="n"/>
      <c r="T425" s="61" t="n"/>
    </row>
    <row r="426" ht="15.75" customHeight="1" s="38">
      <c r="R426" s="37" t="n"/>
      <c r="S426" s="67" t="n"/>
      <c r="T426" s="61" t="n"/>
    </row>
    <row r="427" ht="15.75" customHeight="1" s="38">
      <c r="R427" s="37" t="n"/>
      <c r="S427" s="67" t="n"/>
      <c r="T427" s="61" t="n"/>
    </row>
    <row r="428" ht="15.75" customHeight="1" s="38">
      <c r="R428" s="37" t="n"/>
      <c r="S428" s="67" t="n"/>
      <c r="T428" s="61" t="n"/>
    </row>
    <row r="429" ht="15.75" customHeight="1" s="38">
      <c r="R429" s="37" t="n"/>
      <c r="S429" s="67" t="n"/>
      <c r="T429" s="61" t="n"/>
    </row>
    <row r="430" ht="15.75" customHeight="1" s="38">
      <c r="R430" s="37" t="n"/>
      <c r="S430" s="67" t="n"/>
      <c r="T430" s="61" t="n"/>
    </row>
    <row r="431" ht="15.75" customHeight="1" s="38">
      <c r="R431" s="37" t="n"/>
      <c r="S431" s="67" t="n"/>
      <c r="T431" s="61" t="n"/>
    </row>
    <row r="432" ht="15.75" customHeight="1" s="38">
      <c r="R432" s="37" t="n"/>
      <c r="S432" s="67" t="n"/>
      <c r="T432" s="61" t="n"/>
    </row>
    <row r="433" ht="15.75" customHeight="1" s="38">
      <c r="R433" s="37" t="n"/>
      <c r="S433" s="67" t="n"/>
      <c r="T433" s="61" t="n"/>
    </row>
    <row r="434" ht="15.75" customHeight="1" s="38">
      <c r="R434" s="37" t="n"/>
      <c r="S434" s="67" t="n"/>
      <c r="T434" s="61" t="n"/>
    </row>
    <row r="435" ht="15.75" customHeight="1" s="38">
      <c r="R435" s="37" t="n"/>
      <c r="S435" s="67" t="n"/>
      <c r="T435" s="61" t="n"/>
    </row>
    <row r="436" ht="15.75" customHeight="1" s="38">
      <c r="R436" s="37" t="n"/>
      <c r="S436" s="67" t="n"/>
      <c r="T436" s="61" t="n"/>
    </row>
    <row r="437" ht="15.75" customHeight="1" s="38">
      <c r="R437" s="37" t="n"/>
      <c r="S437" s="67" t="n"/>
      <c r="T437" s="61" t="n"/>
    </row>
    <row r="438" ht="15.75" customHeight="1" s="38">
      <c r="R438" s="37" t="n"/>
      <c r="S438" s="67" t="n"/>
      <c r="T438" s="61" t="n"/>
    </row>
    <row r="439" ht="15.75" customHeight="1" s="38">
      <c r="R439" s="37" t="n"/>
      <c r="S439" s="67" t="n"/>
      <c r="T439" s="61" t="n"/>
    </row>
    <row r="440" ht="15.75" customHeight="1" s="38">
      <c r="R440" s="37" t="n"/>
      <c r="S440" s="67" t="n"/>
      <c r="T440" s="61" t="n"/>
    </row>
    <row r="441" ht="15.75" customHeight="1" s="38">
      <c r="R441" s="37" t="n"/>
      <c r="S441" s="67" t="n"/>
      <c r="T441" s="61" t="n"/>
    </row>
    <row r="442" ht="15.75" customHeight="1" s="38">
      <c r="R442" s="37" t="n"/>
      <c r="S442" s="67" t="n"/>
      <c r="T442" s="61" t="n"/>
    </row>
    <row r="443" ht="15.75" customHeight="1" s="38">
      <c r="R443" s="37" t="n"/>
      <c r="S443" s="67" t="n"/>
      <c r="T443" s="61" t="n"/>
    </row>
    <row r="444" ht="15.75" customHeight="1" s="38">
      <c r="R444" s="37" t="n"/>
      <c r="S444" s="67" t="n"/>
      <c r="T444" s="61" t="n"/>
    </row>
    <row r="445" ht="15.75" customHeight="1" s="38">
      <c r="R445" s="37" t="n"/>
      <c r="S445" s="67" t="n"/>
      <c r="T445" s="61" t="n"/>
    </row>
    <row r="446" ht="15.75" customHeight="1" s="38">
      <c r="R446" s="37" t="n"/>
      <c r="S446" s="67" t="n"/>
      <c r="T446" s="61" t="n"/>
    </row>
    <row r="447" ht="15.75" customHeight="1" s="38">
      <c r="R447" s="37" t="n"/>
      <c r="S447" s="67" t="n"/>
      <c r="T447" s="61" t="n"/>
    </row>
    <row r="448" ht="15.75" customHeight="1" s="38">
      <c r="R448" s="37" t="n"/>
      <c r="S448" s="67" t="n"/>
      <c r="T448" s="61" t="n"/>
    </row>
    <row r="449" ht="15.75" customHeight="1" s="38">
      <c r="R449" s="37" t="n"/>
      <c r="S449" s="67" t="n"/>
      <c r="T449" s="61" t="n"/>
    </row>
    <row r="450" ht="15.75" customHeight="1" s="38">
      <c r="R450" s="37" t="n"/>
      <c r="S450" s="67" t="n"/>
      <c r="T450" s="61" t="n"/>
    </row>
    <row r="451" ht="15.75" customHeight="1" s="38">
      <c r="R451" s="37" t="n"/>
      <c r="S451" s="67" t="n"/>
      <c r="T451" s="61" t="n"/>
    </row>
    <row r="452" ht="15.75" customHeight="1" s="38">
      <c r="R452" s="37" t="n"/>
      <c r="S452" s="67" t="n"/>
      <c r="T452" s="61" t="n"/>
    </row>
    <row r="453" ht="15.75" customHeight="1" s="38">
      <c r="R453" s="37" t="n"/>
      <c r="S453" s="67" t="n"/>
      <c r="T453" s="61" t="n"/>
    </row>
    <row r="454" ht="15.75" customHeight="1" s="38">
      <c r="R454" s="37" t="n"/>
      <c r="S454" s="67" t="n"/>
      <c r="T454" s="61" t="n"/>
    </row>
    <row r="455" ht="15.75" customHeight="1" s="38">
      <c r="R455" s="37" t="n"/>
      <c r="S455" s="67" t="n"/>
      <c r="T455" s="61" t="n"/>
    </row>
    <row r="456" ht="15.75" customHeight="1" s="38">
      <c r="R456" s="37" t="n"/>
      <c r="S456" s="67" t="n"/>
      <c r="T456" s="61" t="n"/>
    </row>
    <row r="457" ht="15.75" customHeight="1" s="38">
      <c r="R457" s="37" t="n"/>
      <c r="S457" s="67" t="n"/>
      <c r="T457" s="61" t="n"/>
    </row>
    <row r="458" ht="15.75" customHeight="1" s="38">
      <c r="R458" s="37" t="n"/>
      <c r="S458" s="67" t="n"/>
      <c r="T458" s="61" t="n"/>
    </row>
    <row r="459" ht="15.75" customHeight="1" s="38">
      <c r="R459" s="37" t="n"/>
      <c r="S459" s="67" t="n"/>
      <c r="T459" s="61" t="n"/>
    </row>
    <row r="460" ht="15.75" customHeight="1" s="38">
      <c r="R460" s="37" t="n"/>
      <c r="S460" s="67" t="n"/>
      <c r="T460" s="61" t="n"/>
    </row>
    <row r="461" ht="15.75" customHeight="1" s="38">
      <c r="R461" s="37" t="n"/>
      <c r="S461" s="67" t="n"/>
      <c r="T461" s="61" t="n"/>
    </row>
    <row r="462" ht="15.75" customHeight="1" s="38">
      <c r="R462" s="37" t="n"/>
      <c r="S462" s="67" t="n"/>
      <c r="T462" s="61" t="n"/>
    </row>
    <row r="463" ht="15.75" customHeight="1" s="38">
      <c r="R463" s="37" t="n"/>
      <c r="S463" s="67" t="n"/>
      <c r="T463" s="61" t="n"/>
    </row>
    <row r="464" ht="15.75" customHeight="1" s="38">
      <c r="R464" s="37" t="n"/>
      <c r="S464" s="67" t="n"/>
      <c r="T464" s="61" t="n"/>
    </row>
    <row r="465" ht="15.75" customHeight="1" s="38">
      <c r="R465" s="37" t="n"/>
      <c r="S465" s="67" t="n"/>
      <c r="T465" s="61" t="n"/>
    </row>
    <row r="466" ht="15.75" customHeight="1" s="38">
      <c r="R466" s="37" t="n"/>
      <c r="S466" s="67" t="n"/>
      <c r="T466" s="61" t="n"/>
    </row>
    <row r="467" ht="15.75" customHeight="1" s="38">
      <c r="R467" s="37" t="n"/>
      <c r="S467" s="67" t="n"/>
      <c r="T467" s="61" t="n"/>
    </row>
    <row r="468" ht="15.75" customHeight="1" s="38">
      <c r="R468" s="37" t="n"/>
      <c r="S468" s="67" t="n"/>
      <c r="T468" s="61" t="n"/>
    </row>
    <row r="469" ht="15.75" customHeight="1" s="38">
      <c r="R469" s="37" t="n"/>
      <c r="S469" s="67" t="n"/>
      <c r="T469" s="61" t="n"/>
    </row>
    <row r="470" ht="15.75" customHeight="1" s="38">
      <c r="R470" s="37" t="n"/>
      <c r="S470" s="67" t="n"/>
      <c r="T470" s="61" t="n"/>
    </row>
    <row r="471" ht="15.75" customHeight="1" s="38">
      <c r="R471" s="37" t="n"/>
      <c r="S471" s="67" t="n"/>
      <c r="T471" s="61" t="n"/>
    </row>
    <row r="472" ht="15.75" customHeight="1" s="38">
      <c r="R472" s="37" t="n"/>
      <c r="S472" s="67" t="n"/>
      <c r="T472" s="61" t="n"/>
    </row>
    <row r="473" ht="15.75" customHeight="1" s="38">
      <c r="R473" s="37" t="n"/>
      <c r="S473" s="67" t="n"/>
      <c r="T473" s="61" t="n"/>
    </row>
    <row r="474" ht="15.75" customHeight="1" s="38">
      <c r="R474" s="37" t="n"/>
      <c r="S474" s="67" t="n"/>
      <c r="T474" s="61" t="n"/>
    </row>
    <row r="475" ht="15.75" customHeight="1" s="38">
      <c r="R475" s="37" t="n"/>
      <c r="S475" s="67" t="n"/>
      <c r="T475" s="61" t="n"/>
    </row>
    <row r="476" ht="15.75" customHeight="1" s="38">
      <c r="R476" s="37" t="n"/>
      <c r="S476" s="67" t="n"/>
      <c r="T476" s="61" t="n"/>
    </row>
    <row r="477" ht="15.75" customHeight="1" s="38">
      <c r="R477" s="37" t="n"/>
      <c r="S477" s="67" t="n"/>
      <c r="T477" s="61" t="n"/>
    </row>
    <row r="478" ht="15.75" customHeight="1" s="38">
      <c r="R478" s="37" t="n"/>
      <c r="S478" s="67" t="n"/>
      <c r="T478" s="61" t="n"/>
    </row>
    <row r="479" ht="15.75" customHeight="1" s="38">
      <c r="R479" s="37" t="n"/>
      <c r="S479" s="67" t="n"/>
      <c r="T479" s="61" t="n"/>
    </row>
    <row r="480" ht="15.75" customHeight="1" s="38">
      <c r="R480" s="37" t="n"/>
      <c r="S480" s="67" t="n"/>
      <c r="T480" s="61" t="n"/>
    </row>
    <row r="481" ht="15.75" customHeight="1" s="38">
      <c r="R481" s="37" t="n"/>
      <c r="S481" s="67" t="n"/>
      <c r="T481" s="61" t="n"/>
    </row>
    <row r="482" ht="15.75" customHeight="1" s="38">
      <c r="R482" s="37" t="n"/>
      <c r="S482" s="67" t="n"/>
      <c r="T482" s="61" t="n"/>
    </row>
    <row r="483" ht="15.75" customHeight="1" s="38">
      <c r="R483" s="37" t="n"/>
      <c r="S483" s="67" t="n"/>
      <c r="T483" s="61" t="n"/>
    </row>
    <row r="484" ht="15.75" customHeight="1" s="38">
      <c r="R484" s="37" t="n"/>
      <c r="S484" s="67" t="n"/>
      <c r="T484" s="61" t="n"/>
    </row>
    <row r="485" ht="15.75" customHeight="1" s="38">
      <c r="R485" s="37" t="n"/>
      <c r="S485" s="67" t="n"/>
      <c r="T485" s="61" t="n"/>
    </row>
    <row r="486" ht="15.75" customHeight="1" s="38">
      <c r="R486" s="37" t="n"/>
      <c r="S486" s="67" t="n"/>
      <c r="T486" s="61" t="n"/>
    </row>
    <row r="487" ht="15.75" customHeight="1" s="38">
      <c r="R487" s="37" t="n"/>
      <c r="S487" s="67" t="n"/>
      <c r="T487" s="61" t="n"/>
    </row>
    <row r="488" ht="15.75" customHeight="1" s="38">
      <c r="R488" s="37" t="n"/>
      <c r="S488" s="67" t="n"/>
      <c r="T488" s="61" t="n"/>
    </row>
    <row r="489" ht="15.75" customHeight="1" s="38">
      <c r="R489" s="37" t="n"/>
      <c r="S489" s="67" t="n"/>
      <c r="T489" s="61" t="n"/>
    </row>
    <row r="490" ht="15.75" customHeight="1" s="38">
      <c r="R490" s="37" t="n"/>
      <c r="S490" s="67" t="n"/>
      <c r="T490" s="61" t="n"/>
    </row>
    <row r="491" ht="15.75" customHeight="1" s="38">
      <c r="R491" s="37" t="n"/>
      <c r="S491" s="67" t="n"/>
      <c r="T491" s="61" t="n"/>
    </row>
    <row r="492" ht="15.75" customHeight="1" s="38">
      <c r="R492" s="37" t="n"/>
      <c r="S492" s="67" t="n"/>
      <c r="T492" s="61" t="n"/>
    </row>
    <row r="493" ht="15.75" customHeight="1" s="38">
      <c r="R493" s="37" t="n"/>
      <c r="S493" s="67" t="n"/>
      <c r="T493" s="61" t="n"/>
    </row>
    <row r="494" ht="15.75" customHeight="1" s="38">
      <c r="R494" s="37" t="n"/>
      <c r="S494" s="67" t="n"/>
      <c r="T494" s="61" t="n"/>
    </row>
    <row r="495" ht="15.75" customHeight="1" s="38">
      <c r="R495" s="37" t="n"/>
      <c r="S495" s="67" t="n"/>
      <c r="T495" s="61" t="n"/>
    </row>
    <row r="496" ht="15.75" customHeight="1" s="38">
      <c r="R496" s="37" t="n"/>
      <c r="S496" s="67" t="n"/>
      <c r="T496" s="61" t="n"/>
    </row>
    <row r="497" ht="15.75" customHeight="1" s="38">
      <c r="R497" s="37" t="n"/>
      <c r="S497" s="67" t="n"/>
      <c r="T497" s="61" t="n"/>
    </row>
    <row r="498" ht="15.75" customHeight="1" s="38">
      <c r="R498" s="37" t="n"/>
      <c r="S498" s="67" t="n"/>
      <c r="T498" s="61" t="n"/>
    </row>
    <row r="499" ht="15.75" customHeight="1" s="38">
      <c r="R499" s="37" t="n"/>
      <c r="S499" s="67" t="n"/>
      <c r="T499" s="61" t="n"/>
    </row>
    <row r="500" ht="15.75" customHeight="1" s="38">
      <c r="R500" s="37" t="n"/>
      <c r="S500" s="67" t="n"/>
      <c r="T500" s="61" t="n"/>
    </row>
    <row r="501" ht="15.75" customHeight="1" s="38">
      <c r="R501" s="37" t="n"/>
      <c r="S501" s="67" t="n"/>
      <c r="T501" s="61" t="n"/>
    </row>
    <row r="502" ht="15.75" customHeight="1" s="38">
      <c r="R502" s="37" t="n"/>
      <c r="S502" s="67" t="n"/>
      <c r="T502" s="61" t="n"/>
    </row>
    <row r="503" ht="15.75" customHeight="1" s="38">
      <c r="R503" s="37" t="n"/>
      <c r="S503" s="67" t="n"/>
      <c r="T503" s="61" t="n"/>
    </row>
    <row r="504" ht="15.75" customHeight="1" s="38">
      <c r="R504" s="37" t="n"/>
      <c r="S504" s="67" t="n"/>
      <c r="T504" s="61" t="n"/>
    </row>
    <row r="505" ht="15.75" customHeight="1" s="38">
      <c r="R505" s="37" t="n"/>
      <c r="S505" s="67" t="n"/>
      <c r="T505" s="61" t="n"/>
    </row>
    <row r="506" ht="15.75" customHeight="1" s="38">
      <c r="R506" s="37" t="n"/>
      <c r="S506" s="67" t="n"/>
      <c r="T506" s="61" t="n"/>
    </row>
    <row r="507" ht="15.75" customHeight="1" s="38">
      <c r="R507" s="37" t="n"/>
      <c r="S507" s="67" t="n"/>
      <c r="T507" s="61" t="n"/>
    </row>
    <row r="508" ht="15.75" customHeight="1" s="38">
      <c r="R508" s="37" t="n"/>
      <c r="S508" s="67" t="n"/>
      <c r="T508" s="61" t="n"/>
    </row>
    <row r="509" ht="15.75" customHeight="1" s="38">
      <c r="R509" s="37" t="n"/>
      <c r="S509" s="67" t="n"/>
      <c r="T509" s="61" t="n"/>
    </row>
    <row r="510" ht="15.75" customHeight="1" s="38">
      <c r="R510" s="37" t="n"/>
      <c r="S510" s="67" t="n"/>
      <c r="T510" s="61" t="n"/>
    </row>
    <row r="511" ht="15.75" customHeight="1" s="38">
      <c r="R511" s="37" t="n"/>
      <c r="S511" s="67" t="n"/>
      <c r="T511" s="61" t="n"/>
    </row>
    <row r="512" ht="15.75" customHeight="1" s="38">
      <c r="R512" s="37" t="n"/>
      <c r="S512" s="67" t="n"/>
      <c r="T512" s="61" t="n"/>
    </row>
    <row r="513" ht="15.75" customHeight="1" s="38">
      <c r="R513" s="37" t="n"/>
      <c r="S513" s="67" t="n"/>
      <c r="T513" s="61" t="n"/>
    </row>
    <row r="514" ht="15.75" customHeight="1" s="38">
      <c r="R514" s="37" t="n"/>
      <c r="S514" s="67" t="n"/>
      <c r="T514" s="61" t="n"/>
    </row>
    <row r="515" ht="15.75" customHeight="1" s="38">
      <c r="R515" s="37" t="n"/>
      <c r="S515" s="67" t="n"/>
      <c r="T515" s="61" t="n"/>
    </row>
    <row r="516" ht="15.75" customHeight="1" s="38">
      <c r="R516" s="37" t="n"/>
      <c r="S516" s="67" t="n"/>
      <c r="T516" s="61" t="n"/>
    </row>
    <row r="517" ht="15.75" customHeight="1" s="38">
      <c r="R517" s="37" t="n"/>
      <c r="S517" s="67" t="n"/>
      <c r="T517" s="61" t="n"/>
    </row>
    <row r="518" ht="15.75" customHeight="1" s="38">
      <c r="R518" s="37" t="n"/>
      <c r="S518" s="67" t="n"/>
      <c r="T518" s="61" t="n"/>
    </row>
    <row r="519" ht="15.75" customHeight="1" s="38">
      <c r="R519" s="37" t="n"/>
      <c r="S519" s="67" t="n"/>
      <c r="T519" s="61" t="n"/>
    </row>
    <row r="520" ht="15.75" customHeight="1" s="38">
      <c r="R520" s="37" t="n"/>
      <c r="S520" s="67" t="n"/>
      <c r="T520" s="61" t="n"/>
    </row>
    <row r="521" ht="15.75" customHeight="1" s="38">
      <c r="R521" s="37" t="n"/>
      <c r="S521" s="67" t="n"/>
      <c r="T521" s="61" t="n"/>
    </row>
    <row r="522" ht="15.75" customHeight="1" s="38">
      <c r="R522" s="37" t="n"/>
      <c r="S522" s="67" t="n"/>
      <c r="T522" s="61" t="n"/>
    </row>
    <row r="523" ht="15.75" customHeight="1" s="38">
      <c r="R523" s="37" t="n"/>
      <c r="S523" s="67" t="n"/>
      <c r="T523" s="61" t="n"/>
    </row>
    <row r="524" ht="15.75" customHeight="1" s="38">
      <c r="R524" s="37" t="n"/>
      <c r="S524" s="67" t="n"/>
      <c r="T524" s="61" t="n"/>
    </row>
    <row r="525" ht="15.75" customHeight="1" s="38">
      <c r="R525" s="37" t="n"/>
      <c r="S525" s="67" t="n"/>
      <c r="T525" s="61" t="n"/>
    </row>
    <row r="526" ht="15.75" customHeight="1" s="38">
      <c r="R526" s="37" t="n"/>
      <c r="S526" s="67" t="n"/>
      <c r="T526" s="61" t="n"/>
    </row>
    <row r="527" ht="15.75" customHeight="1" s="38">
      <c r="R527" s="37" t="n"/>
      <c r="S527" s="67" t="n"/>
      <c r="T527" s="61" t="n"/>
    </row>
    <row r="528" ht="15.75" customHeight="1" s="38">
      <c r="R528" s="37" t="n"/>
      <c r="S528" s="67" t="n"/>
      <c r="T528" s="61" t="n"/>
    </row>
    <row r="529" ht="15.75" customHeight="1" s="38">
      <c r="R529" s="37" t="n"/>
      <c r="S529" s="67" t="n"/>
      <c r="T529" s="61" t="n"/>
    </row>
    <row r="530" ht="15.75" customHeight="1" s="38">
      <c r="R530" s="37" t="n"/>
      <c r="S530" s="67" t="n"/>
      <c r="T530" s="61" t="n"/>
    </row>
    <row r="531" ht="15.75" customHeight="1" s="38">
      <c r="R531" s="37" t="n"/>
      <c r="S531" s="67" t="n"/>
      <c r="T531" s="61" t="n"/>
    </row>
    <row r="532" ht="15.75" customHeight="1" s="38">
      <c r="R532" s="37" t="n"/>
      <c r="S532" s="67" t="n"/>
      <c r="T532" s="61" t="n"/>
    </row>
    <row r="533" ht="15.75" customHeight="1" s="38">
      <c r="R533" s="37" t="n"/>
      <c r="S533" s="67" t="n"/>
      <c r="T533" s="61" t="n"/>
    </row>
    <row r="534" ht="15.75" customHeight="1" s="38">
      <c r="R534" s="37" t="n"/>
      <c r="S534" s="67" t="n"/>
      <c r="T534" s="61" t="n"/>
    </row>
    <row r="535" ht="15.75" customHeight="1" s="38">
      <c r="R535" s="37" t="n"/>
      <c r="S535" s="67" t="n"/>
      <c r="T535" s="61" t="n"/>
    </row>
    <row r="536" ht="15.75" customHeight="1" s="38">
      <c r="R536" s="37" t="n"/>
      <c r="S536" s="67" t="n"/>
      <c r="T536" s="61" t="n"/>
    </row>
    <row r="537" ht="15.75" customHeight="1" s="38">
      <c r="R537" s="37" t="n"/>
      <c r="S537" s="67" t="n"/>
      <c r="T537" s="61" t="n"/>
    </row>
    <row r="538" ht="15.75" customHeight="1" s="38">
      <c r="R538" s="37" t="n"/>
      <c r="S538" s="67" t="n"/>
      <c r="T538" s="61" t="n"/>
    </row>
    <row r="539" ht="15.75" customHeight="1" s="38">
      <c r="R539" s="37" t="n"/>
      <c r="S539" s="67" t="n"/>
      <c r="T539" s="61" t="n"/>
    </row>
    <row r="540" ht="15.75" customHeight="1" s="38">
      <c r="R540" s="37" t="n"/>
      <c r="S540" s="67" t="n"/>
      <c r="T540" s="61" t="n"/>
    </row>
    <row r="541" ht="15.75" customHeight="1" s="38">
      <c r="R541" s="37" t="n"/>
      <c r="S541" s="67" t="n"/>
      <c r="T541" s="61" t="n"/>
    </row>
    <row r="542" ht="15.75" customHeight="1" s="38">
      <c r="R542" s="37" t="n"/>
      <c r="S542" s="67" t="n"/>
      <c r="T542" s="61" t="n"/>
    </row>
    <row r="543" ht="15.75" customHeight="1" s="38">
      <c r="R543" s="37" t="n"/>
      <c r="S543" s="67" t="n"/>
      <c r="T543" s="61" t="n"/>
    </row>
    <row r="544" ht="15.75" customHeight="1" s="38">
      <c r="R544" s="37" t="n"/>
      <c r="S544" s="67" t="n"/>
      <c r="T544" s="61" t="n"/>
    </row>
    <row r="545" ht="15.75" customHeight="1" s="38">
      <c r="R545" s="37" t="n"/>
      <c r="S545" s="67" t="n"/>
      <c r="T545" s="61" t="n"/>
    </row>
    <row r="546" ht="15.75" customHeight="1" s="38">
      <c r="R546" s="37" t="n"/>
      <c r="S546" s="67" t="n"/>
      <c r="T546" s="61" t="n"/>
    </row>
    <row r="547" ht="15.75" customHeight="1" s="38">
      <c r="R547" s="37" t="n"/>
      <c r="S547" s="67" t="n"/>
      <c r="T547" s="61" t="n"/>
    </row>
    <row r="548" ht="15.75" customHeight="1" s="38">
      <c r="R548" s="37" t="n"/>
      <c r="S548" s="67" t="n"/>
      <c r="T548" s="61" t="n"/>
    </row>
    <row r="549" ht="15.75" customHeight="1" s="38">
      <c r="R549" s="37" t="n"/>
      <c r="S549" s="67" t="n"/>
      <c r="T549" s="61" t="n"/>
    </row>
    <row r="550" ht="15.75" customHeight="1" s="38">
      <c r="R550" s="37" t="n"/>
      <c r="S550" s="67" t="n"/>
      <c r="T550" s="61" t="n"/>
    </row>
    <row r="551" ht="15.75" customHeight="1" s="38">
      <c r="R551" s="37" t="n"/>
      <c r="S551" s="67" t="n"/>
      <c r="T551" s="61" t="n"/>
    </row>
    <row r="552" ht="15.75" customHeight="1" s="38">
      <c r="R552" s="37" t="n"/>
      <c r="S552" s="67" t="n"/>
      <c r="T552" s="61" t="n"/>
    </row>
    <row r="553" ht="15.75" customHeight="1" s="38">
      <c r="R553" s="37" t="n"/>
      <c r="S553" s="67" t="n"/>
      <c r="T553" s="61" t="n"/>
    </row>
    <row r="554" ht="15.75" customHeight="1" s="38">
      <c r="R554" s="37" t="n"/>
      <c r="S554" s="67" t="n"/>
      <c r="T554" s="61" t="n"/>
    </row>
    <row r="555" ht="15.75" customHeight="1" s="38">
      <c r="R555" s="37" t="n"/>
      <c r="S555" s="67" t="n"/>
      <c r="T555" s="61" t="n"/>
    </row>
    <row r="556" ht="15.75" customHeight="1" s="38">
      <c r="R556" s="37" t="n"/>
      <c r="S556" s="67" t="n"/>
      <c r="T556" s="61" t="n"/>
    </row>
    <row r="557" ht="15.75" customHeight="1" s="38">
      <c r="R557" s="37" t="n"/>
      <c r="S557" s="67" t="n"/>
      <c r="T557" s="61" t="n"/>
    </row>
    <row r="558" ht="15.75" customHeight="1" s="38">
      <c r="R558" s="37" t="n"/>
      <c r="S558" s="67" t="n"/>
      <c r="T558" s="61" t="n"/>
    </row>
    <row r="559" ht="15.75" customHeight="1" s="38">
      <c r="R559" s="37" t="n"/>
      <c r="S559" s="67" t="n"/>
      <c r="T559" s="61" t="n"/>
    </row>
    <row r="560" ht="15.75" customHeight="1" s="38">
      <c r="R560" s="37" t="n"/>
      <c r="S560" s="67" t="n"/>
      <c r="T560" s="61" t="n"/>
    </row>
    <row r="561" ht="15.75" customHeight="1" s="38">
      <c r="R561" s="37" t="n"/>
      <c r="S561" s="67" t="n"/>
      <c r="T561" s="61" t="n"/>
    </row>
    <row r="562" ht="15.75" customHeight="1" s="38">
      <c r="R562" s="37" t="n"/>
      <c r="S562" s="67" t="n"/>
      <c r="T562" s="61" t="n"/>
    </row>
    <row r="563" ht="15.75" customHeight="1" s="38">
      <c r="R563" s="37" t="n"/>
      <c r="S563" s="67" t="n"/>
      <c r="T563" s="61" t="n"/>
    </row>
    <row r="564" ht="15.75" customHeight="1" s="38">
      <c r="R564" s="37" t="n"/>
      <c r="S564" s="67" t="n"/>
      <c r="T564" s="61" t="n"/>
    </row>
    <row r="565" ht="15.75" customHeight="1" s="38">
      <c r="R565" s="37" t="n"/>
      <c r="S565" s="67" t="n"/>
      <c r="T565" s="61" t="n"/>
    </row>
    <row r="566" ht="15.75" customHeight="1" s="38">
      <c r="R566" s="37" t="n"/>
      <c r="S566" s="67" t="n"/>
      <c r="T566" s="61" t="n"/>
    </row>
    <row r="567" ht="15.75" customHeight="1" s="38">
      <c r="R567" s="37" t="n"/>
      <c r="S567" s="67" t="n"/>
      <c r="T567" s="61" t="n"/>
    </row>
    <row r="568" ht="15.75" customHeight="1" s="38">
      <c r="R568" s="37" t="n"/>
      <c r="S568" s="67" t="n"/>
      <c r="T568" s="61" t="n"/>
    </row>
    <row r="569" ht="15.75" customHeight="1" s="38">
      <c r="R569" s="37" t="n"/>
      <c r="S569" s="67" t="n"/>
      <c r="T569" s="61" t="n"/>
    </row>
    <row r="570" ht="15.75" customHeight="1" s="38">
      <c r="R570" s="37" t="n"/>
      <c r="S570" s="67" t="n"/>
      <c r="T570" s="61" t="n"/>
    </row>
    <row r="571" ht="15.75" customHeight="1" s="38">
      <c r="R571" s="37" t="n"/>
      <c r="S571" s="67" t="n"/>
      <c r="T571" s="61" t="n"/>
    </row>
    <row r="572" ht="15.75" customHeight="1" s="38">
      <c r="R572" s="37" t="n"/>
      <c r="S572" s="67" t="n"/>
      <c r="T572" s="61" t="n"/>
    </row>
    <row r="573" ht="15.75" customHeight="1" s="38">
      <c r="R573" s="37" t="n"/>
      <c r="S573" s="67" t="n"/>
      <c r="T573" s="61" t="n"/>
    </row>
    <row r="574" ht="15.75" customHeight="1" s="38">
      <c r="R574" s="37" t="n"/>
      <c r="S574" s="67" t="n"/>
      <c r="T574" s="61" t="n"/>
    </row>
    <row r="575" ht="15.75" customHeight="1" s="38">
      <c r="R575" s="37" t="n"/>
      <c r="S575" s="67" t="n"/>
      <c r="T575" s="61" t="n"/>
    </row>
    <row r="576" ht="15.75" customHeight="1" s="38">
      <c r="R576" s="37" t="n"/>
      <c r="S576" s="67" t="n"/>
      <c r="T576" s="61" t="n"/>
    </row>
    <row r="577" ht="15.75" customHeight="1" s="38">
      <c r="R577" s="37" t="n"/>
      <c r="S577" s="67" t="n"/>
      <c r="T577" s="61" t="n"/>
    </row>
    <row r="578" ht="15.75" customHeight="1" s="38">
      <c r="R578" s="37" t="n"/>
      <c r="S578" s="67" t="n"/>
      <c r="T578" s="61" t="n"/>
    </row>
    <row r="579" ht="15.75" customHeight="1" s="38">
      <c r="R579" s="37" t="n"/>
      <c r="S579" s="67" t="n"/>
      <c r="T579" s="61" t="n"/>
    </row>
    <row r="580" ht="15.75" customHeight="1" s="38">
      <c r="R580" s="37" t="n"/>
      <c r="S580" s="67" t="n"/>
      <c r="T580" s="61" t="n"/>
    </row>
    <row r="581" ht="15.75" customHeight="1" s="38">
      <c r="R581" s="37" t="n"/>
      <c r="S581" s="67" t="n"/>
      <c r="T581" s="61" t="n"/>
    </row>
    <row r="582" ht="15.75" customHeight="1" s="38">
      <c r="R582" s="37" t="n"/>
      <c r="S582" s="67" t="n"/>
      <c r="T582" s="61" t="n"/>
    </row>
    <row r="583" ht="15.75" customHeight="1" s="38">
      <c r="R583" s="37" t="n"/>
      <c r="S583" s="67" t="n"/>
      <c r="T583" s="61" t="n"/>
    </row>
    <row r="584" ht="15.75" customHeight="1" s="38">
      <c r="R584" s="37" t="n"/>
      <c r="S584" s="67" t="n"/>
      <c r="T584" s="61" t="n"/>
    </row>
    <row r="585" ht="15.75" customHeight="1" s="38">
      <c r="R585" s="37" t="n"/>
      <c r="S585" s="67" t="n"/>
      <c r="T585" s="61" t="n"/>
    </row>
    <row r="586" ht="15.75" customHeight="1" s="38">
      <c r="R586" s="37" t="n"/>
      <c r="S586" s="67" t="n"/>
      <c r="T586" s="61" t="n"/>
    </row>
    <row r="587" ht="15.75" customHeight="1" s="38">
      <c r="R587" s="37" t="n"/>
      <c r="S587" s="67" t="n"/>
      <c r="T587" s="61" t="n"/>
    </row>
    <row r="588" ht="15.75" customHeight="1" s="38">
      <c r="R588" s="37" t="n"/>
      <c r="S588" s="67" t="n"/>
      <c r="T588" s="61" t="n"/>
    </row>
    <row r="589" ht="15.75" customHeight="1" s="38">
      <c r="R589" s="37" t="n"/>
      <c r="S589" s="67" t="n"/>
      <c r="T589" s="61" t="n"/>
    </row>
    <row r="590" ht="15.75" customHeight="1" s="38">
      <c r="R590" s="37" t="n"/>
      <c r="S590" s="67" t="n"/>
      <c r="T590" s="61" t="n"/>
    </row>
    <row r="591" ht="15.75" customHeight="1" s="38">
      <c r="R591" s="37" t="n"/>
      <c r="S591" s="67" t="n"/>
      <c r="T591" s="61" t="n"/>
    </row>
    <row r="592" ht="15.75" customHeight="1" s="38">
      <c r="R592" s="37" t="n"/>
      <c r="S592" s="67" t="n"/>
      <c r="T592" s="61" t="n"/>
    </row>
    <row r="593" ht="15.75" customHeight="1" s="38">
      <c r="R593" s="37" t="n"/>
      <c r="S593" s="67" t="n"/>
      <c r="T593" s="61" t="n"/>
    </row>
    <row r="594" ht="15.75" customHeight="1" s="38">
      <c r="R594" s="37" t="n"/>
      <c r="S594" s="67" t="n"/>
      <c r="T594" s="61" t="n"/>
    </row>
    <row r="595" ht="15.75" customHeight="1" s="38">
      <c r="R595" s="37" t="n"/>
      <c r="S595" s="67" t="n"/>
      <c r="T595" s="61" t="n"/>
    </row>
    <row r="596" ht="15.75" customHeight="1" s="38">
      <c r="R596" s="37" t="n"/>
      <c r="S596" s="67" t="n"/>
      <c r="T596" s="61" t="n"/>
    </row>
    <row r="597" ht="15.75" customHeight="1" s="38">
      <c r="R597" s="37" t="n"/>
      <c r="S597" s="67" t="n"/>
      <c r="T597" s="61" t="n"/>
    </row>
    <row r="598" ht="15.75" customHeight="1" s="38">
      <c r="R598" s="37" t="n"/>
      <c r="S598" s="67" t="n"/>
      <c r="T598" s="61" t="n"/>
    </row>
    <row r="599" ht="15.75" customHeight="1" s="38">
      <c r="R599" s="37" t="n"/>
      <c r="S599" s="67" t="n"/>
      <c r="T599" s="61" t="n"/>
    </row>
    <row r="600" ht="15.75" customHeight="1" s="38">
      <c r="R600" s="37" t="n"/>
      <c r="S600" s="67" t="n"/>
      <c r="T600" s="61" t="n"/>
    </row>
    <row r="601" ht="15.75" customHeight="1" s="38">
      <c r="R601" s="37" t="n"/>
      <c r="S601" s="67" t="n"/>
      <c r="T601" s="61" t="n"/>
    </row>
    <row r="602" ht="15.75" customHeight="1" s="38">
      <c r="R602" s="37" t="n"/>
      <c r="T602" s="37" t="n"/>
    </row>
    <row r="603" ht="15.75" customHeight="1" s="38">
      <c r="R603" s="37" t="n"/>
      <c r="T603" s="37" t="n"/>
    </row>
    <row r="604" ht="15.75" customHeight="1" s="38">
      <c r="R604" s="37" t="n"/>
      <c r="T604" s="37" t="n"/>
    </row>
    <row r="605" ht="15.75" customHeight="1" s="38">
      <c r="R605" s="37" t="n"/>
      <c r="T605" s="37" t="n"/>
    </row>
    <row r="606" ht="15.75" customHeight="1" s="38">
      <c r="R606" s="37" t="n"/>
      <c r="T606" s="37" t="n"/>
    </row>
    <row r="607" ht="15.75" customHeight="1" s="38">
      <c r="R607" s="37" t="n"/>
      <c r="T607" s="37" t="n"/>
    </row>
    <row r="608" ht="15.75" customHeight="1" s="38">
      <c r="R608" s="37" t="n"/>
      <c r="T608" s="37" t="n"/>
    </row>
    <row r="609" ht="15.75" customHeight="1" s="38">
      <c r="R609" s="37" t="n"/>
      <c r="T609" s="37" t="n"/>
    </row>
    <row r="610" ht="15.75" customHeight="1" s="38">
      <c r="R610" s="37" t="n"/>
      <c r="T610" s="37" t="n"/>
    </row>
    <row r="611" ht="15.75" customHeight="1" s="38">
      <c r="R611" s="37" t="n"/>
      <c r="T611" s="37" t="n"/>
    </row>
    <row r="612" ht="15.75" customHeight="1" s="38">
      <c r="R612" s="37" t="n"/>
      <c r="T612" s="37" t="n"/>
    </row>
    <row r="613" ht="15.75" customHeight="1" s="38">
      <c r="R613" s="37" t="n"/>
      <c r="T613" s="37" t="n"/>
    </row>
    <row r="614" ht="15.75" customHeight="1" s="38">
      <c r="R614" s="37" t="n"/>
      <c r="T614" s="37" t="n"/>
    </row>
    <row r="615" ht="15.75" customHeight="1" s="38">
      <c r="R615" s="37" t="n"/>
      <c r="T615" s="37" t="n"/>
    </row>
    <row r="616" ht="15.75" customHeight="1" s="38">
      <c r="R616" s="37" t="n"/>
      <c r="T616" s="37" t="n"/>
    </row>
    <row r="617" ht="15.75" customHeight="1" s="38">
      <c r="R617" s="37" t="n"/>
      <c r="T617" s="37" t="n"/>
    </row>
    <row r="618" ht="15.75" customHeight="1" s="38">
      <c r="R618" s="37" t="n"/>
      <c r="T618" s="37" t="n"/>
    </row>
    <row r="619" ht="15.75" customHeight="1" s="38">
      <c r="R619" s="37" t="n"/>
      <c r="T619" s="37" t="n"/>
    </row>
    <row r="620" ht="15.75" customHeight="1" s="38">
      <c r="R620" s="37" t="n"/>
      <c r="T620" s="37" t="n"/>
    </row>
    <row r="621" ht="15.75" customHeight="1" s="38">
      <c r="R621" s="37" t="n"/>
      <c r="T621" s="37" t="n"/>
    </row>
    <row r="622" ht="15.75" customHeight="1" s="38">
      <c r="R622" s="37" t="n"/>
      <c r="T622" s="37" t="n"/>
    </row>
    <row r="623" ht="15.75" customHeight="1" s="38">
      <c r="R623" s="37" t="n"/>
      <c r="T623" s="37" t="n"/>
    </row>
    <row r="624" ht="15.75" customHeight="1" s="38">
      <c r="R624" s="37" t="n"/>
      <c r="T624" s="37" t="n"/>
    </row>
    <row r="625" ht="15.75" customHeight="1" s="38">
      <c r="R625" s="37" t="n"/>
      <c r="T625" s="37" t="n"/>
    </row>
    <row r="626" ht="15.75" customHeight="1" s="38">
      <c r="R626" s="37" t="n"/>
      <c r="T626" s="37" t="n"/>
    </row>
    <row r="627" ht="15.75" customHeight="1" s="38">
      <c r="R627" s="37" t="n"/>
      <c r="T627" s="37" t="n"/>
    </row>
    <row r="628" ht="15.75" customHeight="1" s="38">
      <c r="R628" s="37" t="n"/>
      <c r="T628" s="37" t="n"/>
    </row>
    <row r="629" ht="15.75" customHeight="1" s="38">
      <c r="R629" s="37" t="n"/>
      <c r="T629" s="37" t="n"/>
    </row>
    <row r="630" ht="15.75" customHeight="1" s="38">
      <c r="R630" s="37" t="n"/>
      <c r="T630" s="37" t="n"/>
    </row>
    <row r="631" ht="15.75" customHeight="1" s="38">
      <c r="R631" s="37" t="n"/>
      <c r="T631" s="37" t="n"/>
    </row>
    <row r="632" ht="15.75" customHeight="1" s="38">
      <c r="R632" s="37" t="n"/>
      <c r="T632" s="37" t="n"/>
    </row>
    <row r="633" ht="15.75" customHeight="1" s="38">
      <c r="R633" s="37" t="n"/>
      <c r="T633" s="37" t="n"/>
    </row>
    <row r="634" ht="15.75" customHeight="1" s="38">
      <c r="R634" s="37" t="n"/>
      <c r="T634" s="37" t="n"/>
    </row>
    <row r="635" ht="15.75" customHeight="1" s="38">
      <c r="R635" s="37" t="n"/>
      <c r="T635" s="37" t="n"/>
    </row>
    <row r="636" ht="15.75" customHeight="1" s="38">
      <c r="R636" s="37" t="n"/>
      <c r="T636" s="37" t="n"/>
    </row>
    <row r="637" ht="15.75" customHeight="1" s="38">
      <c r="R637" s="37" t="n"/>
      <c r="T637" s="37" t="n"/>
    </row>
    <row r="638" ht="15.75" customHeight="1" s="38">
      <c r="R638" s="37" t="n"/>
      <c r="T638" s="37" t="n"/>
    </row>
    <row r="639" ht="15.75" customHeight="1" s="38">
      <c r="R639" s="37" t="n"/>
      <c r="T639" s="37" t="n"/>
    </row>
    <row r="640" ht="15.75" customHeight="1" s="38">
      <c r="R640" s="37" t="n"/>
      <c r="T640" s="37" t="n"/>
    </row>
    <row r="641" ht="15.75" customHeight="1" s="38">
      <c r="R641" s="37" t="n"/>
      <c r="T641" s="37" t="n"/>
    </row>
    <row r="642" ht="15.75" customHeight="1" s="38">
      <c r="R642" s="37" t="n"/>
      <c r="T642" s="37" t="n"/>
    </row>
    <row r="643" ht="15.75" customHeight="1" s="38">
      <c r="R643" s="37" t="n"/>
      <c r="T643" s="37" t="n"/>
    </row>
    <row r="644" ht="15.75" customHeight="1" s="38">
      <c r="R644" s="37" t="n"/>
      <c r="T644" s="37" t="n"/>
    </row>
    <row r="645" ht="15.75" customHeight="1" s="38">
      <c r="R645" s="37" t="n"/>
      <c r="T645" s="37" t="n"/>
    </row>
    <row r="646" ht="15.75" customHeight="1" s="38">
      <c r="R646" s="37" t="n"/>
      <c r="T646" s="37" t="n"/>
    </row>
    <row r="647" ht="15.75" customHeight="1" s="38">
      <c r="R647" s="37" t="n"/>
      <c r="T647" s="37" t="n"/>
    </row>
    <row r="648" ht="15.75" customHeight="1" s="38">
      <c r="R648" s="37" t="n"/>
      <c r="T648" s="37" t="n"/>
    </row>
    <row r="649" ht="15.75" customHeight="1" s="38">
      <c r="R649" s="37" t="n"/>
      <c r="T649" s="37" t="n"/>
    </row>
    <row r="650" ht="15.75" customHeight="1" s="38">
      <c r="R650" s="37" t="n"/>
      <c r="T650" s="37" t="n"/>
    </row>
    <row r="651" ht="15.75" customHeight="1" s="38">
      <c r="R651" s="37" t="n"/>
      <c r="T651" s="37" t="n"/>
    </row>
    <row r="652" ht="15.75" customHeight="1" s="38">
      <c r="R652" s="37" t="n"/>
      <c r="T652" s="37" t="n"/>
    </row>
    <row r="653" ht="15.75" customHeight="1" s="38">
      <c r="R653" s="37" t="n"/>
      <c r="T653" s="37" t="n"/>
    </row>
    <row r="654" ht="15.75" customHeight="1" s="38">
      <c r="R654" s="37" t="n"/>
      <c r="T654" s="37" t="n"/>
    </row>
    <row r="655" ht="15.75" customHeight="1" s="38">
      <c r="R655" s="37" t="n"/>
      <c r="T655" s="37" t="n"/>
    </row>
    <row r="656" ht="15.75" customHeight="1" s="38">
      <c r="R656" s="37" t="n"/>
      <c r="T656" s="37" t="n"/>
    </row>
    <row r="657" ht="15.75" customHeight="1" s="38">
      <c r="R657" s="37" t="n"/>
      <c r="T657" s="37" t="n"/>
    </row>
    <row r="658" ht="15.75" customHeight="1" s="38">
      <c r="R658" s="37" t="n"/>
      <c r="T658" s="37" t="n"/>
    </row>
    <row r="659" ht="15.75" customHeight="1" s="38">
      <c r="R659" s="37" t="n"/>
      <c r="T659" s="37" t="n"/>
    </row>
    <row r="660" ht="15.75" customHeight="1" s="38">
      <c r="R660" s="37" t="n"/>
      <c r="T660" s="37" t="n"/>
    </row>
    <row r="661" ht="15.75" customHeight="1" s="38">
      <c r="R661" s="37" t="n"/>
      <c r="T661" s="37" t="n"/>
    </row>
    <row r="662" ht="15.75" customHeight="1" s="38">
      <c r="R662" s="37" t="n"/>
      <c r="T662" s="37" t="n"/>
    </row>
    <row r="663" ht="15.75" customHeight="1" s="38">
      <c r="R663" s="37" t="n"/>
      <c r="T663" s="37" t="n"/>
    </row>
    <row r="664" ht="15.75" customHeight="1" s="38">
      <c r="R664" s="37" t="n"/>
      <c r="T664" s="37" t="n"/>
    </row>
    <row r="665" ht="15.75" customHeight="1" s="38">
      <c r="R665" s="37" t="n"/>
      <c r="T665" s="37" t="n"/>
    </row>
    <row r="666" ht="15.75" customHeight="1" s="38">
      <c r="R666" s="37" t="n"/>
      <c r="T666" s="37" t="n"/>
    </row>
    <row r="667" ht="15.75" customHeight="1" s="38">
      <c r="R667" s="37" t="n"/>
      <c r="T667" s="37" t="n"/>
    </row>
    <row r="668" ht="15.75" customHeight="1" s="38">
      <c r="R668" s="37" t="n"/>
      <c r="T668" s="37" t="n"/>
    </row>
    <row r="669" ht="15.75" customHeight="1" s="38">
      <c r="R669" s="37" t="n"/>
      <c r="T669" s="37" t="n"/>
    </row>
    <row r="670" ht="15.75" customHeight="1" s="38">
      <c r="R670" s="37" t="n"/>
      <c r="T670" s="37" t="n"/>
    </row>
    <row r="671" ht="15.75" customHeight="1" s="38">
      <c r="R671" s="37" t="n"/>
      <c r="T671" s="37" t="n"/>
    </row>
    <row r="672" ht="15.75" customHeight="1" s="38">
      <c r="R672" s="37" t="n"/>
      <c r="T672" s="37" t="n"/>
    </row>
    <row r="673" ht="15.75" customHeight="1" s="38">
      <c r="R673" s="37" t="n"/>
      <c r="T673" s="37" t="n"/>
    </row>
    <row r="674" ht="15.75" customHeight="1" s="38">
      <c r="R674" s="37" t="n"/>
      <c r="T674" s="37" t="n"/>
    </row>
    <row r="675" ht="15.75" customHeight="1" s="38">
      <c r="R675" s="37" t="n"/>
      <c r="T675" s="37" t="n"/>
    </row>
    <row r="676" ht="15.75" customHeight="1" s="38">
      <c r="R676" s="37" t="n"/>
      <c r="T676" s="37" t="n"/>
    </row>
    <row r="677" ht="15.75" customHeight="1" s="38">
      <c r="R677" s="37" t="n"/>
      <c r="T677" s="37" t="n"/>
    </row>
    <row r="678" ht="15.75" customHeight="1" s="38">
      <c r="R678" s="37" t="n"/>
      <c r="T678" s="37" t="n"/>
    </row>
    <row r="679" ht="15.75" customHeight="1" s="38">
      <c r="R679" s="37" t="n"/>
      <c r="T679" s="37" t="n"/>
    </row>
    <row r="680" ht="15.75" customHeight="1" s="38">
      <c r="R680" s="37" t="n"/>
      <c r="T680" s="37" t="n"/>
    </row>
    <row r="681" ht="15.75" customHeight="1" s="38">
      <c r="R681" s="37" t="n"/>
      <c r="T681" s="37" t="n"/>
    </row>
    <row r="682" ht="15.75" customHeight="1" s="38">
      <c r="R682" s="37" t="n"/>
      <c r="T682" s="37" t="n"/>
    </row>
    <row r="683" ht="15.75" customHeight="1" s="38">
      <c r="R683" s="37" t="n"/>
      <c r="T683" s="37" t="n"/>
    </row>
    <row r="684" ht="15.75" customHeight="1" s="38">
      <c r="R684" s="37" t="n"/>
      <c r="T684" s="37" t="n"/>
    </row>
    <row r="685" ht="15.75" customHeight="1" s="38">
      <c r="R685" s="37" t="n"/>
      <c r="T685" s="37" t="n"/>
    </row>
    <row r="686" ht="15.75" customHeight="1" s="38">
      <c r="R686" s="37" t="n"/>
      <c r="T686" s="37" t="n"/>
    </row>
    <row r="687" ht="15.75" customHeight="1" s="38">
      <c r="R687" s="37" t="n"/>
      <c r="T687" s="37" t="n"/>
    </row>
    <row r="688" ht="15.75" customHeight="1" s="38">
      <c r="R688" s="37" t="n"/>
      <c r="T688" s="37" t="n"/>
    </row>
    <row r="689" ht="15.75" customHeight="1" s="38">
      <c r="R689" s="37" t="n"/>
      <c r="T689" s="37" t="n"/>
    </row>
    <row r="690" ht="15.75" customHeight="1" s="38">
      <c r="R690" s="37" t="n"/>
      <c r="T690" s="37" t="n"/>
    </row>
    <row r="691" ht="15.75" customHeight="1" s="38">
      <c r="R691" s="37" t="n"/>
      <c r="T691" s="37" t="n"/>
    </row>
    <row r="692" ht="15.75" customHeight="1" s="38">
      <c r="R692" s="37" t="n"/>
      <c r="T692" s="37" t="n"/>
    </row>
    <row r="693" ht="15.75" customHeight="1" s="38">
      <c r="R693" s="37" t="n"/>
      <c r="T693" s="37" t="n"/>
    </row>
    <row r="694" ht="15.75" customHeight="1" s="38">
      <c r="R694" s="37" t="n"/>
      <c r="T694" s="37" t="n"/>
    </row>
    <row r="695" ht="15.75" customHeight="1" s="38">
      <c r="R695" s="37" t="n"/>
      <c r="T695" s="37" t="n"/>
    </row>
    <row r="696" ht="15.75" customHeight="1" s="38">
      <c r="R696" s="37" t="n"/>
      <c r="T696" s="37" t="n"/>
    </row>
    <row r="697" ht="15.75" customHeight="1" s="38">
      <c r="R697" s="37" t="n"/>
      <c r="T697" s="37" t="n"/>
    </row>
    <row r="698" ht="15.75" customHeight="1" s="38">
      <c r="R698" s="37" t="n"/>
      <c r="T698" s="37" t="n"/>
    </row>
    <row r="699" ht="15.75" customHeight="1" s="38">
      <c r="R699" s="37" t="n"/>
      <c r="T699" s="37" t="n"/>
    </row>
    <row r="700" ht="15.75" customHeight="1" s="38">
      <c r="R700" s="37" t="n"/>
      <c r="T700" s="37" t="n"/>
    </row>
    <row r="701" ht="15.75" customHeight="1" s="38">
      <c r="R701" s="37" t="n"/>
      <c r="T701" s="37" t="n"/>
    </row>
    <row r="702" ht="15.75" customHeight="1" s="38">
      <c r="R702" s="37" t="n"/>
      <c r="T702" s="37" t="n"/>
    </row>
    <row r="703" ht="15.75" customHeight="1" s="38">
      <c r="R703" s="37" t="n"/>
      <c r="T703" s="37" t="n"/>
    </row>
    <row r="704" ht="15.75" customHeight="1" s="38">
      <c r="R704" s="37" t="n"/>
      <c r="T704" s="37" t="n"/>
    </row>
    <row r="705" ht="15.75" customHeight="1" s="38">
      <c r="R705" s="37" t="n"/>
      <c r="T705" s="37" t="n"/>
    </row>
    <row r="706" ht="15.75" customHeight="1" s="38">
      <c r="R706" s="37" t="n"/>
      <c r="T706" s="37" t="n"/>
    </row>
    <row r="707" ht="15.75" customHeight="1" s="38">
      <c r="R707" s="37" t="n"/>
      <c r="T707" s="37" t="n"/>
    </row>
    <row r="708" ht="15.75" customHeight="1" s="38">
      <c r="R708" s="37" t="n"/>
      <c r="T708" s="37" t="n"/>
    </row>
    <row r="709" ht="15.75" customHeight="1" s="38">
      <c r="R709" s="37" t="n"/>
      <c r="T709" s="37" t="n"/>
    </row>
    <row r="710" ht="15.75" customHeight="1" s="38">
      <c r="R710" s="37" t="n"/>
      <c r="T710" s="37" t="n"/>
    </row>
    <row r="711" ht="15.75" customHeight="1" s="38">
      <c r="R711" s="37" t="n"/>
      <c r="T711" s="37" t="n"/>
    </row>
    <row r="712" ht="15.75" customHeight="1" s="38">
      <c r="R712" s="37" t="n"/>
      <c r="T712" s="37" t="n"/>
    </row>
    <row r="713" ht="15.75" customHeight="1" s="38">
      <c r="R713" s="37" t="n"/>
      <c r="T713" s="37" t="n"/>
    </row>
    <row r="714" ht="15.75" customHeight="1" s="38">
      <c r="R714" s="37" t="n"/>
      <c r="T714" s="37" t="n"/>
    </row>
    <row r="715" ht="15.75" customHeight="1" s="38">
      <c r="R715" s="37" t="n"/>
      <c r="T715" s="37" t="n"/>
    </row>
    <row r="716" ht="15.75" customHeight="1" s="38">
      <c r="R716" s="37" t="n"/>
      <c r="T716" s="37" t="n"/>
    </row>
    <row r="717" ht="15.75" customHeight="1" s="38">
      <c r="R717" s="37" t="n"/>
      <c r="T717" s="37" t="n"/>
    </row>
    <row r="718" ht="15.75" customHeight="1" s="38">
      <c r="R718" s="37" t="n"/>
      <c r="T718" s="37" t="n"/>
    </row>
    <row r="719" ht="15.75" customHeight="1" s="38">
      <c r="R719" s="37" t="n"/>
      <c r="T719" s="37" t="n"/>
    </row>
    <row r="720" ht="15.75" customHeight="1" s="38">
      <c r="R720" s="37" t="n"/>
      <c r="T720" s="37" t="n"/>
    </row>
    <row r="721" ht="15.75" customHeight="1" s="38">
      <c r="R721" s="37" t="n"/>
      <c r="T721" s="37" t="n"/>
    </row>
    <row r="722" ht="15.75" customHeight="1" s="38">
      <c r="R722" s="37" t="n"/>
      <c r="T722" s="37" t="n"/>
    </row>
    <row r="723" ht="15.75" customHeight="1" s="38">
      <c r="R723" s="37" t="n"/>
      <c r="T723" s="37" t="n"/>
    </row>
    <row r="724" ht="15.75" customHeight="1" s="38">
      <c r="R724" s="37" t="n"/>
      <c r="T724" s="37" t="n"/>
    </row>
    <row r="725" ht="15.75" customHeight="1" s="38">
      <c r="R725" s="37" t="n"/>
      <c r="T725" s="37" t="n"/>
    </row>
    <row r="726" ht="15.75" customHeight="1" s="38">
      <c r="R726" s="37" t="n"/>
      <c r="T726" s="37" t="n"/>
    </row>
    <row r="727" ht="15.75" customHeight="1" s="38">
      <c r="R727" s="37" t="n"/>
      <c r="T727" s="37" t="n"/>
    </row>
    <row r="728" ht="15.75" customHeight="1" s="38">
      <c r="R728" s="37" t="n"/>
      <c r="T728" s="37" t="n"/>
    </row>
    <row r="729" ht="15.75" customHeight="1" s="38">
      <c r="R729" s="37" t="n"/>
      <c r="T729" s="37" t="n"/>
    </row>
    <row r="730" ht="15.75" customHeight="1" s="38">
      <c r="R730" s="37" t="n"/>
      <c r="T730" s="37" t="n"/>
    </row>
    <row r="731" ht="15.75" customHeight="1" s="38">
      <c r="R731" s="37" t="n"/>
      <c r="T731" s="37" t="n"/>
    </row>
    <row r="732" ht="15.75" customHeight="1" s="38">
      <c r="R732" s="37" t="n"/>
      <c r="T732" s="37" t="n"/>
    </row>
    <row r="733" ht="15.75" customHeight="1" s="38">
      <c r="R733" s="37" t="n"/>
      <c r="T733" s="37" t="n"/>
    </row>
    <row r="734" ht="15.75" customHeight="1" s="38">
      <c r="R734" s="37" t="n"/>
      <c r="T734" s="37" t="n"/>
    </row>
    <row r="735" ht="15.75" customHeight="1" s="38">
      <c r="R735" s="37" t="n"/>
      <c r="T735" s="37" t="n"/>
    </row>
    <row r="736" ht="15.75" customHeight="1" s="38">
      <c r="R736" s="37" t="n"/>
      <c r="T736" s="37" t="n"/>
    </row>
    <row r="737" ht="15.75" customHeight="1" s="38">
      <c r="R737" s="37" t="n"/>
      <c r="T737" s="37" t="n"/>
    </row>
    <row r="738" ht="15.75" customHeight="1" s="38">
      <c r="R738" s="37" t="n"/>
      <c r="T738" s="37" t="n"/>
    </row>
    <row r="739" ht="15.75" customHeight="1" s="38">
      <c r="R739" s="37" t="n"/>
      <c r="T739" s="37" t="n"/>
    </row>
    <row r="740" ht="15.75" customHeight="1" s="38">
      <c r="R740" s="37" t="n"/>
      <c r="T740" s="37" t="n"/>
    </row>
    <row r="741" ht="15.75" customHeight="1" s="38">
      <c r="R741" s="37" t="n"/>
      <c r="T741" s="37" t="n"/>
    </row>
    <row r="742" ht="15.75" customHeight="1" s="38">
      <c r="R742" s="37" t="n"/>
      <c r="T742" s="37" t="n"/>
    </row>
    <row r="743" ht="15.75" customHeight="1" s="38">
      <c r="R743" s="37" t="n"/>
      <c r="T743" s="37" t="n"/>
    </row>
    <row r="744" ht="15.75" customHeight="1" s="38">
      <c r="R744" s="37" t="n"/>
      <c r="T744" s="37" t="n"/>
    </row>
    <row r="745" ht="15.75" customHeight="1" s="38">
      <c r="R745" s="37" t="n"/>
      <c r="T745" s="37" t="n"/>
    </row>
    <row r="746" ht="15.75" customHeight="1" s="38">
      <c r="R746" s="37" t="n"/>
      <c r="T746" s="37" t="n"/>
    </row>
    <row r="747" ht="15.75" customHeight="1" s="38">
      <c r="R747" s="37" t="n"/>
      <c r="T747" s="37" t="n"/>
    </row>
    <row r="748" ht="15.75" customHeight="1" s="38">
      <c r="R748" s="37" t="n"/>
      <c r="T748" s="37" t="n"/>
    </row>
    <row r="749" ht="15.75" customHeight="1" s="38">
      <c r="R749" s="37" t="n"/>
      <c r="T749" s="37" t="n"/>
    </row>
    <row r="750" ht="15.75" customHeight="1" s="38">
      <c r="R750" s="37" t="n"/>
      <c r="T750" s="37" t="n"/>
    </row>
    <row r="751" ht="15.75" customHeight="1" s="38">
      <c r="R751" s="37" t="n"/>
      <c r="T751" s="37" t="n"/>
    </row>
    <row r="752" ht="15.75" customHeight="1" s="38">
      <c r="R752" s="37" t="n"/>
      <c r="T752" s="37" t="n"/>
    </row>
    <row r="753" ht="15.75" customHeight="1" s="38">
      <c r="R753" s="37" t="n"/>
      <c r="T753" s="37" t="n"/>
    </row>
    <row r="754" ht="15.75" customHeight="1" s="38">
      <c r="R754" s="37" t="n"/>
      <c r="T754" s="37" t="n"/>
    </row>
    <row r="755" ht="15.75" customHeight="1" s="38">
      <c r="R755" s="37" t="n"/>
      <c r="T755" s="37" t="n"/>
    </row>
    <row r="756" ht="15.75" customHeight="1" s="38">
      <c r="R756" s="37" t="n"/>
      <c r="T756" s="37" t="n"/>
    </row>
    <row r="757" ht="15.75" customHeight="1" s="38">
      <c r="R757" s="37" t="n"/>
      <c r="T757" s="37" t="n"/>
    </row>
    <row r="758" ht="15.75" customHeight="1" s="38">
      <c r="R758" s="37" t="n"/>
      <c r="T758" s="37" t="n"/>
    </row>
    <row r="759" ht="15.75" customHeight="1" s="38">
      <c r="R759" s="37" t="n"/>
      <c r="T759" s="37" t="n"/>
    </row>
    <row r="760" ht="15.75" customHeight="1" s="38">
      <c r="R760" s="37" t="n"/>
      <c r="T760" s="37" t="n"/>
    </row>
    <row r="761" ht="15.75" customHeight="1" s="38">
      <c r="R761" s="37" t="n"/>
      <c r="T761" s="37" t="n"/>
    </row>
    <row r="762" ht="15.75" customHeight="1" s="38">
      <c r="R762" s="37" t="n"/>
      <c r="T762" s="37" t="n"/>
    </row>
    <row r="763" ht="15.75" customHeight="1" s="38">
      <c r="R763" s="37" t="n"/>
      <c r="T763" s="37" t="n"/>
    </row>
    <row r="764" ht="15.75" customHeight="1" s="38">
      <c r="R764" s="37" t="n"/>
      <c r="T764" s="37" t="n"/>
    </row>
    <row r="765" ht="15.75" customHeight="1" s="38">
      <c r="R765" s="37" t="n"/>
      <c r="T765" s="37" t="n"/>
    </row>
    <row r="766" ht="15.75" customHeight="1" s="38">
      <c r="R766" s="37" t="n"/>
      <c r="T766" s="37" t="n"/>
    </row>
    <row r="767" ht="15.75" customHeight="1" s="38">
      <c r="R767" s="37" t="n"/>
      <c r="T767" s="37" t="n"/>
    </row>
    <row r="768" ht="15.75" customHeight="1" s="38">
      <c r="R768" s="37" t="n"/>
      <c r="T768" s="37" t="n"/>
    </row>
    <row r="769" ht="15.75" customHeight="1" s="38">
      <c r="R769" s="37" t="n"/>
      <c r="T769" s="37" t="n"/>
    </row>
    <row r="770" ht="15.75" customHeight="1" s="38">
      <c r="R770" s="37" t="n"/>
      <c r="T770" s="37" t="n"/>
    </row>
    <row r="771" ht="15.75" customHeight="1" s="38">
      <c r="R771" s="37" t="n"/>
      <c r="T771" s="37" t="n"/>
    </row>
    <row r="772" ht="15.75" customHeight="1" s="38">
      <c r="R772" s="37" t="n"/>
      <c r="T772" s="37" t="n"/>
    </row>
    <row r="773" ht="15.75" customHeight="1" s="38">
      <c r="R773" s="37" t="n"/>
      <c r="T773" s="37" t="n"/>
    </row>
    <row r="774" ht="15.75" customHeight="1" s="38">
      <c r="R774" s="37" t="n"/>
      <c r="T774" s="37" t="n"/>
    </row>
    <row r="775" ht="15.75" customHeight="1" s="38">
      <c r="R775" s="37" t="n"/>
      <c r="T775" s="37" t="n"/>
    </row>
    <row r="776" ht="15.75" customHeight="1" s="38">
      <c r="R776" s="37" t="n"/>
      <c r="T776" s="37" t="n"/>
    </row>
    <row r="777" ht="15.75" customHeight="1" s="38">
      <c r="R777" s="37" t="n"/>
      <c r="T777" s="37" t="n"/>
    </row>
    <row r="778" ht="15.75" customHeight="1" s="38">
      <c r="R778" s="37" t="n"/>
      <c r="T778" s="37" t="n"/>
    </row>
    <row r="779" ht="15.75" customHeight="1" s="38">
      <c r="R779" s="37" t="n"/>
      <c r="T779" s="37" t="n"/>
    </row>
    <row r="780" ht="15.75" customHeight="1" s="38">
      <c r="R780" s="37" t="n"/>
      <c r="T780" s="37" t="n"/>
    </row>
    <row r="781" ht="15.75" customHeight="1" s="38">
      <c r="R781" s="37" t="n"/>
      <c r="T781" s="37" t="n"/>
    </row>
    <row r="782" ht="15.75" customHeight="1" s="38">
      <c r="R782" s="37" t="n"/>
      <c r="T782" s="37" t="n"/>
    </row>
    <row r="783" ht="15.75" customHeight="1" s="38">
      <c r="R783" s="37" t="n"/>
      <c r="T783" s="37" t="n"/>
    </row>
    <row r="784" ht="15.75" customHeight="1" s="38">
      <c r="R784" s="37" t="n"/>
      <c r="T784" s="37" t="n"/>
    </row>
    <row r="785" ht="15.75" customHeight="1" s="38">
      <c r="R785" s="37" t="n"/>
      <c r="T785" s="37" t="n"/>
    </row>
    <row r="786" ht="15.75" customHeight="1" s="38">
      <c r="R786" s="37" t="n"/>
      <c r="T786" s="37" t="n"/>
    </row>
    <row r="787" ht="15.75" customHeight="1" s="38">
      <c r="R787" s="37" t="n"/>
      <c r="T787" s="37" t="n"/>
    </row>
    <row r="788" ht="15.75" customHeight="1" s="38">
      <c r="R788" s="37" t="n"/>
      <c r="T788" s="37" t="n"/>
    </row>
    <row r="789" ht="15.75" customHeight="1" s="38">
      <c r="R789" s="37" t="n"/>
      <c r="T789" s="37" t="n"/>
    </row>
    <row r="790" ht="15.75" customHeight="1" s="38">
      <c r="R790" s="37" t="n"/>
      <c r="T790" s="37" t="n"/>
    </row>
    <row r="791" ht="15.75" customHeight="1" s="38">
      <c r="R791" s="37" t="n"/>
      <c r="T791" s="37" t="n"/>
    </row>
    <row r="792" ht="15.75" customHeight="1" s="38">
      <c r="R792" s="37" t="n"/>
      <c r="T792" s="37" t="n"/>
    </row>
    <row r="793" ht="15.75" customHeight="1" s="38">
      <c r="R793" s="37" t="n"/>
      <c r="T793" s="37" t="n"/>
    </row>
    <row r="794" ht="15.75" customHeight="1" s="38">
      <c r="R794" s="37" t="n"/>
      <c r="T794" s="37" t="n"/>
    </row>
    <row r="795" ht="15.75" customHeight="1" s="38">
      <c r="R795" s="37" t="n"/>
      <c r="T795" s="37" t="n"/>
    </row>
    <row r="796" ht="15.75" customHeight="1" s="38">
      <c r="R796" s="37" t="n"/>
      <c r="T796" s="37" t="n"/>
    </row>
    <row r="797" ht="15.75" customHeight="1" s="38">
      <c r="R797" s="37" t="n"/>
      <c r="T797" s="37" t="n"/>
    </row>
    <row r="798" ht="15.75" customHeight="1" s="38">
      <c r="R798" s="37" t="n"/>
      <c r="T798" s="37" t="n"/>
    </row>
    <row r="799" ht="15.75" customHeight="1" s="38">
      <c r="R799" s="37" t="n"/>
      <c r="T799" s="37" t="n"/>
    </row>
    <row r="800" ht="15.75" customHeight="1" s="38">
      <c r="R800" s="37" t="n"/>
      <c r="T800" s="37" t="n"/>
    </row>
    <row r="801" ht="15.75" customHeight="1" s="38">
      <c r="R801" s="37" t="n"/>
      <c r="T801" s="37" t="n"/>
    </row>
    <row r="802" ht="15.75" customHeight="1" s="38">
      <c r="R802" s="37" t="n"/>
      <c r="T802" s="37" t="n"/>
    </row>
    <row r="803" ht="15.75" customHeight="1" s="38">
      <c r="R803" s="37" t="n"/>
      <c r="T803" s="37" t="n"/>
    </row>
    <row r="804" ht="15.75" customHeight="1" s="38">
      <c r="R804" s="37" t="n"/>
      <c r="T804" s="37" t="n"/>
    </row>
    <row r="805" ht="15.75" customHeight="1" s="38">
      <c r="R805" s="37" t="n"/>
      <c r="T805" s="37" t="n"/>
    </row>
    <row r="806" ht="15.75" customHeight="1" s="38">
      <c r="R806" s="37" t="n"/>
      <c r="T806" s="37" t="n"/>
    </row>
    <row r="807" ht="15.75" customHeight="1" s="38">
      <c r="R807" s="37" t="n"/>
      <c r="T807" s="37" t="n"/>
    </row>
    <row r="808" ht="15.75" customHeight="1" s="38">
      <c r="R808" s="37" t="n"/>
      <c r="T808" s="37" t="n"/>
    </row>
    <row r="809" ht="15.75" customHeight="1" s="38">
      <c r="R809" s="37" t="n"/>
      <c r="T809" s="37" t="n"/>
    </row>
    <row r="810" ht="15.75" customHeight="1" s="38">
      <c r="R810" s="37" t="n"/>
      <c r="T810" s="37" t="n"/>
    </row>
    <row r="811" ht="15.75" customHeight="1" s="38">
      <c r="R811" s="37" t="n"/>
      <c r="T811" s="37" t="n"/>
    </row>
    <row r="812" ht="15.75" customHeight="1" s="38">
      <c r="R812" s="37" t="n"/>
      <c r="T812" s="37" t="n"/>
    </row>
    <row r="813" ht="15.75" customHeight="1" s="38">
      <c r="R813" s="37" t="n"/>
      <c r="T813" s="37" t="n"/>
    </row>
    <row r="814" ht="15.75" customHeight="1" s="38">
      <c r="R814" s="37" t="n"/>
      <c r="T814" s="37" t="n"/>
    </row>
    <row r="815" ht="15.75" customHeight="1" s="38">
      <c r="R815" s="37" t="n"/>
      <c r="T815" s="37" t="n"/>
    </row>
    <row r="816" ht="15.75" customHeight="1" s="38">
      <c r="R816" s="37" t="n"/>
      <c r="T816" s="37" t="n"/>
    </row>
    <row r="817" ht="15.75" customHeight="1" s="38">
      <c r="R817" s="37" t="n"/>
      <c r="T817" s="37" t="n"/>
    </row>
    <row r="818" ht="15.75" customHeight="1" s="38">
      <c r="R818" s="37" t="n"/>
      <c r="T818" s="37" t="n"/>
    </row>
    <row r="819" ht="15.75" customHeight="1" s="38">
      <c r="R819" s="37" t="n"/>
      <c r="T819" s="37" t="n"/>
    </row>
    <row r="820" ht="15.75" customHeight="1" s="38">
      <c r="R820" s="37" t="n"/>
      <c r="T820" s="37" t="n"/>
    </row>
    <row r="821" ht="15.75" customHeight="1" s="38">
      <c r="R821" s="37" t="n"/>
      <c r="T821" s="37" t="n"/>
    </row>
    <row r="822" ht="15.75" customHeight="1" s="38">
      <c r="R822" s="37" t="n"/>
      <c r="T822" s="37" t="n"/>
    </row>
    <row r="823" ht="15.75" customHeight="1" s="38">
      <c r="R823" s="37" t="n"/>
      <c r="T823" s="37" t="n"/>
    </row>
    <row r="824" ht="15.75" customHeight="1" s="38">
      <c r="R824" s="37" t="n"/>
      <c r="T824" s="37" t="n"/>
    </row>
    <row r="825" ht="15.75" customHeight="1" s="38">
      <c r="R825" s="37" t="n"/>
      <c r="T825" s="37" t="n"/>
    </row>
    <row r="826" ht="15.75" customHeight="1" s="38">
      <c r="R826" s="37" t="n"/>
      <c r="T826" s="37" t="n"/>
    </row>
    <row r="827" ht="15.75" customHeight="1" s="38">
      <c r="R827" s="37" t="n"/>
      <c r="T827" s="37" t="n"/>
    </row>
    <row r="828" ht="15.75" customHeight="1" s="38">
      <c r="R828" s="37" t="n"/>
      <c r="T828" s="37" t="n"/>
    </row>
    <row r="829" ht="15.75" customHeight="1" s="38">
      <c r="R829" s="37" t="n"/>
      <c r="T829" s="37" t="n"/>
    </row>
    <row r="830" ht="15.75" customHeight="1" s="38">
      <c r="R830" s="37" t="n"/>
      <c r="T830" s="37" t="n"/>
    </row>
    <row r="831" ht="15.75" customHeight="1" s="38">
      <c r="R831" s="37" t="n"/>
      <c r="T831" s="37" t="n"/>
    </row>
    <row r="832" ht="15.75" customHeight="1" s="38">
      <c r="R832" s="37" t="n"/>
      <c r="T832" s="37" t="n"/>
    </row>
    <row r="833" ht="15.75" customHeight="1" s="38">
      <c r="R833" s="37" t="n"/>
      <c r="T833" s="37" t="n"/>
    </row>
    <row r="834" ht="15.75" customHeight="1" s="38">
      <c r="R834" s="37" t="n"/>
      <c r="T834" s="37" t="n"/>
    </row>
    <row r="835" ht="15.75" customHeight="1" s="38">
      <c r="R835" s="37" t="n"/>
      <c r="T835" s="37" t="n"/>
    </row>
    <row r="836" ht="15.75" customHeight="1" s="38">
      <c r="R836" s="37" t="n"/>
      <c r="T836" s="37" t="n"/>
    </row>
    <row r="837" ht="15.75" customHeight="1" s="38">
      <c r="R837" s="37" t="n"/>
      <c r="T837" s="37" t="n"/>
    </row>
    <row r="838" ht="15.75" customHeight="1" s="38">
      <c r="R838" s="37" t="n"/>
      <c r="T838" s="37" t="n"/>
    </row>
    <row r="839" ht="15.75" customHeight="1" s="38">
      <c r="R839" s="37" t="n"/>
      <c r="T839" s="37" t="n"/>
    </row>
    <row r="840" ht="15.75" customHeight="1" s="38">
      <c r="R840" s="37" t="n"/>
      <c r="T840" s="37" t="n"/>
    </row>
    <row r="841" ht="15.75" customHeight="1" s="38">
      <c r="R841" s="37" t="n"/>
      <c r="T841" s="37" t="n"/>
    </row>
    <row r="842" ht="15.75" customHeight="1" s="38">
      <c r="R842" s="37" t="n"/>
      <c r="T842" s="37" t="n"/>
    </row>
    <row r="843" ht="15.75" customHeight="1" s="38">
      <c r="R843" s="37" t="n"/>
      <c r="T843" s="37" t="n"/>
    </row>
    <row r="844" ht="15.75" customHeight="1" s="38">
      <c r="R844" s="37" t="n"/>
      <c r="T844" s="37" t="n"/>
    </row>
    <row r="845" ht="15.75" customHeight="1" s="38">
      <c r="R845" s="37" t="n"/>
      <c r="T845" s="37" t="n"/>
    </row>
    <row r="846" ht="15.75" customHeight="1" s="38">
      <c r="R846" s="37" t="n"/>
      <c r="T846" s="37" t="n"/>
    </row>
    <row r="847" ht="15.75" customHeight="1" s="38">
      <c r="R847" s="37" t="n"/>
      <c r="T847" s="37" t="n"/>
    </row>
    <row r="848" ht="15.75" customHeight="1" s="38">
      <c r="R848" s="37" t="n"/>
      <c r="T848" s="37" t="n"/>
    </row>
    <row r="849" ht="15.75" customHeight="1" s="38">
      <c r="R849" s="37" t="n"/>
      <c r="T849" s="37" t="n"/>
    </row>
    <row r="850" ht="15.75" customHeight="1" s="38">
      <c r="R850" s="37" t="n"/>
      <c r="T850" s="37" t="n"/>
    </row>
    <row r="851" ht="15.75" customHeight="1" s="38">
      <c r="R851" s="37" t="n"/>
      <c r="T851" s="37" t="n"/>
    </row>
    <row r="852" ht="15.75" customHeight="1" s="38">
      <c r="R852" s="37" t="n"/>
      <c r="T852" s="37" t="n"/>
    </row>
    <row r="853" ht="15.75" customHeight="1" s="38">
      <c r="R853" s="37" t="n"/>
      <c r="T853" s="37" t="n"/>
    </row>
    <row r="854" ht="15.75" customHeight="1" s="38">
      <c r="R854" s="37" t="n"/>
      <c r="T854" s="37" t="n"/>
    </row>
    <row r="855" ht="15.75" customHeight="1" s="38">
      <c r="R855" s="37" t="n"/>
      <c r="T855" s="37" t="n"/>
    </row>
    <row r="856" ht="15.75" customHeight="1" s="38">
      <c r="R856" s="37" t="n"/>
      <c r="T856" s="37" t="n"/>
    </row>
    <row r="857" ht="15.75" customHeight="1" s="38">
      <c r="R857" s="37" t="n"/>
      <c r="T857" s="37" t="n"/>
    </row>
    <row r="858" ht="15.75" customHeight="1" s="38">
      <c r="R858" s="37" t="n"/>
      <c r="T858" s="37" t="n"/>
    </row>
    <row r="859" ht="15.75" customHeight="1" s="38">
      <c r="R859" s="37" t="n"/>
      <c r="T859" s="37" t="n"/>
    </row>
    <row r="860" ht="15.75" customHeight="1" s="38">
      <c r="R860" s="37" t="n"/>
      <c r="T860" s="37" t="n"/>
    </row>
    <row r="861" ht="15.75" customHeight="1" s="38">
      <c r="R861" s="37" t="n"/>
      <c r="T861" s="37" t="n"/>
    </row>
    <row r="862" ht="15.75" customHeight="1" s="38">
      <c r="R862" s="37" t="n"/>
      <c r="T862" s="37" t="n"/>
    </row>
    <row r="863" ht="15.75" customHeight="1" s="38">
      <c r="R863" s="37" t="n"/>
      <c r="T863" s="37" t="n"/>
    </row>
    <row r="864" ht="15.75" customHeight="1" s="38">
      <c r="R864" s="37" t="n"/>
      <c r="T864" s="37" t="n"/>
    </row>
    <row r="865" ht="15.75" customHeight="1" s="38">
      <c r="R865" s="37" t="n"/>
      <c r="T865" s="37" t="n"/>
    </row>
    <row r="866" ht="15.75" customHeight="1" s="38">
      <c r="R866" s="37" t="n"/>
      <c r="T866" s="37" t="n"/>
    </row>
    <row r="867" ht="15.75" customHeight="1" s="38">
      <c r="R867" s="37" t="n"/>
      <c r="T867" s="37" t="n"/>
    </row>
    <row r="868" ht="15.75" customHeight="1" s="38">
      <c r="R868" s="37" t="n"/>
      <c r="T868" s="37" t="n"/>
    </row>
    <row r="869" ht="15.75" customHeight="1" s="38">
      <c r="R869" s="37" t="n"/>
      <c r="T869" s="37" t="n"/>
    </row>
    <row r="870" ht="15.75" customHeight="1" s="38">
      <c r="R870" s="37" t="n"/>
      <c r="T870" s="37" t="n"/>
    </row>
    <row r="871" ht="15.75" customHeight="1" s="38">
      <c r="R871" s="37" t="n"/>
      <c r="T871" s="37" t="n"/>
    </row>
    <row r="872" ht="15.75" customHeight="1" s="38">
      <c r="R872" s="37" t="n"/>
      <c r="T872" s="37" t="n"/>
    </row>
    <row r="873" ht="15.75" customHeight="1" s="38">
      <c r="R873" s="37" t="n"/>
      <c r="T873" s="37" t="n"/>
    </row>
    <row r="874" ht="15.75" customHeight="1" s="38">
      <c r="R874" s="37" t="n"/>
      <c r="T874" s="37" t="n"/>
    </row>
    <row r="875" ht="15.75" customHeight="1" s="38">
      <c r="R875" s="37" t="n"/>
      <c r="T875" s="37" t="n"/>
    </row>
    <row r="876" ht="15.75" customHeight="1" s="38">
      <c r="R876" s="37" t="n"/>
      <c r="T876" s="37" t="n"/>
    </row>
    <row r="877" ht="15.75" customHeight="1" s="38">
      <c r="R877" s="37" t="n"/>
      <c r="T877" s="37" t="n"/>
    </row>
    <row r="878" ht="15.75" customHeight="1" s="38">
      <c r="R878" s="37" t="n"/>
      <c r="T878" s="37" t="n"/>
    </row>
    <row r="879" ht="15.75" customHeight="1" s="38">
      <c r="R879" s="37" t="n"/>
      <c r="T879" s="37" t="n"/>
    </row>
    <row r="880" ht="15.75" customHeight="1" s="38">
      <c r="R880" s="37" t="n"/>
      <c r="T880" s="37" t="n"/>
    </row>
    <row r="881" ht="15.75" customHeight="1" s="38">
      <c r="R881" s="37" t="n"/>
      <c r="T881" s="37" t="n"/>
    </row>
    <row r="882" ht="15.75" customHeight="1" s="38">
      <c r="R882" s="37" t="n"/>
      <c r="T882" s="37" t="n"/>
    </row>
    <row r="883" ht="15.75" customHeight="1" s="38">
      <c r="R883" s="37" t="n"/>
      <c r="T883" s="37" t="n"/>
    </row>
    <row r="884" ht="15.75" customHeight="1" s="38">
      <c r="R884" s="37" t="n"/>
      <c r="T884" s="37" t="n"/>
    </row>
    <row r="885" ht="15.75" customHeight="1" s="38">
      <c r="R885" s="37" t="n"/>
      <c r="T885" s="37" t="n"/>
    </row>
    <row r="886" ht="15.75" customHeight="1" s="38">
      <c r="R886" s="37" t="n"/>
      <c r="T886" s="37" t="n"/>
    </row>
    <row r="887" ht="15.75" customHeight="1" s="38">
      <c r="R887" s="37" t="n"/>
      <c r="T887" s="37" t="n"/>
    </row>
    <row r="888" ht="15.75" customHeight="1" s="38">
      <c r="R888" s="37" t="n"/>
      <c r="T888" s="37" t="n"/>
    </row>
    <row r="889" ht="15.75" customHeight="1" s="38">
      <c r="R889" s="37" t="n"/>
      <c r="T889" s="37" t="n"/>
    </row>
    <row r="890" ht="15.75" customHeight="1" s="38">
      <c r="R890" s="37" t="n"/>
      <c r="T890" s="37" t="n"/>
    </row>
    <row r="891" ht="15.75" customHeight="1" s="38">
      <c r="R891" s="37" t="n"/>
      <c r="T891" s="37" t="n"/>
    </row>
    <row r="892" ht="15.75" customHeight="1" s="38">
      <c r="R892" s="37" t="n"/>
      <c r="T892" s="37" t="n"/>
    </row>
    <row r="893" ht="15.75" customHeight="1" s="38">
      <c r="R893" s="37" t="n"/>
      <c r="T893" s="37" t="n"/>
    </row>
    <row r="894" ht="15.75" customHeight="1" s="38">
      <c r="R894" s="37" t="n"/>
      <c r="T894" s="37" t="n"/>
    </row>
    <row r="895" ht="15.75" customHeight="1" s="38">
      <c r="R895" s="37" t="n"/>
      <c r="T895" s="37" t="n"/>
    </row>
    <row r="896" ht="15.75" customHeight="1" s="38">
      <c r="R896" s="37" t="n"/>
      <c r="T896" s="37" t="n"/>
    </row>
    <row r="897" ht="15.75" customHeight="1" s="38">
      <c r="R897" s="37" t="n"/>
      <c r="T897" s="37" t="n"/>
    </row>
    <row r="898" ht="15.75" customHeight="1" s="38">
      <c r="R898" s="37" t="n"/>
      <c r="T898" s="37" t="n"/>
    </row>
    <row r="899" ht="15.75" customHeight="1" s="38">
      <c r="R899" s="37" t="n"/>
      <c r="T899" s="37" t="n"/>
    </row>
    <row r="900" ht="15.75" customHeight="1" s="38">
      <c r="R900" s="37" t="n"/>
      <c r="T900" s="37" t="n"/>
    </row>
    <row r="901" ht="15.75" customHeight="1" s="38">
      <c r="R901" s="37" t="n"/>
      <c r="T901" s="37" t="n"/>
    </row>
    <row r="902" ht="15.75" customHeight="1" s="38">
      <c r="R902" s="37" t="n"/>
      <c r="T902" s="37" t="n"/>
    </row>
    <row r="903" ht="15.75" customHeight="1" s="38">
      <c r="R903" s="37" t="n"/>
      <c r="T903" s="37" t="n"/>
    </row>
    <row r="904" ht="15.75" customHeight="1" s="38">
      <c r="R904" s="37" t="n"/>
      <c r="T904" s="37" t="n"/>
    </row>
    <row r="905" ht="15.75" customHeight="1" s="38">
      <c r="R905" s="37" t="n"/>
      <c r="T905" s="37" t="n"/>
    </row>
    <row r="906" ht="15.75" customHeight="1" s="38">
      <c r="R906" s="37" t="n"/>
      <c r="T906" s="37" t="n"/>
    </row>
    <row r="907" ht="15.75" customHeight="1" s="38">
      <c r="R907" s="37" t="n"/>
      <c r="T907" s="37" t="n"/>
    </row>
    <row r="908" ht="15.75" customHeight="1" s="38">
      <c r="R908" s="37" t="n"/>
      <c r="T908" s="37" t="n"/>
    </row>
    <row r="909" ht="15.75" customHeight="1" s="38">
      <c r="R909" s="37" t="n"/>
      <c r="T909" s="37" t="n"/>
    </row>
    <row r="910" ht="15.75" customHeight="1" s="38">
      <c r="R910" s="37" t="n"/>
      <c r="T910" s="37" t="n"/>
    </row>
    <row r="911" ht="15.75" customHeight="1" s="38">
      <c r="R911" s="37" t="n"/>
      <c r="T911" s="37" t="n"/>
    </row>
    <row r="912" ht="15.75" customHeight="1" s="38">
      <c r="R912" s="37" t="n"/>
      <c r="T912" s="37" t="n"/>
    </row>
    <row r="913" ht="15.75" customHeight="1" s="38">
      <c r="R913" s="37" t="n"/>
      <c r="T913" s="37" t="n"/>
    </row>
    <row r="914" ht="15.75" customHeight="1" s="38">
      <c r="R914" s="37" t="n"/>
      <c r="T914" s="37" t="n"/>
    </row>
    <row r="915" ht="15.75" customHeight="1" s="38">
      <c r="R915" s="37" t="n"/>
      <c r="T915" s="37" t="n"/>
    </row>
    <row r="916" ht="15.75" customHeight="1" s="38">
      <c r="R916" s="37" t="n"/>
      <c r="T916" s="37" t="n"/>
    </row>
    <row r="917" ht="15.75" customHeight="1" s="38">
      <c r="R917" s="37" t="n"/>
      <c r="T917" s="37" t="n"/>
    </row>
    <row r="918" ht="15.75" customHeight="1" s="38">
      <c r="R918" s="37" t="n"/>
      <c r="T918" s="37" t="n"/>
    </row>
    <row r="919" ht="15.75" customHeight="1" s="38">
      <c r="R919" s="37" t="n"/>
      <c r="T919" s="37" t="n"/>
    </row>
    <row r="920" ht="15.75" customHeight="1" s="38">
      <c r="R920" s="37" t="n"/>
      <c r="T920" s="37" t="n"/>
    </row>
    <row r="921" ht="15.75" customHeight="1" s="38">
      <c r="R921" s="37" t="n"/>
      <c r="T921" s="37" t="n"/>
    </row>
    <row r="922" ht="15.75" customHeight="1" s="38">
      <c r="R922" s="37" t="n"/>
      <c r="T922" s="37" t="n"/>
    </row>
    <row r="923" ht="15.75" customHeight="1" s="38">
      <c r="R923" s="37" t="n"/>
      <c r="T923" s="37" t="n"/>
    </row>
    <row r="924" ht="15.75" customHeight="1" s="38">
      <c r="R924" s="37" t="n"/>
      <c r="T924" s="37" t="n"/>
    </row>
    <row r="925" ht="15.75" customHeight="1" s="38">
      <c r="R925" s="37" t="n"/>
      <c r="T925" s="37" t="n"/>
    </row>
    <row r="926" ht="15.75" customHeight="1" s="38">
      <c r="R926" s="37" t="n"/>
      <c r="T926" s="37" t="n"/>
    </row>
    <row r="927" ht="15.75" customHeight="1" s="38">
      <c r="R927" s="37" t="n"/>
      <c r="T927" s="37" t="n"/>
    </row>
    <row r="928" ht="15.75" customHeight="1" s="38">
      <c r="R928" s="37" t="n"/>
      <c r="T928" s="37" t="n"/>
    </row>
    <row r="929" ht="15.75" customHeight="1" s="38">
      <c r="R929" s="37" t="n"/>
      <c r="T929" s="37" t="n"/>
    </row>
    <row r="930" ht="15.75" customHeight="1" s="38">
      <c r="R930" s="37" t="n"/>
      <c r="T930" s="37" t="n"/>
    </row>
    <row r="931" ht="15.75" customHeight="1" s="38">
      <c r="R931" s="37" t="n"/>
      <c r="T931" s="37" t="n"/>
    </row>
    <row r="932" ht="15.75" customHeight="1" s="38">
      <c r="R932" s="37" t="n"/>
      <c r="T932" s="37" t="n"/>
    </row>
    <row r="933" ht="15.75" customHeight="1" s="38">
      <c r="R933" s="37" t="n"/>
      <c r="T933" s="37" t="n"/>
    </row>
    <row r="934" ht="15.75" customHeight="1" s="38">
      <c r="R934" s="37" t="n"/>
      <c r="T934" s="37" t="n"/>
    </row>
    <row r="935" ht="15.75" customHeight="1" s="38">
      <c r="R935" s="37" t="n"/>
      <c r="T935" s="37" t="n"/>
    </row>
    <row r="936" ht="15.75" customHeight="1" s="38">
      <c r="R936" s="37" t="n"/>
      <c r="T936" s="37" t="n"/>
    </row>
    <row r="937" ht="15.75" customHeight="1" s="38">
      <c r="R937" s="37" t="n"/>
      <c r="T937" s="37" t="n"/>
    </row>
    <row r="938" ht="15.75" customHeight="1" s="38">
      <c r="R938" s="37" t="n"/>
      <c r="T938" s="37" t="n"/>
    </row>
    <row r="939" ht="15.75" customHeight="1" s="38">
      <c r="R939" s="37" t="n"/>
      <c r="T939" s="37" t="n"/>
    </row>
    <row r="940" ht="15.75" customHeight="1" s="38">
      <c r="R940" s="37" t="n"/>
      <c r="T940" s="37" t="n"/>
    </row>
    <row r="941" ht="15.75" customHeight="1" s="38">
      <c r="R941" s="37" t="n"/>
      <c r="T941" s="37" t="n"/>
    </row>
    <row r="942" ht="15.75" customHeight="1" s="38">
      <c r="R942" s="37" t="n"/>
      <c r="T942" s="37" t="n"/>
    </row>
    <row r="943" ht="15.75" customHeight="1" s="38">
      <c r="R943" s="37" t="n"/>
      <c r="T943" s="37" t="n"/>
    </row>
    <row r="944" ht="15.75" customHeight="1" s="38">
      <c r="R944" s="37" t="n"/>
      <c r="T944" s="37" t="n"/>
    </row>
    <row r="945" ht="15.75" customHeight="1" s="38">
      <c r="R945" s="37" t="n"/>
      <c r="T945" s="37" t="n"/>
    </row>
    <row r="946" ht="15.75" customHeight="1" s="38">
      <c r="R946" s="37" t="n"/>
      <c r="T946" s="37" t="n"/>
    </row>
    <row r="947" ht="15.75" customHeight="1" s="38">
      <c r="R947" s="37" t="n"/>
      <c r="T947" s="37" t="n"/>
    </row>
    <row r="948" ht="15.75" customHeight="1" s="38">
      <c r="R948" s="37" t="n"/>
      <c r="T948" s="37" t="n"/>
    </row>
    <row r="949" ht="15.75" customHeight="1" s="38">
      <c r="R949" s="37" t="n"/>
      <c r="T949" s="37" t="n"/>
    </row>
    <row r="950" ht="15.75" customHeight="1" s="38">
      <c r="R950" s="37" t="n"/>
      <c r="T950" s="37" t="n"/>
    </row>
    <row r="951" ht="15.75" customHeight="1" s="38">
      <c r="R951" s="37" t="n"/>
      <c r="T951" s="37" t="n"/>
    </row>
    <row r="952" ht="15.75" customHeight="1" s="38">
      <c r="R952" s="37" t="n"/>
      <c r="T952" s="37" t="n"/>
    </row>
    <row r="953" ht="15.75" customHeight="1" s="38">
      <c r="R953" s="37" t="n"/>
      <c r="T953" s="37" t="n"/>
    </row>
    <row r="954" ht="15.75" customHeight="1" s="38">
      <c r="R954" s="37" t="n"/>
      <c r="T954" s="37" t="n"/>
    </row>
    <row r="955" ht="15.75" customHeight="1" s="38">
      <c r="R955" s="37" t="n"/>
      <c r="T955" s="37" t="n"/>
    </row>
    <row r="956" ht="15.75" customHeight="1" s="38">
      <c r="R956" s="37" t="n"/>
      <c r="T956" s="37" t="n"/>
    </row>
    <row r="957" ht="15.75" customHeight="1" s="38">
      <c r="R957" s="37" t="n"/>
      <c r="T957" s="37" t="n"/>
    </row>
    <row r="958" ht="15.75" customHeight="1" s="38">
      <c r="R958" s="37" t="n"/>
      <c r="T958" s="37" t="n"/>
    </row>
    <row r="959" ht="15.75" customHeight="1" s="38">
      <c r="R959" s="37" t="n"/>
      <c r="T959" s="37" t="n"/>
    </row>
    <row r="960" ht="15.75" customHeight="1" s="38">
      <c r="R960" s="37" t="n"/>
      <c r="T960" s="37" t="n"/>
    </row>
    <row r="961" ht="15.75" customHeight="1" s="38">
      <c r="R961" s="37" t="n"/>
      <c r="T961" s="37" t="n"/>
    </row>
    <row r="962" ht="15.75" customHeight="1" s="38">
      <c r="R962" s="37" t="n"/>
      <c r="T962" s="37" t="n"/>
    </row>
    <row r="963" ht="15.75" customHeight="1" s="38">
      <c r="R963" s="37" t="n"/>
      <c r="T963" s="37" t="n"/>
    </row>
    <row r="964" ht="15.75" customHeight="1" s="38">
      <c r="R964" s="37" t="n"/>
      <c r="T964" s="37" t="n"/>
    </row>
    <row r="965" ht="15.75" customHeight="1" s="38">
      <c r="R965" s="37" t="n"/>
      <c r="T965" s="37" t="n"/>
    </row>
    <row r="966" ht="15.75" customHeight="1" s="38">
      <c r="R966" s="37" t="n"/>
      <c r="T966" s="37" t="n"/>
    </row>
    <row r="967" ht="15.75" customHeight="1" s="38">
      <c r="R967" s="37" t="n"/>
      <c r="T967" s="37" t="n"/>
    </row>
    <row r="968" ht="15.75" customHeight="1" s="38">
      <c r="R968" s="37" t="n"/>
      <c r="T968" s="37" t="n"/>
    </row>
    <row r="969" ht="15.75" customHeight="1" s="38">
      <c r="R969" s="37" t="n"/>
      <c r="T969" s="37" t="n"/>
    </row>
    <row r="970" ht="15.75" customHeight="1" s="38">
      <c r="R970" s="37" t="n"/>
      <c r="T970" s="37" t="n"/>
    </row>
    <row r="971" ht="15.75" customHeight="1" s="38">
      <c r="R971" s="37" t="n"/>
      <c r="T971" s="37" t="n"/>
    </row>
    <row r="972" ht="15.75" customHeight="1" s="38">
      <c r="R972" s="37" t="n"/>
      <c r="T972" s="37" t="n"/>
    </row>
    <row r="973" ht="15.75" customHeight="1" s="38">
      <c r="R973" s="37" t="n"/>
      <c r="T973" s="37" t="n"/>
    </row>
    <row r="974" ht="15.75" customHeight="1" s="38">
      <c r="R974" s="37" t="n"/>
      <c r="T974" s="37" t="n"/>
    </row>
    <row r="975" ht="15.75" customHeight="1" s="38">
      <c r="R975" s="37" t="n"/>
      <c r="T975" s="37" t="n"/>
    </row>
    <row r="976" ht="15.75" customHeight="1" s="38">
      <c r="R976" s="37" t="n"/>
      <c r="T976" s="37" t="n"/>
    </row>
    <row r="977" ht="15.75" customHeight="1" s="38">
      <c r="R977" s="37" t="n"/>
      <c r="T977" s="37" t="n"/>
    </row>
    <row r="978" ht="15.75" customHeight="1" s="38">
      <c r="R978" s="37" t="n"/>
      <c r="T978" s="37" t="n"/>
    </row>
    <row r="979" ht="15.75" customHeight="1" s="38">
      <c r="R979" s="37" t="n"/>
      <c r="T979" s="37" t="n"/>
    </row>
    <row r="980" ht="15.75" customHeight="1" s="38">
      <c r="R980" s="37" t="n"/>
      <c r="T980" s="37" t="n"/>
    </row>
    <row r="981" ht="15.75" customHeight="1" s="38">
      <c r="R981" s="37" t="n"/>
      <c r="T981" s="37" t="n"/>
    </row>
    <row r="982" ht="15.75" customHeight="1" s="38">
      <c r="R982" s="37" t="n"/>
      <c r="T982" s="37" t="n"/>
    </row>
    <row r="983" ht="15.75" customHeight="1" s="38">
      <c r="R983" s="37" t="n"/>
      <c r="T983" s="37" t="n"/>
    </row>
    <row r="984" ht="15.75" customHeight="1" s="38">
      <c r="R984" s="37" t="n"/>
      <c r="T984" s="37" t="n"/>
    </row>
    <row r="985" ht="15.75" customHeight="1" s="38">
      <c r="R985" s="37" t="n"/>
      <c r="T985" s="37" t="n"/>
    </row>
    <row r="986" ht="15.75" customHeight="1" s="38">
      <c r="R986" s="37" t="n"/>
      <c r="T986" s="37" t="n"/>
    </row>
    <row r="987" ht="15.75" customHeight="1" s="38">
      <c r="R987" s="37" t="n"/>
      <c r="T987" s="37" t="n"/>
    </row>
    <row r="988" ht="15.75" customHeight="1" s="38">
      <c r="R988" s="37" t="n"/>
      <c r="T988" s="37" t="n"/>
    </row>
    <row r="989" ht="15.75" customHeight="1" s="38">
      <c r="R989" s="37" t="n"/>
      <c r="T989" s="37" t="n"/>
    </row>
    <row r="990" ht="15.75" customHeight="1" s="38">
      <c r="R990" s="37" t="n"/>
      <c r="T990" s="37" t="n"/>
    </row>
    <row r="991" ht="15.75" customHeight="1" s="38">
      <c r="R991" s="37" t="n"/>
      <c r="T991" s="37" t="n"/>
    </row>
    <row r="992" ht="15.75" customHeight="1" s="38">
      <c r="R992" s="37" t="n"/>
      <c r="T992" s="37" t="n"/>
    </row>
    <row r="993" ht="15.75" customHeight="1" s="38">
      <c r="R993" s="37" t="n"/>
      <c r="T993" s="37" t="n"/>
    </row>
    <row r="994" ht="15.75" customHeight="1" s="38">
      <c r="R994" s="37" t="n"/>
      <c r="T994" s="37" t="n"/>
    </row>
    <row r="995" ht="15.75" customHeight="1" s="38">
      <c r="R995" s="37" t="n"/>
      <c r="T995" s="37" t="n"/>
    </row>
    <row r="996" ht="15.75" customHeight="1" s="38">
      <c r="R996" s="37" t="n"/>
      <c r="T996" s="37" t="n"/>
    </row>
    <row r="997" ht="15.75" customHeight="1" s="38">
      <c r="R997" s="37" t="n"/>
      <c r="T997" s="37" t="n"/>
    </row>
    <row r="998" ht="15.75" customHeight="1" s="38">
      <c r="R998" s="37" t="n"/>
      <c r="T998" s="37" t="n"/>
    </row>
    <row r="999" ht="15.75" customHeight="1" s="38">
      <c r="R999" s="37" t="n"/>
      <c r="T999" s="37" t="n"/>
    </row>
    <row r="1000" ht="15.75" customHeight="1" s="38">
      <c r="R1000" s="37" t="n"/>
      <c r="T1000" s="37" t="n"/>
    </row>
  </sheetData>
  <dataValidations count="4">
    <dataValidation sqref="T2:T1000" showDropDown="0" showInputMessage="0" showErrorMessage="0" allowBlank="1" type="list" errorStyle="stop" operator="between">
      <formula1>"Alta,Media,Baja"</formula1>
      <formula2>0</formula2>
    </dataValidation>
    <dataValidation sqref="N2:N401" showDropDown="0" showInputMessage="0" showErrorMessage="0" allowBlank="1" type="list" errorStyle="stop" operator="between">
      <formula1>"Contactada,No Contactada"</formula1>
      <formula2>0</formula2>
    </dataValidation>
    <dataValidation sqref="O2:O401" showDropDown="0" showInputMessage="0" showErrorMessage="0" allowBlank="1" type="list" errorStyle="stop" operator="between">
      <formula1>"Reunión agendada,No Reunión,No le interesó,Lo verá,Me llamará,Otro"</formula1>
      <formula2>0</formula2>
    </dataValidation>
    <dataValidation sqref="R2:R1000" showDropDown="0" showInputMessage="0" showErrorMessage="0" allowBlank="1" type="list" errorStyle="stop" operator="between">
      <formula1>"LinkedIn,Correo,Teléfono,Contacto Directo"</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S219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customHeight="1" zeroHeight="0" outlineLevelRow="0"/>
  <cols>
    <col width="50" customWidth="1" style="37" min="1" max="2"/>
    <col width="27" customWidth="1" style="37" min="3" max="3"/>
    <col width="44" customWidth="1" style="37" min="4" max="4"/>
    <col width="20" customWidth="1" style="37" min="5" max="5"/>
    <col width="50" customWidth="1" style="37" min="6" max="6"/>
    <col width="44" customWidth="1" style="37" min="7" max="7"/>
    <col width="43" customWidth="1" style="37" min="8" max="8"/>
    <col width="19" customWidth="1" style="37" min="9" max="9"/>
    <col width="50" customWidth="1" style="37" min="10" max="11"/>
    <col width="20" customWidth="1" style="37" min="12" max="12"/>
    <col width="25" customWidth="1" style="37" min="13" max="13"/>
    <col width="15" customWidth="1" style="37" min="14" max="14"/>
    <col width="40" customWidth="1" style="37" min="15" max="15"/>
    <col width="20" customWidth="1" style="37" min="16" max="17"/>
    <col width="14" customWidth="1" style="37" min="18" max="18"/>
  </cols>
  <sheetData>
    <row r="1" ht="15" customHeight="1" s="38">
      <c r="A1" s="58" t="inlineStr">
        <is>
          <t>Empresa</t>
        </is>
      </c>
      <c r="B1" s="58" t="inlineStr">
        <is>
          <t>Rubro</t>
        </is>
      </c>
      <c r="C1" s="58" t="inlineStr">
        <is>
          <t>Ciudad</t>
        </is>
      </c>
      <c r="D1" s="58" t="inlineStr">
        <is>
          <t>Email General</t>
        </is>
      </c>
      <c r="E1" s="58" t="inlineStr">
        <is>
          <t>Teléfono</t>
        </is>
      </c>
      <c r="F1" s="58" t="inlineStr">
        <is>
          <t>Contacto Sniper</t>
        </is>
      </c>
      <c r="G1" s="58" t="inlineStr">
        <is>
          <t>Email Directo / Área</t>
        </is>
      </c>
      <c r="H1" s="58" t="inlineStr">
        <is>
          <t>Sitio Web</t>
        </is>
      </c>
      <c r="I1" s="58" t="inlineStr">
        <is>
          <t>RUT</t>
        </is>
      </c>
      <c r="J1" s="58" t="inlineStr">
        <is>
          <t>Oportunidad Detectada</t>
        </is>
      </c>
      <c r="K1" s="58" t="inlineStr">
        <is>
          <t>Otros Datos</t>
        </is>
      </c>
      <c r="L1" s="58" t="inlineStr">
        <is>
          <t>Estado Contacto</t>
        </is>
      </c>
      <c r="M1" s="58" t="inlineStr">
        <is>
          <t>Sub-Estado</t>
        </is>
      </c>
      <c r="N1" s="58" t="inlineStr">
        <is>
          <t>Fecha Contacto</t>
        </is>
      </c>
      <c r="O1" s="58" t="inlineStr">
        <is>
          <t>Notas CRM</t>
        </is>
      </c>
      <c r="P1" s="58" t="inlineStr">
        <is>
          <t>Medio de Contacto</t>
        </is>
      </c>
      <c r="Q1" s="58" t="inlineStr">
        <is>
          <t>Próximo Seguimiento</t>
        </is>
      </c>
      <c r="R1" s="58" t="inlineStr">
        <is>
          <t>Prioridad</t>
        </is>
      </c>
      <c r="S1" s="37" t="inlineStr">
        <is>
          <t>Fecha_Email_Enviado</t>
        </is>
      </c>
    </row>
    <row r="2" ht="15" customHeight="1" s="38">
      <c r="A2" s="66" t="inlineStr">
        <is>
          <t>350renewables</t>
        </is>
      </c>
      <c r="B2" s="66" t="inlineStr">
        <is>
          <t>Consultoría Energías Renovables</t>
        </is>
      </c>
      <c r="C2" s="66" t="inlineStr">
        <is>
          <t>Santiago</t>
        </is>
      </c>
      <c r="D2" s="66" t="n"/>
      <c r="E2" s="66" t="inlineStr">
        <is>
          <t>(56) 9 7648 9569</t>
        </is>
      </c>
      <c r="F2" s="66" t="n"/>
      <c r="G2" s="66" t="n"/>
      <c r="H2" s="66" t="n"/>
      <c r="I2" s="66" t="inlineStr">
        <is>
          <t>76.429.792-K</t>
        </is>
      </c>
      <c r="J2" s="66" t="n"/>
      <c r="K2" s="66" t="inlineStr">
        <is>
          <t>Ventas: PEQUEÑA 2 (5.000 - 10.000 UF) | Empleados: 2</t>
        </is>
      </c>
      <c r="L2" s="61" t="n"/>
      <c r="M2" s="61" t="n"/>
      <c r="N2" s="61" t="n"/>
      <c r="O2" s="61" t="n"/>
      <c r="P2" s="61" t="n"/>
      <c r="Q2" s="62" t="n"/>
      <c r="R2" s="61" t="n"/>
    </row>
    <row r="3" ht="15" customHeight="1" s="38">
      <c r="A3" s="66" t="inlineStr">
        <is>
          <t>3M Chile S.A.</t>
        </is>
      </c>
      <c r="B3" s="66" t="inlineStr">
        <is>
          <t>Productos Eléctricos, Productos para Seguridad</t>
        </is>
      </c>
      <c r="C3" s="66" t="inlineStr">
        <is>
          <t>Santiago</t>
        </is>
      </c>
      <c r="D3" s="66" t="inlineStr">
        <is>
          <t>atencionconsumidor@mmm.com</t>
        </is>
      </c>
      <c r="E3" s="66" t="inlineStr">
        <is>
          <t>600 300 3636</t>
        </is>
      </c>
      <c r="F3" s="66" t="n"/>
      <c r="G3" s="66" t="n"/>
      <c r="H3" s="66" t="n"/>
      <c r="I3" s="66" t="inlineStr">
        <is>
          <t>93.626.000-4</t>
        </is>
      </c>
      <c r="J3" s="66" t="n"/>
      <c r="K3" s="66" t="inlineStr">
        <is>
          <t>Ventas: MEDIANA (Estimado por Empleados) | Empleados: 179</t>
        </is>
      </c>
      <c r="L3" s="61" t="n"/>
      <c r="M3" s="61" t="n"/>
      <c r="N3" s="61" t="n"/>
      <c r="O3" s="61" t="n"/>
      <c r="P3" s="61" t="n"/>
      <c r="Q3" s="62" t="n"/>
      <c r="R3" s="61" t="n"/>
    </row>
    <row r="4" ht="15" customHeight="1" s="38">
      <c r="A4" s="66" t="inlineStr">
        <is>
          <t>4E Chile Giz</t>
        </is>
      </c>
      <c r="B4" s="66" t="inlineStr">
        <is>
          <t>Energía, Transmisión de Energía</t>
        </is>
      </c>
      <c r="C4" s="66" t="inlineStr">
        <is>
          <t>Santiago</t>
        </is>
      </c>
      <c r="D4" s="66" t="inlineStr">
        <is>
          <t>contacto@4echile.cl</t>
        </is>
      </c>
      <c r="E4" s="66" t="inlineStr">
        <is>
          <t>(56) 2 2306 8600</t>
        </is>
      </c>
      <c r="F4" s="66" t="n"/>
      <c r="G4" s="66" t="n"/>
      <c r="H4" s="66" t="n"/>
      <c r="I4" s="66" t="n"/>
      <c r="J4" s="66" t="n"/>
      <c r="K4" s="66" t="inlineStr">
        <is>
          <t>Ventas: No en base SII | Empleados: S/I</t>
        </is>
      </c>
      <c r="L4" s="61" t="n"/>
      <c r="M4" s="61" t="n"/>
      <c r="N4" s="61" t="n"/>
      <c r="O4" s="61" t="n"/>
      <c r="P4" s="61" t="n"/>
      <c r="Q4" s="62" t="n"/>
      <c r="R4" s="61" t="n"/>
    </row>
    <row r="5" ht="15" customHeight="1" s="38">
      <c r="A5" s="59" t="inlineStr">
        <is>
          <t>A. Hartrodt Chile S.A.</t>
        </is>
      </c>
      <c r="B5" s="59" t="inlineStr">
        <is>
          <t>Transporte Aéreo, Transporte Marítimo, Transporte Terrestre</t>
        </is>
      </c>
      <c r="C5" s="59" t="inlineStr">
        <is>
          <t>Santiago</t>
        </is>
      </c>
      <c r="D5" s="59" t="inlineStr">
        <is>
          <t>ah.scl@hartrodt.com</t>
        </is>
      </c>
      <c r="E5" s="59" t="inlineStr">
        <is>
          <t>(56) 2 2483 7000</t>
        </is>
      </c>
      <c r="F5" s="59" t="inlineStr">
        <is>
          <t>Hector Calderon (Jefe Informática)</t>
        </is>
      </c>
      <c r="G5" s="59" t="inlineStr">
        <is>
          <t>hcalderon@hartrodt.cl</t>
        </is>
      </c>
      <c r="H5" s="59" t="n"/>
      <c r="I5" s="59" t="inlineStr">
        <is>
          <t>84.007.300-9</t>
        </is>
      </c>
      <c r="J5" s="59" t="inlineStr">
        <is>
          <t>Investigación en Proceso</t>
        </is>
      </c>
      <c r="K5" s="59" t="inlineStr">
        <is>
          <t>Ventas: GRANDE 3 (600.000 - 1.000.000 UF) | Empleados: 34</t>
        </is>
      </c>
      <c r="L5" s="61" t="n"/>
      <c r="M5" s="61" t="n"/>
      <c r="N5" s="61" t="n"/>
      <c r="O5" s="61" t="n"/>
      <c r="P5" s="61" t="n"/>
      <c r="Q5" s="62" t="n"/>
      <c r="R5" s="61" t="n"/>
    </row>
    <row r="6" ht="15" customHeight="1" s="38">
      <c r="A6" s="66" t="inlineStr">
        <is>
          <t>A. Marshall Moffat Ltda.</t>
        </is>
      </c>
      <c r="B6" s="66" t="inlineStr">
        <is>
          <t>Elementos de Protección Personal, Prendas de Protección Ignífuga contra Arco Eléctrico, Ropa para Seguridad</t>
        </is>
      </c>
      <c r="C6" s="66" t="inlineStr">
        <is>
          <t>Valparaíso</t>
        </is>
      </c>
      <c r="D6" s="66" t="inlineStr">
        <is>
          <t>chile@marshallmoffat.com</t>
        </is>
      </c>
      <c r="E6" s="66" t="inlineStr">
        <is>
          <t>(56) 32 279 5401</t>
        </is>
      </c>
      <c r="F6" s="66" t="n"/>
      <c r="G6" s="66" t="n"/>
      <c r="H6" s="66" t="n"/>
      <c r="I6" s="66" t="inlineStr">
        <is>
          <t>76.007.072-6</t>
        </is>
      </c>
      <c r="J6" s="66" t="n"/>
      <c r="K6" s="66" t="inlineStr">
        <is>
          <t>Ventas: GRANDE 1 (100.000 - 200.000 UF) | Empleados: 62</t>
        </is>
      </c>
      <c r="L6" s="61" t="n"/>
      <c r="M6" s="61" t="n"/>
      <c r="N6" s="61" t="n"/>
      <c r="O6" s="61" t="n"/>
      <c r="P6" s="61" t="n"/>
      <c r="Q6" s="62" t="n"/>
      <c r="R6" s="61" t="n"/>
    </row>
    <row r="7" ht="15" customHeight="1" s="38">
      <c r="A7" s="59" t="inlineStr">
        <is>
          <t>A.J. Broom y Cía. S.A.C.</t>
        </is>
      </c>
      <c r="B7" s="59" t="inlineStr">
        <is>
          <t>Agencias Marítimas</t>
        </is>
      </c>
      <c r="C7" s="59" t="inlineStr">
        <is>
          <t>Santiago</t>
        </is>
      </c>
      <c r="D7" s="59" t="inlineStr">
        <is>
          <t>info@broomgroup.com</t>
        </is>
      </c>
      <c r="E7" s="59" t="inlineStr">
        <is>
          <t>(56) 2 2549 8400</t>
        </is>
      </c>
      <c r="F7" s="59" t="inlineStr">
        <is>
          <t>Ricardo Lira (Gerente Operaciones)</t>
        </is>
      </c>
      <c r="G7" s="59" t="n"/>
      <c r="H7" s="59" t="n"/>
      <c r="I7" s="59" t="inlineStr">
        <is>
          <t>91.256.000-7</t>
        </is>
      </c>
      <c r="J7" s="59" t="inlineStr">
        <is>
          <t>Plataforma Tracking Marítimo Real-Time</t>
        </is>
      </c>
      <c r="K7" s="59" t="inlineStr">
        <is>
          <t>Ventas: GRANDE 2 (200.000 - 600.000 UF) | Empleados: 33</t>
        </is>
      </c>
      <c r="L7" s="61" t="n"/>
      <c r="M7" s="61" t="n"/>
      <c r="N7" s="61" t="n"/>
      <c r="O7" s="61" t="n"/>
      <c r="P7" s="61" t="n"/>
      <c r="Q7" s="62" t="n"/>
      <c r="R7" s="61" t="n"/>
    </row>
    <row r="8" ht="15" customHeight="1" s="38">
      <c r="A8" s="66" t="inlineStr">
        <is>
          <t>A.R. Thompson Group</t>
        </is>
      </c>
      <c r="B8" s="66" t="inlineStr">
        <is>
          <t>Control y Sellado de Fluidos</t>
        </is>
      </c>
      <c r="C8" s="66" t="inlineStr">
        <is>
          <t>Concepción</t>
        </is>
      </c>
      <c r="D8" s="66" t="inlineStr">
        <is>
          <t>ventaschile@artesinc.com</t>
        </is>
      </c>
      <c r="E8" s="66" t="inlineStr">
        <is>
          <t>(56) 41 285 3903</t>
        </is>
      </c>
      <c r="F8" s="66" t="n"/>
      <c r="G8" s="66" t="n"/>
      <c r="H8" s="66" t="n"/>
      <c r="I8" s="66" t="inlineStr">
        <is>
          <t>76.008.785-8</t>
        </is>
      </c>
      <c r="J8" s="66" t="n"/>
      <c r="K8" s="66" t="inlineStr">
        <is>
          <t>Ventas: PEQUEÑA 2 (5.000 - 10.000 UF) | Empleados: 7</t>
        </is>
      </c>
      <c r="L8" s="61" t="n"/>
      <c r="M8" s="61" t="n"/>
      <c r="N8" s="61" t="n"/>
      <c r="O8" s="61" t="n"/>
      <c r="P8" s="61" t="n"/>
      <c r="Q8" s="62" t="n"/>
      <c r="R8" s="61" t="n"/>
    </row>
    <row r="9" ht="15" customHeight="1" s="38">
      <c r="A9" s="59" t="inlineStr">
        <is>
          <t>AB Arriendos S.A.</t>
        </is>
      </c>
      <c r="B9" s="59" t="inlineStr">
        <is>
          <t>Arriendo de Equipos para Soldar, Compresores</t>
        </is>
      </c>
      <c r="C9" s="59" t="inlineStr">
        <is>
          <t>Santiago</t>
        </is>
      </c>
      <c r="D9" s="59" t="inlineStr">
        <is>
          <t>abarriendos@abarriendos.cl</t>
        </is>
      </c>
      <c r="E9" s="59" t="inlineStr">
        <is>
          <t>(56) 2 2351 5400</t>
        </is>
      </c>
      <c r="F9" s="59" t="inlineStr">
        <is>
          <t>Roberto Carlos Bailac (Exec. Director)</t>
        </is>
      </c>
      <c r="G9" s="59" t="n"/>
      <c r="H9" s="59" t="n"/>
      <c r="I9" s="59" t="inlineStr">
        <is>
          <t>96.872.010-4</t>
        </is>
      </c>
      <c r="J9" s="59" t="inlineStr">
        <is>
          <t>Expansión Arriendo Maquinaria Norte</t>
        </is>
      </c>
      <c r="K9" s="59" t="inlineStr">
        <is>
          <t>Ventas: GRANDE 2 (200.000 - 600.000 UF) | Empleados: 107</t>
        </is>
      </c>
      <c r="L9" s="61" t="n"/>
      <c r="M9" s="61" t="n"/>
      <c r="N9" s="61" t="n"/>
      <c r="O9" s="61" t="n"/>
      <c r="P9" s="61" t="n"/>
      <c r="Q9" s="62" t="n"/>
      <c r="R9" s="61" t="n"/>
    </row>
    <row r="10" ht="15" customHeight="1" s="38">
      <c r="A10" s="66" t="inlineStr">
        <is>
          <t>Abastec, Abastecimientos Técnicos Ltda.</t>
        </is>
      </c>
      <c r="B10" s="66" t="inlineStr">
        <is>
          <t>Suministros Industriales</t>
        </is>
      </c>
      <c r="C10" s="66" t="inlineStr">
        <is>
          <t>Santiago</t>
        </is>
      </c>
      <c r="D10" s="66" t="inlineStr">
        <is>
          <t>ventas@abastec.cl</t>
        </is>
      </c>
      <c r="E10" s="66" t="inlineStr">
        <is>
          <t>(56) 2 2776 4726</t>
        </is>
      </c>
      <c r="F10" s="66" t="n"/>
      <c r="G10" s="66" t="n"/>
      <c r="H10" s="66" t="n"/>
      <c r="I10" s="66" t="inlineStr">
        <is>
          <t>77.783.750-8</t>
        </is>
      </c>
      <c r="J10" s="66" t="n"/>
      <c r="K10" s="66" t="inlineStr">
        <is>
          <t>Ventas: GRANDE 1 (100.000 - 200.000 UF) | Empleados: 17</t>
        </is>
      </c>
      <c r="L10" s="61" t="n"/>
      <c r="M10" s="61" t="n"/>
      <c r="N10" s="61" t="n"/>
      <c r="O10" s="61" t="n"/>
      <c r="P10" s="61" t="n"/>
      <c r="Q10" s="62" t="n"/>
      <c r="R10" s="61" t="n"/>
    </row>
    <row r="11" ht="15" customHeight="1" s="38">
      <c r="A11" s="66" t="inlineStr">
        <is>
          <t>Abasterm S.A.</t>
        </is>
      </c>
      <c r="B11" s="66" t="inlineStr">
        <is>
          <t>Calderas, Controles de Nivel</t>
        </is>
      </c>
      <c r="C11" s="66" t="inlineStr">
        <is>
          <t>Santiago</t>
        </is>
      </c>
      <c r="D11" s="66" t="inlineStr">
        <is>
          <t>contactoasa@abasterm.cl</t>
        </is>
      </c>
      <c r="E11" s="66" t="inlineStr">
        <is>
          <t>(56) 2 2566 6800</t>
        </is>
      </c>
      <c r="F11" s="66" t="n"/>
      <c r="G11" s="66" t="n"/>
      <c r="H11" s="66" t="n"/>
      <c r="I11" s="66" t="inlineStr">
        <is>
          <t>99.532.330-3</t>
        </is>
      </c>
      <c r="J11" s="66" t="n"/>
      <c r="K11" s="66" t="inlineStr">
        <is>
          <t>Ventas: GRANDE 1 (100.000 - 200.000 UF) | Empleados: 38</t>
        </is>
      </c>
      <c r="L11" s="61" t="n"/>
      <c r="M11" s="61" t="n"/>
      <c r="N11" s="61" t="n"/>
      <c r="O11" s="61" t="n"/>
      <c r="P11" s="61" t="n"/>
      <c r="Q11" s="62" t="n"/>
      <c r="R11" s="61" t="n"/>
    </row>
    <row r="12" ht="15" customHeight="1" s="38">
      <c r="A12" s="66" t="inlineStr">
        <is>
          <t>Abastibletec</t>
        </is>
      </c>
      <c r="B12" s="66" t="inlineStr">
        <is>
          <t>Proveedor Destacado, Proyectos y Mantenimiento Eléctrico MT y AT, Remanufactura y Metrología en Terreno, Soluciones de Energías Renovables, Soluciones de Huella de Agua y Carbono, Soluciones Eléctricas, Soluciones en Sistemas de Gestión de Energía, Soluciones en Sistemas de Gestión de Integridad de Instalaciones Eléctricas, Soluciones Térmicas, Soluciones y Servicios de Eficiencia Energética, Soluciones y Servicios de IA</t>
        </is>
      </c>
      <c r="C12" s="66" t="inlineStr">
        <is>
          <t>Santiago</t>
        </is>
      </c>
      <c r="D12" s="66" t="inlineStr">
        <is>
          <t>andre.lamagdelaine@abastibletec.cl</t>
        </is>
      </c>
      <c r="E12" s="66" t="n"/>
      <c r="F12" s="66" t="n"/>
      <c r="G12" s="66" t="n"/>
      <c r="H12" s="66" t="inlineStr">
        <is>
          <t>http://www.abastible.cl/abastibletec</t>
        </is>
      </c>
      <c r="I12" s="66" t="inlineStr">
        <is>
          <t>77.528.709-8</t>
        </is>
      </c>
      <c r="J12" s="66" t="n"/>
      <c r="K12" s="66" t="inlineStr">
        <is>
          <t>Ventas: MEDIANA 2 (50.000 - 100.000 UF) | Empleados: 37</t>
        </is>
      </c>
      <c r="L12" s="61" t="n"/>
      <c r="M12" s="61" t="n"/>
      <c r="N12" s="61" t="n"/>
      <c r="O12" s="61" t="n"/>
      <c r="P12" s="61" t="n"/>
      <c r="Q12" s="62" t="n"/>
      <c r="R12" s="61" t="n"/>
    </row>
    <row r="13" ht="15" customHeight="1" s="38">
      <c r="A13" s="66" t="inlineStr">
        <is>
          <t>ABB S.A.</t>
        </is>
      </c>
      <c r="B13" s="66" t="inlineStr">
        <is>
          <t>Automatización, Energías Renovables</t>
        </is>
      </c>
      <c r="C13" s="66" t="inlineStr">
        <is>
          <t>Santiago</t>
        </is>
      </c>
      <c r="D13" s="66" t="inlineStr">
        <is>
          <t>contact.center@cl.abb.com</t>
        </is>
      </c>
      <c r="E13" s="66" t="inlineStr">
        <is>
          <t>(56) 2 2471 4100</t>
        </is>
      </c>
      <c r="F13" s="66" t="n"/>
      <c r="G13" s="66" t="n"/>
      <c r="H13" s="66" t="n"/>
      <c r="I13" s="66" t="inlineStr">
        <is>
          <t>92.805.000-9</t>
        </is>
      </c>
      <c r="J13" s="66" t="n"/>
      <c r="K13" s="66" t="inlineStr">
        <is>
          <t>Ventas: GRANDE (Estimado por Empleados) | Empleados: 447</t>
        </is>
      </c>
      <c r="L13" s="61" t="n"/>
      <c r="M13" s="61" t="n"/>
      <c r="N13" s="61" t="n"/>
      <c r="O13" s="61" t="n"/>
      <c r="P13" s="61" t="n"/>
      <c r="Q13" s="62" t="n"/>
      <c r="R13" s="61" t="n"/>
    </row>
    <row r="14" ht="15" customHeight="1" s="38">
      <c r="A14" s="66" t="inlineStr">
        <is>
          <t>ABCDust</t>
        </is>
      </c>
      <c r="B14" s="66" t="inlineStr">
        <is>
          <t>Proveedor Destacado, Control de Polvo, Enzimas para Aplicación Industrial y de Caminos, Productos Químicos, Servicios de Modelación Ambiental y Túneles de Viento, Venta de GPS y Equipamiento de Georreferenciación</t>
        </is>
      </c>
      <c r="C14" s="66" t="inlineStr">
        <is>
          <t>Santiago</t>
        </is>
      </c>
      <c r="D14" s="66" t="inlineStr">
        <is>
          <t>info@abcdust.net</t>
        </is>
      </c>
      <c r="E14" s="66" t="inlineStr">
        <is>
          <t>(56) 2 2897 4905</t>
        </is>
      </c>
      <c r="F14" s="66" t="n"/>
      <c r="G14" s="66" t="n"/>
      <c r="H14" s="66" t="inlineStr">
        <is>
          <t>http://www.abcdust.net</t>
        </is>
      </c>
      <c r="I14" s="66" t="inlineStr">
        <is>
          <t>76.343.796-5</t>
        </is>
      </c>
      <c r="J14" s="66" t="n"/>
      <c r="K14" s="66" t="inlineStr">
        <is>
          <t>Ventas: MEDIANA 2 (50.000 - 100.000 UF) | Empleados: 7</t>
        </is>
      </c>
      <c r="L14" s="61" t="n"/>
      <c r="M14" s="61" t="n"/>
      <c r="N14" s="61" t="n"/>
      <c r="O14" s="61" t="n"/>
      <c r="P14" s="61" t="n"/>
      <c r="Q14" s="62" t="n"/>
      <c r="R14" s="61" t="n"/>
    </row>
    <row r="15" ht="15" customHeight="1" s="38">
      <c r="A15" s="66" t="inlineStr">
        <is>
          <t>Abengoa Chile S.A.</t>
        </is>
      </c>
      <c r="B15" s="66" t="inlineStr">
        <is>
          <t>Energía Solar</t>
        </is>
      </c>
      <c r="C15" s="66" t="inlineStr">
        <is>
          <t>Santiago</t>
        </is>
      </c>
      <c r="D15" s="66" t="inlineStr">
        <is>
          <t>comercialchile@abengoa.com</t>
        </is>
      </c>
      <c r="E15" s="66" t="inlineStr">
        <is>
          <t>(56) 2 2461 4900</t>
        </is>
      </c>
      <c r="F15" s="66" t="n"/>
      <c r="G15" s="66" t="n"/>
      <c r="H15" s="66" t="n"/>
      <c r="I15" s="66" t="inlineStr">
        <is>
          <t>96.521.440-2</t>
        </is>
      </c>
      <c r="J15" s="66" t="n"/>
      <c r="K15" s="66" t="inlineStr">
        <is>
          <t>Ventas: GRANDE (Estimado por Empleados) | Empleados: 3965</t>
        </is>
      </c>
      <c r="L15" s="61" t="n"/>
      <c r="M15" s="61" t="n"/>
      <c r="N15" s="61" t="n"/>
      <c r="O15" s="61" t="n"/>
      <c r="P15" s="61" t="n"/>
      <c r="Q15" s="62" t="n"/>
      <c r="R15" s="61" t="n"/>
    </row>
    <row r="16" ht="15" customHeight="1" s="38">
      <c r="A16" s="66" t="inlineStr">
        <is>
          <t>ABSG Consulting Inc.</t>
        </is>
      </c>
      <c r="B16" s="66" t="inlineStr">
        <is>
          <t>Servicios de Ingeniería</t>
        </is>
      </c>
      <c r="C16" s="66" t="inlineStr">
        <is>
          <t>Santiago</t>
        </is>
      </c>
      <c r="D16" s="66" t="inlineStr">
        <is>
          <t>absqechile@abs-qe.com</t>
        </is>
      </c>
      <c r="E16" s="66" t="inlineStr">
        <is>
          <t>(56) 2 2431 5334</t>
        </is>
      </c>
      <c r="F16" s="66" t="n"/>
      <c r="G16" s="66" t="n"/>
      <c r="H16" s="66" t="n"/>
      <c r="I16" s="66" t="inlineStr">
        <is>
          <t>85.623.600-5</t>
        </is>
      </c>
      <c r="J16" s="66" t="n"/>
      <c r="K16" s="66" t="inlineStr">
        <is>
          <t>Ventas: PEQUEÑA 3 (10.000 - 25.000 UF) | Empleados: 9</t>
        </is>
      </c>
      <c r="L16" s="61" t="n"/>
      <c r="M16" s="61" t="n"/>
      <c r="N16" s="61" t="n"/>
      <c r="O16" s="61" t="n"/>
      <c r="P16" s="61" t="n"/>
      <c r="Q16" s="62" t="n"/>
      <c r="R16" s="61" t="n"/>
    </row>
    <row r="17" ht="15" customHeight="1" s="38">
      <c r="A17" s="66" t="inlineStr">
        <is>
          <t>AC Perforaciones</t>
        </is>
      </c>
      <c r="B17" s="66" t="inlineStr">
        <is>
          <t>Servicios de Perforación</t>
        </is>
      </c>
      <c r="C17" s="66" t="inlineStr">
        <is>
          <t>Coquimbo</t>
        </is>
      </c>
      <c r="D17" s="66" t="inlineStr">
        <is>
          <t>contactar@acperforaciones.cl</t>
        </is>
      </c>
      <c r="E17" s="66" t="inlineStr">
        <is>
          <t>(56) 51 256 6580</t>
        </is>
      </c>
      <c r="F17" s="66" t="n"/>
      <c r="G17" s="66" t="n"/>
      <c r="H17" s="66" t="n"/>
      <c r="I17" s="66" t="inlineStr">
        <is>
          <t>76610230-1</t>
        </is>
      </c>
      <c r="J17" s="66" t="n"/>
      <c r="K17" s="66" t="inlineStr">
        <is>
          <t>Ventas: GRANDE 3 (600.000 - 1.000.000 UF) | Empleados: 509</t>
        </is>
      </c>
      <c r="L17" s="61" t="n"/>
      <c r="M17" s="61" t="n"/>
      <c r="N17" s="61" t="n"/>
      <c r="O17" s="61" t="n"/>
      <c r="P17" s="61" t="n"/>
      <c r="Q17" s="62" t="n"/>
      <c r="R17" s="61" t="n"/>
    </row>
    <row r="18" ht="15" customHeight="1" s="38">
      <c r="A18" s="66" t="inlineStr">
        <is>
          <t>Accenture Chile</t>
        </is>
      </c>
      <c r="B18" s="66" t="inlineStr">
        <is>
          <t>Asesorías Comerciales, Consultoría</t>
        </is>
      </c>
      <c r="C18" s="66" t="inlineStr">
        <is>
          <t>Santiago</t>
        </is>
      </c>
      <c r="D18" s="66" t="inlineStr">
        <is>
          <t>nestor.leal@accenture.com</t>
        </is>
      </c>
      <c r="E18" s="66" t="inlineStr">
        <is>
          <t>(56) 2 2337 7121</t>
        </is>
      </c>
      <c r="F18" s="66" t="n"/>
      <c r="G18" s="66" t="n"/>
      <c r="H18" s="66" t="n"/>
      <c r="I18" s="66" t="inlineStr">
        <is>
          <t>78.809.770-0</t>
        </is>
      </c>
      <c r="J18" s="66" t="n"/>
      <c r="K18" s="66" t="inlineStr">
        <is>
          <t>Ventas: GRANDE (Estimado por Empleados) | Empleados: 2234</t>
        </is>
      </c>
      <c r="L18" s="61" t="n"/>
      <c r="M18" s="61" t="n"/>
      <c r="N18" s="61" t="n"/>
      <c r="O18" s="61" t="n"/>
      <c r="P18" s="61" t="n"/>
      <c r="Q18" s="62" t="n"/>
      <c r="R18" s="61" t="n"/>
    </row>
    <row r="19" ht="15" customHeight="1" s="38">
      <c r="A19" s="66" t="inlineStr">
        <is>
          <t>Acciona Construcción S.A.</t>
        </is>
      </c>
      <c r="B19" s="66" t="inlineStr">
        <is>
          <t>Construcción de Obras Civiles, Construcción de Obras de Infraestructura</t>
        </is>
      </c>
      <c r="C19" s="66" t="inlineStr">
        <is>
          <t>Santiago</t>
        </is>
      </c>
      <c r="D19" s="66" t="inlineStr">
        <is>
          <t>prensa@acciona.com</t>
        </is>
      </c>
      <c r="E19" s="66" t="inlineStr">
        <is>
          <t>(56) 2 2751 5100</t>
        </is>
      </c>
      <c r="F19" s="66" t="n"/>
      <c r="G19" s="66" t="n"/>
      <c r="H19" s="66" t="n"/>
      <c r="I19" s="66" t="inlineStr">
        <is>
          <t>59.069.860-1</t>
        </is>
      </c>
      <c r="J19" s="66" t="n"/>
      <c r="K19" s="66" t="inlineStr">
        <is>
          <t>Ventas: GRANDE (Estimado por Empleados) | Empleados: 3829</t>
        </is>
      </c>
      <c r="L19" s="61" t="n"/>
      <c r="M19" s="61" t="n"/>
      <c r="N19" s="61" t="n"/>
      <c r="O19" s="61" t="n"/>
      <c r="P19" s="61" t="n"/>
      <c r="Q19" s="62" t="n"/>
      <c r="R19" s="61" t="n"/>
    </row>
    <row r="20" ht="15" customHeight="1" s="38">
      <c r="A20" s="66" t="inlineStr">
        <is>
          <t>Acciona Energía Chile SpA</t>
        </is>
      </c>
      <c r="B20" s="66" t="inlineStr">
        <is>
          <t>Energías Renovables</t>
        </is>
      </c>
      <c r="C20" s="66" t="inlineStr">
        <is>
          <t>Santiago</t>
        </is>
      </c>
      <c r="D20" s="66" t="inlineStr">
        <is>
          <t>inversores@acciona.com</t>
        </is>
      </c>
      <c r="E20" s="66" t="inlineStr">
        <is>
          <t>(56) 2 2751 5160</t>
        </is>
      </c>
      <c r="F20" s="66" t="inlineStr">
        <is>
          <t>Gerente de TI / CIO (Director de Tecnología)</t>
        </is>
      </c>
      <c r="G20" s="66" t="n"/>
      <c r="H20" s="66" t="n"/>
      <c r="I20" s="66" t="inlineStr">
        <is>
          <t>76.492.150-K</t>
        </is>
      </c>
      <c r="J20" s="66" t="n"/>
      <c r="K20" s="66" t="inlineStr">
        <is>
          <t>Ventas: GRANDE 4 (Mas de 1.000.000 UF) | Empleados: 182</t>
        </is>
      </c>
      <c r="L20" s="61" t="n"/>
      <c r="M20" s="61" t="n"/>
      <c r="N20" s="61" t="n"/>
      <c r="O20" s="61" t="n"/>
      <c r="P20" s="61" t="n"/>
      <c r="Q20" s="62" t="n"/>
      <c r="R20" s="61" t="n"/>
    </row>
    <row r="21" ht="15.75" customHeight="1" s="38">
      <c r="A21" s="66" t="inlineStr">
        <is>
          <t>Acermet Ltda.</t>
        </is>
      </c>
      <c r="B21" s="66" t="inlineStr">
        <is>
          <t>Aceros Inoxidables, Planchas de Cobre</t>
        </is>
      </c>
      <c r="C21" s="66" t="inlineStr">
        <is>
          <t>Santiago</t>
        </is>
      </c>
      <c r="D21" s="66" t="inlineStr">
        <is>
          <t>ventas.casamatriz@acermet.cl</t>
        </is>
      </c>
      <c r="E21" s="66" t="inlineStr">
        <is>
          <t>(56) 2 2584 5200</t>
        </is>
      </c>
      <c r="F21" s="66" t="n"/>
      <c r="G21" s="66" t="n"/>
      <c r="H21" s="66" t="n"/>
      <c r="I21" s="66" t="inlineStr">
        <is>
          <t>87.717.600-2</t>
        </is>
      </c>
      <c r="J21" s="66" t="n"/>
      <c r="K21" s="66" t="inlineStr">
        <is>
          <t>Ventas: GRANDE 3 (600.000 - 1.000.000 UF) | Empleados: 60</t>
        </is>
      </c>
      <c r="L21" s="61" t="n"/>
      <c r="M21" s="61" t="n"/>
      <c r="N21" s="61" t="n"/>
      <c r="O21" s="61" t="n"/>
      <c r="P21" s="61" t="n"/>
      <c r="Q21" s="62" t="n"/>
      <c r="R21" s="61" t="n"/>
    </row>
    <row r="22" ht="15.75" customHeight="1" s="38">
      <c r="A22" s="66" t="inlineStr">
        <is>
          <t>Acerorack</t>
        </is>
      </c>
      <c r="B22" s="66" t="inlineStr">
        <is>
          <t>Rack Altillo Estructural</t>
        </is>
      </c>
      <c r="C22" s="66" t="inlineStr">
        <is>
          <t>Santiago</t>
        </is>
      </c>
      <c r="D22" s="66" t="inlineStr">
        <is>
          <t>ventas@acerorack.cl</t>
        </is>
      </c>
      <c r="E22" s="66" t="inlineStr">
        <is>
          <t>(56) 9 9320 7002</t>
        </is>
      </c>
      <c r="F22" s="66" t="inlineStr">
        <is>
          <t>Gerente de TI / CIO (Director de Tecnología)</t>
        </is>
      </c>
      <c r="G22" s="66" t="n"/>
      <c r="H22" s="66" t="n"/>
      <c r="I22" s="66" t="inlineStr">
        <is>
          <t>77.247.510-1</t>
        </is>
      </c>
      <c r="J22" s="66" t="n"/>
      <c r="K22" s="66" t="inlineStr">
        <is>
          <t>Ventas: GRANDE 3 (600.000 - 1.000.000 UF) | Empleados: 88</t>
        </is>
      </c>
      <c r="L22" s="61" t="n"/>
      <c r="M22" s="61" t="n"/>
      <c r="N22" s="61" t="n"/>
      <c r="O22" s="61" t="n"/>
      <c r="P22" s="61" t="n"/>
      <c r="Q22" s="62" t="n"/>
      <c r="R22" s="61" t="n"/>
    </row>
    <row r="23" ht="15.75" customHeight="1" s="38">
      <c r="A23" s="66" t="inlineStr">
        <is>
          <t>Aceros AZA</t>
        </is>
      </c>
      <c r="B23" s="66" t="inlineStr">
        <is>
          <t>Proveedor Destacado, Aceros al Carbono, Aceros Estructurales, Aceros Laminados, Angulos Laminados de Acero, Construcción de Edificios Habitacionales, Construcción de Galpones de Acero, Construcción de Obras Civiles, Construcción de Obras de Infraestructura, Construcción de Obras para Minería Subterránea</t>
        </is>
      </c>
      <c r="C23" s="66" t="inlineStr">
        <is>
          <t>Santiago</t>
        </is>
      </c>
      <c r="D23" s="66" t="inlineStr">
        <is>
          <t>contacto@aza.cl</t>
        </is>
      </c>
      <c r="E23" s="66" t="inlineStr">
        <is>
          <t>(56) 2 2677 9100</t>
        </is>
      </c>
      <c r="F23" s="66" t="n"/>
      <c r="G23" s="66" t="n"/>
      <c r="H23" s="66" t="inlineStr">
        <is>
          <t>http://www.aza.cl</t>
        </is>
      </c>
      <c r="I23" s="66" t="inlineStr">
        <is>
          <t>92.176.000-0</t>
        </is>
      </c>
      <c r="J23" s="66" t="n"/>
      <c r="K23" s="66" t="inlineStr">
        <is>
          <t>Ventas: GRANDE (Estimado por Empleados) | Empleados: 744</t>
        </is>
      </c>
      <c r="L23" s="61" t="n"/>
      <c r="M23" s="61" t="n"/>
      <c r="N23" s="61" t="n"/>
      <c r="O23" s="61" t="n"/>
      <c r="P23" s="61" t="n"/>
      <c r="Q23" s="62" t="n"/>
      <c r="R23" s="61" t="n"/>
    </row>
    <row r="24" ht="15.75" customHeight="1" s="38">
      <c r="A24" s="59" t="inlineStr">
        <is>
          <t>Aceros Chilca</t>
        </is>
      </c>
      <c r="B24" s="59" t="inlineStr">
        <is>
          <t>Bolas de Acero Forjado para Molienda, Bolas para molienda, Revestimientos para Molinos</t>
        </is>
      </c>
      <c r="C24" s="59" t="inlineStr">
        <is>
          <t>Santiago</t>
        </is>
      </c>
      <c r="D24" s="59" t="inlineStr">
        <is>
          <t>info@aceroschilca.com</t>
        </is>
      </c>
      <c r="E24" s="59" t="inlineStr">
        <is>
          <t>(56) 2 2929 5486</t>
        </is>
      </c>
      <c r="F24" s="59" t="inlineStr">
        <is>
          <t>Eduardo Garcia (Country Manager)</t>
        </is>
      </c>
      <c r="G24" s="59" t="n"/>
      <c r="H24" s="59" t="n"/>
      <c r="I24" s="59" t="inlineStr">
        <is>
          <t>96.871.960-2</t>
        </is>
      </c>
      <c r="J24" s="59" t="inlineStr">
        <is>
          <t>Modernización Fundición Piezas Mineras</t>
        </is>
      </c>
      <c r="K24" s="59" t="inlineStr">
        <is>
          <t>Ventas: GRANDE 2 (200.000 - 600.000 UF) | Empleados: 4</t>
        </is>
      </c>
      <c r="L24" s="61" t="n"/>
      <c r="M24" s="61" t="n"/>
      <c r="N24" s="61" t="n"/>
      <c r="O24" s="61" t="n"/>
      <c r="P24" s="61" t="n"/>
      <c r="Q24" s="62" t="n"/>
      <c r="R24" s="61" t="n"/>
    </row>
    <row r="25" ht="15.75" customHeight="1" s="38">
      <c r="A25" s="66" t="inlineStr">
        <is>
          <t>Aceros Titanium Chile Ltda.</t>
        </is>
      </c>
      <c r="B25" s="66" t="inlineStr">
        <is>
          <t>Tubos de Acero</t>
        </is>
      </c>
      <c r="C25" s="66" t="inlineStr">
        <is>
          <t>Santiago</t>
        </is>
      </c>
      <c r="D25" s="66" t="inlineStr">
        <is>
          <t>ventas@acerostitanium.cl</t>
        </is>
      </c>
      <c r="E25" s="66" t="inlineStr">
        <is>
          <t>(56) 2 2948 8444</t>
        </is>
      </c>
      <c r="F25" s="66" t="n"/>
      <c r="G25" s="66" t="n"/>
      <c r="H25" s="66" t="n"/>
      <c r="I25" s="66" t="inlineStr">
        <is>
          <t>76.190.734-4</t>
        </is>
      </c>
      <c r="J25" s="66" t="n"/>
      <c r="K25" s="66" t="inlineStr">
        <is>
          <t>Ventas: GRANDE 1 (100.000 - 200.000 UF) | Empleados: 9</t>
        </is>
      </c>
      <c r="L25" s="61" t="n"/>
      <c r="M25" s="61" t="n"/>
      <c r="N25" s="61" t="n"/>
      <c r="O25" s="61" t="n"/>
      <c r="P25" s="61" t="n"/>
      <c r="Q25" s="62" t="n"/>
      <c r="R25" s="61" t="n"/>
    </row>
    <row r="26" ht="15.75" customHeight="1" s="38">
      <c r="A26" s="66" t="inlineStr">
        <is>
          <t>Acerostock</t>
        </is>
      </c>
      <c r="B26" s="66" t="inlineStr">
        <is>
          <t>Aceros, Aceros Inoxidables, Aluminio en Barras</t>
        </is>
      </c>
      <c r="C26" s="66" t="inlineStr">
        <is>
          <t>Santiago</t>
        </is>
      </c>
      <c r="D26" s="66" t="inlineStr">
        <is>
          <t>ventas@acerostock.cl</t>
        </is>
      </c>
      <c r="E26" s="66" t="inlineStr">
        <is>
          <t>(56) 2 2556 7677</t>
        </is>
      </c>
      <c r="F26" s="66" t="n"/>
      <c r="G26" s="66" t="n"/>
      <c r="H26" s="66" t="n"/>
      <c r="I26" s="66" t="inlineStr">
        <is>
          <t>78.151.970-7</t>
        </is>
      </c>
      <c r="J26" s="66" t="n"/>
      <c r="K26" s="66" t="inlineStr">
        <is>
          <t>Ventas: PEQUEÑA 3 (10.000 - 25.000 UF) | Empleados: 3</t>
        </is>
      </c>
      <c r="L26" s="61" t="n"/>
      <c r="M26" s="61" t="n"/>
      <c r="N26" s="61" t="n"/>
      <c r="O26" s="61" t="n"/>
      <c r="P26" s="61" t="n"/>
      <c r="Q26" s="62" t="n"/>
      <c r="R26" s="61" t="n"/>
    </row>
    <row r="27" ht="15.75" customHeight="1" s="38">
      <c r="A27" s="59" t="inlineStr">
        <is>
          <t>Acetogen Gas Chile S.A.</t>
        </is>
      </c>
      <c r="B27" s="59" t="inlineStr">
        <is>
          <t>Artículos para Seguridad</t>
        </is>
      </c>
      <c r="C27" s="59" t="inlineStr">
        <is>
          <t>Santiago</t>
        </is>
      </c>
      <c r="D27" s="59" t="inlineStr">
        <is>
          <t>televentas@acetogen.cl</t>
        </is>
      </c>
      <c r="E27" s="59" t="inlineStr">
        <is>
          <t>(56) 2 2583 2780</t>
        </is>
      </c>
      <c r="F27" s="59" t="inlineStr">
        <is>
          <t>Hugo Inzulza Daneri (Gerente General)</t>
        </is>
      </c>
      <c r="G27" s="59" t="inlineStr">
        <is>
          <t>hinzulza@acetogen.cl</t>
        </is>
      </c>
      <c r="H27" s="59" t="n"/>
      <c r="I27" s="59" t="inlineStr">
        <is>
          <t>93.333.000-1</t>
        </is>
      </c>
      <c r="J27" s="59" t="inlineStr">
        <is>
          <t>Investigación en Proceso</t>
        </is>
      </c>
      <c r="K27" s="59" t="inlineStr">
        <is>
          <t>Ventas: GRANDE 3 (600.000 - 1.000.000 UF) | Empleados: 57</t>
        </is>
      </c>
      <c r="L27" s="61" t="n"/>
      <c r="M27" s="61" t="n"/>
      <c r="N27" s="61" t="n"/>
      <c r="O27" s="61" t="n"/>
      <c r="P27" s="61" t="n"/>
      <c r="Q27" s="62" t="n"/>
      <c r="R27" s="61" t="n"/>
    </row>
    <row r="28" ht="15.75" customHeight="1" s="38">
      <c r="A28" s="66" t="inlineStr">
        <is>
          <t>Achilles</t>
        </is>
      </c>
      <c r="B28" s="66" t="inlineStr">
        <is>
          <t>Proveedor Destacado, Auditorías Virtuales y Presenciales de la Cadena de Suministro, Cadenas de Suministro</t>
        </is>
      </c>
      <c r="C28" s="66" t="inlineStr">
        <is>
          <t>Santiago</t>
        </is>
      </c>
      <c r="D28" s="66" t="inlineStr">
        <is>
          <t>maria.peralta@achilles.com</t>
        </is>
      </c>
      <c r="E28" s="66" t="inlineStr">
        <is>
          <t>(56) 2 2585 9600</t>
        </is>
      </c>
      <c r="F28" s="66" t="n"/>
      <c r="G28" s="66" t="n"/>
      <c r="H28" s="66" t="inlineStr">
        <is>
          <t>http://www.achilles.com/es/</t>
        </is>
      </c>
      <c r="I28" s="66" t="inlineStr">
        <is>
          <t>76.110.170-6</t>
        </is>
      </c>
      <c r="J28" s="66" t="n"/>
      <c r="K28" s="66" t="inlineStr">
        <is>
          <t>Ventas: MEDIANA 2 (50.000 - 100.000 UF) | Empleados: 33</t>
        </is>
      </c>
      <c r="L28" s="61" t="n"/>
      <c r="M28" s="61" t="n"/>
      <c r="N28" s="61" t="n"/>
      <c r="O28" s="61" t="n"/>
      <c r="P28" s="61" t="n"/>
      <c r="Q28" s="62" t="n"/>
      <c r="R28" s="61" t="n"/>
    </row>
    <row r="29" ht="15.75" customHeight="1" s="38">
      <c r="A29" s="66" t="inlineStr">
        <is>
          <t>Acma S.A.</t>
        </is>
      </c>
      <c r="B29" s="66" t="inlineStr">
        <is>
          <t>Cadenas de Acero</t>
        </is>
      </c>
      <c r="C29" s="66" t="inlineStr">
        <is>
          <t>Santiago</t>
        </is>
      </c>
      <c r="D29" s="66" t="inlineStr">
        <is>
          <t>fduran@acma.cl</t>
        </is>
      </c>
      <c r="E29" s="66" t="inlineStr">
        <is>
          <t>(56) 2 2350 6600</t>
        </is>
      </c>
      <c r="F29" s="66" t="n"/>
      <c r="G29" s="66" t="n"/>
      <c r="H29" s="66" t="n"/>
      <c r="I29" s="66" t="inlineStr">
        <is>
          <t>92.190.000-7</t>
        </is>
      </c>
      <c r="J29" s="66" t="n"/>
      <c r="K29" s="66" t="inlineStr">
        <is>
          <t>Ventas: MEDIANA (Estimado por Empleados) | Empleados: 177</t>
        </is>
      </c>
      <c r="L29" s="61" t="n"/>
      <c r="M29" s="61" t="n"/>
      <c r="N29" s="61" t="n"/>
      <c r="O29" s="61" t="n"/>
      <c r="P29" s="61" t="n"/>
      <c r="Q29" s="62" t="n"/>
      <c r="R29" s="61" t="n"/>
    </row>
    <row r="30" ht="15.75" customHeight="1" s="38">
      <c r="A30" s="66" t="inlineStr">
        <is>
          <t>Acoplados Metalcar</t>
        </is>
      </c>
      <c r="B30" s="66" t="inlineStr">
        <is>
          <t>Carros de Arrastre, Transpaletas</t>
        </is>
      </c>
      <c r="C30" s="66" t="inlineStr">
        <is>
          <t>Santiago</t>
        </is>
      </c>
      <c r="D30" s="66" t="inlineStr">
        <is>
          <t>carlosd@metalcar.cl</t>
        </is>
      </c>
      <c r="E30" s="66" t="inlineStr">
        <is>
          <t>(56) 2 2238 2429</t>
        </is>
      </c>
      <c r="F30" s="66" t="n"/>
      <c r="G30" s="66" t="n"/>
      <c r="H30" s="66" t="n"/>
      <c r="I30" s="66" t="inlineStr">
        <is>
          <t>77.611.294-1</t>
        </is>
      </c>
      <c r="J30" s="66" t="n"/>
      <c r="K30" s="66" t="inlineStr">
        <is>
          <t>Ventas: MEDIANA 2 (50.000 - 100.000 UF) | Empleados: 5</t>
        </is>
      </c>
      <c r="L30" s="61" t="n"/>
      <c r="M30" s="61" t="n"/>
      <c r="N30" s="61" t="n"/>
      <c r="O30" s="61" t="n"/>
      <c r="P30" s="61" t="n"/>
      <c r="Q30" s="62" t="n"/>
      <c r="R30" s="61" t="n"/>
    </row>
    <row r="31" ht="15.75" customHeight="1" s="38">
      <c r="A31" s="66" t="inlineStr">
        <is>
          <t>Acquatron Comercial Ltda.</t>
        </is>
      </c>
      <c r="B31" s="66" t="inlineStr">
        <is>
          <t>Bombas Dosificadoras</t>
        </is>
      </c>
      <c r="C31" s="66" t="inlineStr">
        <is>
          <t>Santiago</t>
        </is>
      </c>
      <c r="D31" s="66" t="inlineStr">
        <is>
          <t>acquatron@tie.cl</t>
        </is>
      </c>
      <c r="E31" s="66" t="inlineStr">
        <is>
          <t>(56) 2 2264 0339</t>
        </is>
      </c>
      <c r="F31" s="66" t="n"/>
      <c r="G31" s="66" t="n"/>
      <c r="H31" s="66" t="n"/>
      <c r="I31" s="66" t="inlineStr">
        <is>
          <t>76.682.610-5</t>
        </is>
      </c>
      <c r="J31" s="66" t="n"/>
      <c r="K31" s="66" t="inlineStr">
        <is>
          <t>Ventas: MEDIANA 1 (25.000 - 50.000 UF) | Empleados: 3</t>
        </is>
      </c>
      <c r="L31" s="61" t="n"/>
      <c r="M31" s="61" t="n"/>
      <c r="N31" s="61" t="n"/>
      <c r="O31" s="61" t="n"/>
      <c r="P31" s="61" t="n"/>
      <c r="Q31" s="62" t="n"/>
      <c r="R31" s="61" t="n"/>
    </row>
    <row r="32" ht="15.75" customHeight="1" s="38">
      <c r="A32" s="66" t="inlineStr">
        <is>
          <t>Actilux</t>
        </is>
      </c>
      <c r="B32" s="66" t="inlineStr">
        <is>
          <t>Torres Poligonal y Tubulares</t>
        </is>
      </c>
      <c r="C32" s="66" t="inlineStr">
        <is>
          <t>Santiago</t>
        </is>
      </c>
      <c r="D32" s="66" t="inlineStr">
        <is>
          <t>info@actilux.cl</t>
        </is>
      </c>
      <c r="E32" s="66" t="inlineStr">
        <is>
          <t>(56) 2 2748 6213</t>
        </is>
      </c>
      <c r="F32" s="66" t="n"/>
      <c r="G32" s="66" t="n"/>
      <c r="H32" s="66" t="n"/>
      <c r="I32" s="66" t="inlineStr">
        <is>
          <t>76.552.367-2</t>
        </is>
      </c>
      <c r="J32" s="66" t="n"/>
      <c r="K32" s="66" t="inlineStr">
        <is>
          <t>Ventas: PEQUEÑA 3 (10.000 - 25.000 UF) | Empleados: 0</t>
        </is>
      </c>
      <c r="L32" s="61" t="n"/>
      <c r="M32" s="61" t="n"/>
      <c r="N32" s="61" t="n"/>
      <c r="O32" s="61" t="n"/>
      <c r="P32" s="61" t="n"/>
      <c r="Q32" s="62" t="n"/>
      <c r="R32" s="61" t="n"/>
    </row>
    <row r="33" ht="15.75" customHeight="1" s="38">
      <c r="A33" s="66" t="inlineStr">
        <is>
          <t>Acting Chile Ltda.</t>
        </is>
      </c>
      <c r="B33" s="66" t="inlineStr">
        <is>
          <t>Equipos Eléctricos, Proyectos para Iluminación</t>
        </is>
      </c>
      <c r="C33" s="66" t="inlineStr">
        <is>
          <t>Santiago</t>
        </is>
      </c>
      <c r="D33" s="66" t="inlineStr">
        <is>
          <t>contacto@acting.cl</t>
        </is>
      </c>
      <c r="E33" s="66" t="inlineStr">
        <is>
          <t>(56) 2 2736 0281</t>
        </is>
      </c>
      <c r="F33" s="66" t="n"/>
      <c r="G33" s="66" t="n"/>
      <c r="H33" s="66" t="n"/>
      <c r="I33" s="66" t="inlineStr">
        <is>
          <t>78.177.130-9</t>
        </is>
      </c>
      <c r="J33" s="66" t="n"/>
      <c r="K33" s="66" t="inlineStr">
        <is>
          <t>Ventas: GRANDE 1 (100.000 - 200.000 UF) | Empleados: 23</t>
        </is>
      </c>
      <c r="L33" s="61" t="n"/>
      <c r="M33" s="61" t="n"/>
      <c r="N33" s="61" t="n"/>
      <c r="O33" s="61" t="n"/>
      <c r="P33" s="61" t="n"/>
      <c r="Q33" s="62" t="n"/>
      <c r="R33" s="61" t="n"/>
    </row>
    <row r="34" ht="15.75" customHeight="1" s="38">
      <c r="A34" s="66" t="inlineStr">
        <is>
          <t>Adecco</t>
        </is>
      </c>
      <c r="B34" s="66" t="inlineStr">
        <is>
          <t>Consultora de Gestión de Recursos Humanos, Selección y Reclutamiento de Ejecutivos y Personal</t>
        </is>
      </c>
      <c r="C34" s="66" t="inlineStr">
        <is>
          <t>Santiago</t>
        </is>
      </c>
      <c r="D34" s="66" t="inlineStr">
        <is>
          <t>consultas@adecco.com</t>
        </is>
      </c>
      <c r="E34" s="66" t="inlineStr">
        <is>
          <t>(56) 2 2560 7200</t>
        </is>
      </c>
      <c r="F34" s="66" t="n"/>
      <c r="G34" s="66" t="n"/>
      <c r="H34" s="66" t="n"/>
      <c r="I34" s="66" t="inlineStr">
        <is>
          <t>96.820.170-0</t>
        </is>
      </c>
      <c r="J34" s="66" t="n"/>
      <c r="K34" s="66" t="inlineStr">
        <is>
          <t>Ventas: GRANDE (Estimado por Empleados) | Empleados: 9532</t>
        </is>
      </c>
      <c r="L34" s="61" t="n"/>
      <c r="M34" s="61" t="n"/>
      <c r="N34" s="61" t="n"/>
      <c r="O34" s="61" t="n"/>
      <c r="P34" s="61" t="n"/>
      <c r="Q34" s="62" t="n"/>
      <c r="R34" s="61" t="n"/>
    </row>
    <row r="35" ht="15.75" customHeight="1" s="38">
      <c r="A35" s="66" t="inlineStr">
        <is>
          <t>Adelanta Asesorías y Servicios</t>
        </is>
      </c>
      <c r="B35" s="66" t="inlineStr">
        <is>
          <t>Consultoría en Gestión de Abastecimiento</t>
        </is>
      </c>
      <c r="C35" s="66" t="inlineStr">
        <is>
          <t>Santiago</t>
        </is>
      </c>
      <c r="D35" s="66" t="inlineStr">
        <is>
          <t>adelanta@adelanta.cl</t>
        </is>
      </c>
      <c r="E35" s="66" t="inlineStr">
        <is>
          <t>(56) 9 9883 1453</t>
        </is>
      </c>
      <c r="F35" s="66" t="n"/>
      <c r="G35" s="66" t="n"/>
      <c r="H35" s="66" t="n"/>
      <c r="I35" s="66" t="inlineStr">
        <is>
          <t>76.425.905-K</t>
        </is>
      </c>
      <c r="J35" s="66" t="n"/>
      <c r="K35" s="66" t="inlineStr">
        <is>
          <t>Ventas: MEDIANA 2 (50.000 - 100.000 UF) | Empleados: 37</t>
        </is>
      </c>
      <c r="L35" s="61" t="n"/>
      <c r="M35" s="61" t="n"/>
      <c r="N35" s="61" t="n"/>
      <c r="O35" s="61" t="n"/>
      <c r="P35" s="61" t="n"/>
      <c r="Q35" s="62" t="n"/>
      <c r="R35" s="61" t="n"/>
    </row>
    <row r="36" ht="15.75" customHeight="1" s="38">
      <c r="A36" s="66" t="inlineStr">
        <is>
          <t>Adizol</t>
        </is>
      </c>
      <c r="B36" s="66" t="inlineStr">
        <is>
          <t>Aditivos para Combustibles, Resinas para Pinturas</t>
        </is>
      </c>
      <c r="C36" s="66" t="inlineStr">
        <is>
          <t>Santiago</t>
        </is>
      </c>
      <c r="D36" s="66" t="inlineStr">
        <is>
          <t>adizol@adizol.com</t>
        </is>
      </c>
      <c r="E36" s="66" t="inlineStr">
        <is>
          <t>(56) 2 2657 2670</t>
        </is>
      </c>
      <c r="F36" s="66" t="n"/>
      <c r="G36" s="66" t="n"/>
      <c r="H36" s="66" t="n"/>
      <c r="I36" s="66" t="inlineStr">
        <is>
          <t>76.183.070-8</t>
        </is>
      </c>
      <c r="J36" s="66" t="n"/>
      <c r="K36" s="66" t="inlineStr">
        <is>
          <t>Ventas: GRANDE 1 (100.000 - 200.000 UF) | Empleados: 8</t>
        </is>
      </c>
      <c r="L36" s="61" t="n"/>
      <c r="M36" s="61" t="n"/>
      <c r="N36" s="61" t="n"/>
      <c r="O36" s="61" t="n"/>
      <c r="P36" s="61" t="n"/>
      <c r="Q36" s="62" t="n"/>
      <c r="R36" s="61" t="n"/>
    </row>
    <row r="37" ht="15.75" customHeight="1" s="38">
      <c r="A37" s="59" t="inlineStr">
        <is>
          <t>Adler Steel Chile</t>
        </is>
      </c>
      <c r="B37" s="59" t="inlineStr">
        <is>
          <t>Aceros Antiabrasivos, Barras de Aceros Especiales</t>
        </is>
      </c>
      <c r="C37" s="59" t="inlineStr">
        <is>
          <t>Santiago</t>
        </is>
      </c>
      <c r="D37" s="59" t="inlineStr">
        <is>
          <t>ventas@adler.cl</t>
        </is>
      </c>
      <c r="E37" s="59" t="inlineStr">
        <is>
          <t>(56) 2 2420 5555</t>
        </is>
      </c>
      <c r="F37" s="59" t="inlineStr">
        <is>
          <t>Sabin Capetillo (Jefe Informática)</t>
        </is>
      </c>
      <c r="G37" s="59" t="inlineStr">
        <is>
          <t>scapetillo@adlersteel.cl</t>
        </is>
      </c>
      <c r="H37" s="59" t="n"/>
      <c r="I37" s="59" t="inlineStr">
        <is>
          <t>92.844.000-1</t>
        </is>
      </c>
      <c r="J37" s="59" t="inlineStr">
        <is>
          <t>Aceros Especiales Minería (Procesos Críticos)</t>
        </is>
      </c>
      <c r="K37" s="59" t="inlineStr">
        <is>
          <t>Ventas: GRANDE 3 (600.000 - 1.000.000 UF) | Empleados: 17</t>
        </is>
      </c>
      <c r="L37" s="61" t="n"/>
      <c r="M37" s="61" t="n"/>
      <c r="N37" s="61" t="n"/>
      <c r="O37" s="61" t="n"/>
      <c r="P37" s="61" t="n"/>
      <c r="Q37" s="62" t="n"/>
      <c r="R37" s="61" t="n"/>
    </row>
    <row r="38" ht="15.75" customHeight="1" s="38">
      <c r="A38" s="66" t="inlineStr">
        <is>
          <t>Adtrium</t>
        </is>
      </c>
      <c r="B38" s="66" t="inlineStr">
        <is>
          <t>Proveedor Destacado</t>
        </is>
      </c>
      <c r="C38" s="66" t="inlineStr">
        <is>
          <t>Santiago</t>
        </is>
      </c>
      <c r="D38" s="66" t="inlineStr">
        <is>
          <t>contacto@adtrium.cl</t>
        </is>
      </c>
      <c r="E38" s="66" t="n"/>
      <c r="F38" s="66" t="n"/>
      <c r="G38" s="66" t="n"/>
      <c r="H38" s="66" t="inlineStr">
        <is>
          <t>http://www.adtrium.cl</t>
        </is>
      </c>
      <c r="I38" s="66" t="inlineStr">
        <is>
          <t>76.261.771-4</t>
        </is>
      </c>
      <c r="J38" s="66" t="n"/>
      <c r="K38" s="66" t="inlineStr">
        <is>
          <t>Ventas: MEDIANA 1 (25.000 - 50.000 UF) | Empleados: 13</t>
        </is>
      </c>
      <c r="L38" s="61" t="n"/>
      <c r="M38" s="61" t="n"/>
      <c r="N38" s="61" t="n"/>
      <c r="O38" s="61" t="n"/>
      <c r="P38" s="61" t="n"/>
      <c r="Q38" s="62" t="n"/>
      <c r="R38" s="61" t="n"/>
    </row>
    <row r="39" ht="15.75" customHeight="1" s="38">
      <c r="A39" s="66" t="inlineStr">
        <is>
          <t>Aenor Chile S.A.</t>
        </is>
      </c>
      <c r="B39" s="66" t="inlineStr">
        <is>
          <t>Certificación de Calidad, Servicios de Inspección Técnica</t>
        </is>
      </c>
      <c r="C39" s="66" t="inlineStr">
        <is>
          <t>Santiago</t>
        </is>
      </c>
      <c r="D39" s="66" t="inlineStr">
        <is>
          <t>masanhueza@aenor.com</t>
        </is>
      </c>
      <c r="E39" s="66" t="inlineStr">
        <is>
          <t>(56) 2 2499 9200</t>
        </is>
      </c>
      <c r="F39" s="66" t="n"/>
      <c r="G39" s="66" t="n"/>
      <c r="H39" s="66" t="n"/>
      <c r="I39" s="66" t="inlineStr">
        <is>
          <t>96.968.660-0</t>
        </is>
      </c>
      <c r="J39" s="66" t="n"/>
      <c r="K39" s="66" t="inlineStr">
        <is>
          <t>Ventas: GRANDE 1 (100.000 - 200.000 UF) | Empleados: 25</t>
        </is>
      </c>
      <c r="L39" s="61" t="n"/>
      <c r="M39" s="61" t="n"/>
      <c r="N39" s="61" t="n"/>
      <c r="O39" s="61" t="n"/>
      <c r="P39" s="61" t="n"/>
      <c r="Q39" s="62" t="n"/>
      <c r="R39" s="61" t="n"/>
    </row>
    <row r="40" ht="15.75" customHeight="1" s="38">
      <c r="A40" s="66" t="inlineStr">
        <is>
          <t>Aerisfogo - Aquaterra</t>
        </is>
      </c>
      <c r="B40" s="66" t="inlineStr">
        <is>
          <t>Asesoría Técnica en Indumentaria y Seguridad Industrial, Diseño y Fabricación de Ropa Técnica, Ropa de Trabajo, Comercialización de Equipos de Protección Personal (EPP), Ropa Ignífuga, Ropa Técnica para Minería, Soluciones Integrales en Vestuario Laboral, Vestuario de Alto Desempeño para Faenas, Vestuario de Seguridad Industrial</t>
        </is>
      </c>
      <c r="C40" s="66" t="inlineStr">
        <is>
          <t>Santiago</t>
        </is>
      </c>
      <c r="D40" s="66" t="inlineStr">
        <is>
          <t>aquaterra@aquaterra.cl</t>
        </is>
      </c>
      <c r="E40" s="66" t="inlineStr">
        <is>
          <t>(56) 2 2602 1020</t>
        </is>
      </c>
      <c r="F40" s="66" t="n"/>
      <c r="G40" s="66" t="n"/>
      <c r="H40" s="66" t="inlineStr">
        <is>
          <t>http://www.aerisfogo.com</t>
        </is>
      </c>
      <c r="I40" s="66" t="inlineStr">
        <is>
          <t>76.073.000-9</t>
        </is>
      </c>
      <c r="J40" s="66" t="n"/>
      <c r="K40" s="66" t="inlineStr">
        <is>
          <t>Ventas: MEDIANA 2 (50.000 - 100.000 UF) | Empleados: 13</t>
        </is>
      </c>
      <c r="L40" s="61" t="n"/>
      <c r="M40" s="61" t="n"/>
      <c r="N40" s="61" t="n"/>
      <c r="O40" s="61" t="n"/>
      <c r="P40" s="61" t="n"/>
      <c r="Q40" s="62" t="n"/>
      <c r="R40" s="61" t="n"/>
    </row>
    <row r="41" ht="15.75" customHeight="1" s="38">
      <c r="A41" s="59" t="inlineStr">
        <is>
          <t>Aerocardal Ltda.</t>
        </is>
      </c>
      <c r="B41" s="59" t="inlineStr">
        <is>
          <t>Transporte Aéreo en Helicóptero, Vuelos Ambulancia</t>
        </is>
      </c>
      <c r="C41" s="59" t="inlineStr">
        <is>
          <t>Santiago</t>
        </is>
      </c>
      <c r="D41" s="59" t="inlineStr">
        <is>
          <t>aerocardal@aerocardal.com</t>
        </is>
      </c>
      <c r="E41" s="59" t="inlineStr">
        <is>
          <t>(56) 2 2377 7400</t>
        </is>
      </c>
      <c r="F41" s="59" t="inlineStr">
        <is>
          <t>Javier Arellano (Jefe IT)</t>
        </is>
      </c>
      <c r="G41" s="59" t="inlineStr">
        <is>
          <t>jarellano@aerocardal.com</t>
        </is>
      </c>
      <c r="H41" s="59" t="n"/>
      <c r="I41" s="59" t="inlineStr">
        <is>
          <t>78.035.640-5</t>
        </is>
      </c>
      <c r="J41" s="59" t="inlineStr">
        <is>
          <t>Mantenimiento Digital Embraer (Servicio Autorizado)</t>
        </is>
      </c>
      <c r="K41" s="59" t="inlineStr">
        <is>
          <t>Ventas: GRANDE 3 (600.000 - 1.000.000 UF) | Empleados: 98</t>
        </is>
      </c>
      <c r="L41" s="61" t="n"/>
      <c r="M41" s="61" t="n"/>
      <c r="N41" s="61" t="n"/>
      <c r="O41" s="61" t="n"/>
      <c r="P41" s="61" t="n"/>
      <c r="Q41" s="62" t="n"/>
      <c r="R41" s="61" t="n"/>
    </row>
    <row r="42" ht="15.75" customHeight="1" s="38">
      <c r="A42" s="59" t="inlineStr">
        <is>
          <t>AeroRescate Ambulancias Aéreas</t>
        </is>
      </c>
      <c r="B42" s="59" t="inlineStr">
        <is>
          <t>Transporte Aéreo, Transporte Aéreo en Helicóptero</t>
        </is>
      </c>
      <c r="C42" s="59" t="inlineStr">
        <is>
          <t>Santiago</t>
        </is>
      </c>
      <c r="D42" s="59" t="inlineStr">
        <is>
          <t>ventas@dap.cl</t>
        </is>
      </c>
      <c r="E42" s="59" t="inlineStr">
        <is>
          <t>(56) 2 3202 6890</t>
        </is>
      </c>
      <c r="F42" s="59" t="inlineStr">
        <is>
          <t>David Acevedo Olguín (Director Corporativo)</t>
        </is>
      </c>
      <c r="G42" s="59" t="inlineStr">
        <is>
          <t>dacevedo@dap.cl</t>
        </is>
      </c>
      <c r="H42" s="59" t="n"/>
      <c r="I42" s="59" t="inlineStr">
        <is>
          <t>99.543.620-5</t>
        </is>
      </c>
      <c r="J42" s="59" t="inlineStr">
        <is>
          <t>Investigación en Proceso</t>
        </is>
      </c>
      <c r="K42" s="59" t="inlineStr">
        <is>
          <t>Ventas: GRANDE 4 (Mas de 1.000.000 UF) | Empleados: 35</t>
        </is>
      </c>
      <c r="L42" s="61" t="n"/>
      <c r="M42" s="61" t="n"/>
      <c r="N42" s="61" t="n"/>
      <c r="O42" s="61" t="n"/>
      <c r="P42" s="61" t="n"/>
      <c r="Q42" s="62" t="n"/>
      <c r="R42" s="61" t="n"/>
    </row>
    <row r="43" ht="15.75" customHeight="1" s="38">
      <c r="A43" s="66" t="inlineStr">
        <is>
          <t>Aerotop</t>
        </is>
      </c>
      <c r="B43" s="66" t="inlineStr">
        <is>
          <t>Aerofotogrametría, Cartografía</t>
        </is>
      </c>
      <c r="C43" s="66" t="inlineStr">
        <is>
          <t>Santiago</t>
        </is>
      </c>
      <c r="D43" s="66" t="inlineStr">
        <is>
          <t>aerotop@aerotop.cl</t>
        </is>
      </c>
      <c r="E43" s="66" t="inlineStr">
        <is>
          <t>(56) 2 2235 7728</t>
        </is>
      </c>
      <c r="F43" s="66" t="n"/>
      <c r="G43" s="66" t="n"/>
      <c r="H43" s="66" t="n"/>
      <c r="I43" s="66" t="inlineStr">
        <is>
          <t>86.264.200-7</t>
        </is>
      </c>
      <c r="J43" s="66" t="n"/>
      <c r="K43" s="66" t="inlineStr">
        <is>
          <t>Ventas: MEDIANA 1 (25.000 - 50.000 UF) | Empleados: 14</t>
        </is>
      </c>
      <c r="L43" s="61" t="n"/>
      <c r="M43" s="61" t="n"/>
      <c r="N43" s="61" t="n"/>
      <c r="O43" s="61" t="n"/>
      <c r="P43" s="61" t="n"/>
      <c r="Q43" s="62" t="n"/>
      <c r="R43" s="61" t="n"/>
    </row>
    <row r="44" ht="15.75" customHeight="1" s="38">
      <c r="A44" s="66" t="inlineStr">
        <is>
          <t>AES Andes</t>
        </is>
      </c>
      <c r="B44" s="66" t="inlineStr">
        <is>
          <t>Transmisión de Energía Eléctrica</t>
        </is>
      </c>
      <c r="C44" s="66" t="inlineStr">
        <is>
          <t>Santiago</t>
        </is>
      </c>
      <c r="D44" s="66" t="inlineStr">
        <is>
          <t>asuntos.corporativos@aes.com</t>
        </is>
      </c>
      <c r="E44" s="66" t="inlineStr">
        <is>
          <t>(56) 2 3333 8300</t>
        </is>
      </c>
      <c r="F44" s="66" t="n"/>
      <c r="G44" s="66" t="n"/>
      <c r="H44" s="66" t="n"/>
      <c r="I44" s="66" t="inlineStr">
        <is>
          <t>94.272.000-9</t>
        </is>
      </c>
      <c r="J44" s="66" t="n"/>
      <c r="K44" s="66" t="inlineStr">
        <is>
          <t>Ventas: GRANDE (Estimado por Empleados) | Empleados: 940</t>
        </is>
      </c>
      <c r="L44" s="61" t="n"/>
      <c r="M44" s="61" t="n"/>
      <c r="N44" s="61" t="n"/>
      <c r="O44" s="61" t="n"/>
      <c r="P44" s="61" t="n"/>
      <c r="Q44" s="62" t="n"/>
      <c r="R44" s="61" t="n"/>
    </row>
    <row r="45" ht="15.75" customHeight="1" s="38">
      <c r="A45" s="66" t="inlineStr">
        <is>
          <t>Agecomet S.A.</t>
        </is>
      </c>
      <c r="B45" s="66" t="inlineStr">
        <is>
          <t>Accesorios para Perforación, Aceros para Perforación, Elementos para Perforación</t>
        </is>
      </c>
      <c r="C45" s="66" t="inlineStr">
        <is>
          <t>Santiago</t>
        </is>
      </c>
      <c r="D45" s="66" t="inlineStr">
        <is>
          <t>perfo@agecomet.com</t>
        </is>
      </c>
      <c r="E45" s="66" t="inlineStr">
        <is>
          <t>(56) 2 2739 0190</t>
        </is>
      </c>
      <c r="F45" s="66" t="n"/>
      <c r="G45" s="66" t="n"/>
      <c r="H45" s="66" t="n"/>
      <c r="I45" s="66" t="inlineStr">
        <is>
          <t>96.508.740-0</t>
        </is>
      </c>
      <c r="J45" s="66" t="n"/>
      <c r="K45" s="66" t="inlineStr">
        <is>
          <t>Ventas: GRANDE 2 (200.000 - 600.000 UF) | Empleados: 38</t>
        </is>
      </c>
      <c r="L45" s="61" t="n"/>
      <c r="M45" s="61" t="n"/>
      <c r="N45" s="61" t="n"/>
      <c r="O45" s="61" t="n"/>
      <c r="P45" s="61" t="n"/>
      <c r="Q45" s="62" t="n"/>
      <c r="R45" s="61" t="n"/>
    </row>
    <row r="46" ht="15.75" customHeight="1" s="38">
      <c r="A46" s="66" t="inlineStr">
        <is>
          <t>Aggreko</t>
        </is>
      </c>
      <c r="B46" s="66" t="inlineStr">
        <is>
          <t>Almacenamiento de Energía, Plantas de Energía Híbrida</t>
        </is>
      </c>
      <c r="C46" s="66" t="inlineStr">
        <is>
          <t>Santiago</t>
        </is>
      </c>
      <c r="D46" s="66" t="inlineStr">
        <is>
          <t>AggrekoPowerSolutionsLAM@aggreko.com</t>
        </is>
      </c>
      <c r="E46" s="66" t="inlineStr">
        <is>
          <t>(56) 2 2 4723 902</t>
        </is>
      </c>
      <c r="F46" s="66" t="n"/>
      <c r="G46" s="66" t="n"/>
      <c r="H46" s="66" t="n"/>
      <c r="I46" s="66" t="inlineStr">
        <is>
          <t>76.625.330-K</t>
        </is>
      </c>
      <c r="J46" s="66" t="n"/>
      <c r="K46" s="66" t="inlineStr">
        <is>
          <t>Ventas: GRANDE 3 (600.000 - 1.000.000 UF) | Empleados: 114</t>
        </is>
      </c>
      <c r="L46" s="61" t="n"/>
      <c r="M46" s="61" t="n"/>
      <c r="N46" s="61" t="n"/>
      <c r="O46" s="61" t="n"/>
      <c r="P46" s="61" t="n"/>
      <c r="Q46" s="62" t="n"/>
      <c r="R46" s="61" t="n"/>
    </row>
    <row r="47" ht="15.75" customHeight="1" s="38">
      <c r="A47" s="66" t="inlineStr">
        <is>
          <t>Aginox Comercial Ltda.</t>
        </is>
      </c>
      <c r="B47" s="66" t="inlineStr">
        <is>
          <t>Aceros Inoxidables</t>
        </is>
      </c>
      <c r="C47" s="66" t="inlineStr">
        <is>
          <t>Santiago</t>
        </is>
      </c>
      <c r="D47" s="66" t="inlineStr">
        <is>
          <t>j.ventas@aginox.cl</t>
        </is>
      </c>
      <c r="E47" s="66" t="inlineStr">
        <is>
          <t>(56) 2 2862 5600</t>
        </is>
      </c>
      <c r="F47" s="66" t="n"/>
      <c r="G47" s="66" t="n"/>
      <c r="H47" s="66" t="n"/>
      <c r="I47" s="66" t="inlineStr">
        <is>
          <t>78.240.410-5</t>
        </is>
      </c>
      <c r="J47" s="66" t="n"/>
      <c r="K47" s="66" t="inlineStr">
        <is>
          <t>Ventas: MEDIANA 2 (50.000 - 100.000 UF) | Empleados: 12</t>
        </is>
      </c>
      <c r="L47" s="61" t="n"/>
      <c r="M47" s="61" t="n"/>
      <c r="N47" s="61" t="n"/>
      <c r="O47" s="61" t="n"/>
      <c r="P47" s="61" t="n"/>
      <c r="Q47" s="62" t="n"/>
      <c r="R47" s="61" t="n"/>
    </row>
    <row r="48" ht="15.75" customHeight="1" s="38">
      <c r="A48" s="66" t="inlineStr">
        <is>
          <t>Agnov Solutions</t>
        </is>
      </c>
      <c r="B48" s="66" t="inlineStr">
        <is>
          <t>Telecomunicaciones, Redes, Cableado, Cyberseguridad</t>
        </is>
      </c>
      <c r="C48" s="66" t="inlineStr">
        <is>
          <t>Santiago</t>
        </is>
      </c>
      <c r="D48" s="66" t="n"/>
      <c r="E48" s="66" t="inlineStr">
        <is>
          <t>(56) 2 2836 0200</t>
        </is>
      </c>
      <c r="F48" s="66" t="n"/>
      <c r="G48" s="66" t="n"/>
      <c r="H48" s="66" t="n"/>
      <c r="I48" s="66" t="inlineStr">
        <is>
          <t>76.092.344-3</t>
        </is>
      </c>
      <c r="J48" s="66" t="n"/>
      <c r="K48" s="66" t="inlineStr">
        <is>
          <t>Ventas: GRANDE 1 (100.000 - 200.000 UF) | Empleados: 23</t>
        </is>
      </c>
      <c r="L48" s="61" t="n"/>
      <c r="M48" s="61" t="n"/>
      <c r="N48" s="61" t="n"/>
      <c r="O48" s="61" t="n"/>
      <c r="P48" s="61" t="n"/>
      <c r="Q48" s="62" t="n"/>
      <c r="R48" s="61" t="n"/>
    </row>
    <row r="49" ht="15.75" customHeight="1" s="38">
      <c r="A49" s="66" t="inlineStr">
        <is>
          <t>Agroandina - Induagro</t>
        </is>
      </c>
      <c r="B49" s="66" t="inlineStr">
        <is>
          <t>Cúpulas y Encapsulados para Correas Transportadoras</t>
        </is>
      </c>
      <c r="C49" s="66" t="inlineStr">
        <is>
          <t>Santiago</t>
        </is>
      </c>
      <c r="D49" s="66" t="inlineStr">
        <is>
          <t>ventas@induagro.cl</t>
        </is>
      </c>
      <c r="E49" s="66" t="inlineStr">
        <is>
          <t>(56) 2 2551 9834</t>
        </is>
      </c>
      <c r="F49" s="66" t="n"/>
      <c r="G49" s="66" t="n"/>
      <c r="H49" s="66" t="n"/>
      <c r="I49" s="66" t="inlineStr">
        <is>
          <t>89.243.500-6</t>
        </is>
      </c>
      <c r="J49" s="66" t="n"/>
      <c r="K49" s="66" t="inlineStr">
        <is>
          <t>Ventas: MEDIANA 1 (25.000 - 50.000 UF) | Empleados: 24</t>
        </is>
      </c>
      <c r="L49" s="61" t="n"/>
      <c r="M49" s="61" t="n"/>
      <c r="N49" s="61" t="n"/>
      <c r="O49" s="61" t="n"/>
      <c r="P49" s="61" t="n"/>
      <c r="Q49" s="62" t="n"/>
      <c r="R49" s="61" t="n"/>
    </row>
    <row r="50" ht="15.75" customHeight="1" s="38">
      <c r="A50" s="66" t="inlineStr">
        <is>
          <t>AGT-Group, American Gate Trading S.A.</t>
        </is>
      </c>
      <c r="B50" s="66" t="inlineStr">
        <is>
          <t>Sistemas para Molienda</t>
        </is>
      </c>
      <c r="C50" s="66" t="inlineStr">
        <is>
          <t>Santiago</t>
        </is>
      </c>
      <c r="D50" s="66" t="inlineStr">
        <is>
          <t>info@agt.cl</t>
        </is>
      </c>
      <c r="E50" s="66" t="inlineStr">
        <is>
          <t>(56) 2 3252 9353</t>
        </is>
      </c>
      <c r="F50" s="66" t="n"/>
      <c r="G50" s="66" t="n"/>
      <c r="H50" s="66" t="n"/>
      <c r="I50" s="66" t="inlineStr">
        <is>
          <t>78.090.920-k</t>
        </is>
      </c>
      <c r="J50" s="66" t="n"/>
      <c r="K50" s="66" t="inlineStr">
        <is>
          <t>Ventas: PEQUEÑA 3 (10.000 - 25.000 UF) | Empleados: 4</t>
        </is>
      </c>
      <c r="L50" s="61" t="n"/>
      <c r="M50" s="61" t="n"/>
      <c r="N50" s="61" t="n"/>
      <c r="O50" s="61" t="n"/>
      <c r="P50" s="61" t="n"/>
      <c r="Q50" s="62" t="n"/>
      <c r="R50" s="61" t="n"/>
    </row>
    <row r="51" ht="15.75" customHeight="1" s="38">
      <c r="A51" s="66" t="inlineStr">
        <is>
          <t>Aguamarket y Cía. Ltda.</t>
        </is>
      </c>
      <c r="B51" s="66" t="inlineStr">
        <is>
          <t>Proyectos para Agua Potable</t>
        </is>
      </c>
      <c r="C51" s="66" t="inlineStr">
        <is>
          <t>Santiago</t>
        </is>
      </c>
      <c r="D51" s="66" t="inlineStr">
        <is>
          <t>gerencia@aguamarket.com</t>
        </is>
      </c>
      <c r="E51" s="66" t="inlineStr">
        <is>
          <t>(56) 9 6844 2657</t>
        </is>
      </c>
      <c r="F51" s="66" t="n"/>
      <c r="G51" s="66" t="n"/>
      <c r="H51" s="66" t="n"/>
      <c r="I51" s="66" t="inlineStr">
        <is>
          <t>77.595.290-3</t>
        </is>
      </c>
      <c r="J51" s="66" t="n"/>
      <c r="K51" s="66" t="inlineStr">
        <is>
          <t>Ventas: MEDIANA 1 (25.000 - 50.000 UF) | Empleados: 8</t>
        </is>
      </c>
      <c r="L51" s="61" t="n"/>
      <c r="M51" s="61" t="n"/>
      <c r="N51" s="61" t="n"/>
      <c r="O51" s="61" t="n"/>
      <c r="P51" s="61" t="n"/>
      <c r="Q51" s="62" t="n"/>
      <c r="R51" s="61" t="n"/>
    </row>
    <row r="52" ht="15.75" customHeight="1" s="38">
      <c r="A52" s="66" t="inlineStr">
        <is>
          <t>Aguapur Vapor SpA</t>
        </is>
      </c>
      <c r="B52" s="66" t="inlineStr">
        <is>
          <t>Calderas, Válvulas para Control, Válvulas para Procesos</t>
        </is>
      </c>
      <c r="C52" s="66" t="inlineStr">
        <is>
          <t>Santiago</t>
        </is>
      </c>
      <c r="D52" s="66" t="inlineStr">
        <is>
          <t>ventas@aguapurvapor.cl</t>
        </is>
      </c>
      <c r="E52" s="66" t="inlineStr">
        <is>
          <t>(56) 2 2727 5237</t>
        </is>
      </c>
      <c r="F52" s="66" t="n"/>
      <c r="G52" s="66" t="n"/>
      <c r="H52" s="66" t="n"/>
      <c r="I52" s="66" t="inlineStr">
        <is>
          <t>76.312.365-0</t>
        </is>
      </c>
      <c r="J52" s="66" t="n"/>
      <c r="K52" s="66" t="inlineStr">
        <is>
          <t>Ventas: MEDIANA 2 (50.000 - 100.000 UF) | Empleados: 11</t>
        </is>
      </c>
      <c r="L52" s="61" t="n"/>
      <c r="M52" s="61" t="n"/>
      <c r="N52" s="61" t="n"/>
      <c r="O52" s="61" t="n"/>
      <c r="P52" s="61" t="n"/>
      <c r="Q52" s="62" t="n"/>
      <c r="R52" s="61" t="n"/>
    </row>
    <row r="53" ht="15.75" customHeight="1" s="38">
      <c r="A53" s="66" t="inlineStr">
        <is>
          <t>Aguaquim SpA</t>
        </is>
      </c>
      <c r="B53" s="66" t="inlineStr">
        <is>
          <t>Bombas para Transferencia de Corrosivos y Dosificación de Químicos, Equipos para Control en Tratamiento de Aguas y Riles</t>
        </is>
      </c>
      <c r="C53" s="66" t="inlineStr">
        <is>
          <t>Santiago</t>
        </is>
      </c>
      <c r="D53" s="66" t="inlineStr">
        <is>
          <t>contacto@aguaquim.cl</t>
        </is>
      </c>
      <c r="E53" s="66" t="inlineStr">
        <is>
          <t>(56) 9 8409 2768</t>
        </is>
      </c>
      <c r="F53" s="66" t="n"/>
      <c r="G53" s="66" t="n"/>
      <c r="H53" s="66" t="n"/>
      <c r="I53" s="66" t="inlineStr">
        <is>
          <t>96.938.510-4</t>
        </is>
      </c>
      <c r="J53" s="66" t="n"/>
      <c r="K53" s="66" t="inlineStr">
        <is>
          <t>Ventas: MEDIANA 2 (50.000 - 100.000 UF) | Empleados: 13</t>
        </is>
      </c>
      <c r="L53" s="61" t="n"/>
      <c r="M53" s="61" t="n"/>
      <c r="N53" s="61" t="n"/>
      <c r="O53" s="61" t="n"/>
      <c r="P53" s="61" t="n"/>
      <c r="Q53" s="62" t="n"/>
      <c r="R53" s="61" t="n"/>
    </row>
    <row r="54" ht="15.75" customHeight="1" s="38">
      <c r="A54" s="66" t="inlineStr">
        <is>
          <t>Aguas Sipra</t>
        </is>
      </c>
      <c r="B54" s="66" t="inlineStr">
        <is>
          <t>Plantas para Tratamiento de Agua</t>
        </is>
      </c>
      <c r="C54" s="66" t="inlineStr">
        <is>
          <t>Santiago</t>
        </is>
      </c>
      <c r="D54" s="66" t="inlineStr">
        <is>
          <t>contacto@aguassipra.cl</t>
        </is>
      </c>
      <c r="E54" s="66" t="inlineStr">
        <is>
          <t>(56) 9 4041 2683</t>
        </is>
      </c>
      <c r="F54" s="66" t="n"/>
      <c r="G54" s="66" t="n"/>
      <c r="H54" s="66" t="n"/>
      <c r="I54" s="66" t="inlineStr">
        <is>
          <t>77.561.380-7</t>
        </is>
      </c>
      <c r="J54" s="66" t="n"/>
      <c r="K54" s="66" t="inlineStr">
        <is>
          <t>Ventas: PEQUEÑA 1 (2.400 - 5.000 UF) | Empleados: 1</t>
        </is>
      </c>
      <c r="L54" s="61" t="n"/>
      <c r="M54" s="61" t="n"/>
      <c r="N54" s="61" t="n"/>
      <c r="O54" s="61" t="n"/>
      <c r="P54" s="61" t="n"/>
      <c r="Q54" s="62" t="n"/>
      <c r="R54" s="61" t="n"/>
    </row>
    <row r="55" ht="15.75" customHeight="1" s="38">
      <c r="A55" s="66" t="inlineStr">
        <is>
          <t>Aguas y Riles S.A.</t>
        </is>
      </c>
      <c r="B55" s="66" t="inlineStr">
        <is>
          <t>Plantas para Tratamiento de Agua, Proyectos para Desalinización, Sistemas para Tratamiento de Aguas Industriales y Residuales</t>
        </is>
      </c>
      <c r="C55" s="66" t="inlineStr">
        <is>
          <t>Santiago</t>
        </is>
      </c>
      <c r="D55" s="66" t="inlineStr">
        <is>
          <t>info@almarwaterservices.com</t>
        </is>
      </c>
      <c r="E55" s="66" t="inlineStr">
        <is>
          <t>(56) 2 6465 5395</t>
        </is>
      </c>
      <c r="F55" s="66" t="n"/>
      <c r="G55" s="66" t="n"/>
      <c r="H55" s="66" t="n"/>
      <c r="I55" s="66" t="inlineStr">
        <is>
          <t>96.954.690-6</t>
        </is>
      </c>
      <c r="J55" s="66" t="n"/>
      <c r="K55" s="66" t="inlineStr">
        <is>
          <t>Ventas: GRANDE (Estimado por Empleados) | Empleados: 836</t>
        </is>
      </c>
      <c r="L55" s="61" t="n"/>
      <c r="M55" s="61" t="n"/>
      <c r="N55" s="61" t="n"/>
      <c r="O55" s="61" t="n"/>
      <c r="P55" s="61" t="n"/>
      <c r="Q55" s="62" t="n"/>
      <c r="R55" s="61" t="n"/>
    </row>
    <row r="56" ht="15.75" customHeight="1" s="38">
      <c r="A56" s="59" t="inlineStr">
        <is>
          <t>Aguasin SpA</t>
        </is>
      </c>
      <c r="B56" s="59" t="inlineStr">
        <is>
          <t>Sistemas para Purificación de Agua, Tratamiento de Aguas</t>
        </is>
      </c>
      <c r="C56" s="59" t="inlineStr">
        <is>
          <t>Santiago</t>
        </is>
      </c>
      <c r="D56" s="59" t="inlineStr">
        <is>
          <t>aguasin@aguasin.com</t>
        </is>
      </c>
      <c r="E56" s="59" t="inlineStr">
        <is>
          <t>(56) 2 2270 9500</t>
        </is>
      </c>
      <c r="F56" s="59" t="inlineStr">
        <is>
          <t>Richard Correa (Gerente Admin (IT Resp))</t>
        </is>
      </c>
      <c r="G56" s="59" t="inlineStr">
        <is>
          <t>rcorrea@aguasin.com</t>
        </is>
      </c>
      <c r="H56" s="59" t="n"/>
      <c r="I56" s="59" t="inlineStr">
        <is>
          <t>76.377.649-2</t>
        </is>
      </c>
      <c r="J56" s="59" t="inlineStr">
        <is>
          <t>Mantención Telemetría Plantas PW</t>
        </is>
      </c>
      <c r="K56" s="59" t="inlineStr">
        <is>
          <t>Ventas: GRANDE 4 (Mas de 1.000.000 UF) | Empleados: 174</t>
        </is>
      </c>
      <c r="L56" s="61" t="n"/>
      <c r="M56" s="61" t="n"/>
      <c r="N56" s="61" t="n"/>
      <c r="O56" s="61" t="n"/>
      <c r="P56" s="61" t="n"/>
      <c r="Q56" s="62" t="n"/>
      <c r="R56" s="61" t="n"/>
    </row>
    <row r="57" ht="15.75" customHeight="1" s="38">
      <c r="A57" s="59" t="inlineStr">
        <is>
          <t>Agunsa, Agencias Universales S.A.</t>
        </is>
      </c>
      <c r="B57" s="59" t="inlineStr">
        <is>
          <t>Agencias de Carga, Almacenamiento de Carga, Transporte de Minerales</t>
        </is>
      </c>
      <c r="C57" s="59" t="inlineStr">
        <is>
          <t>Santiago</t>
        </is>
      </c>
      <c r="D57" s="59" t="inlineStr">
        <is>
          <t>mineria@agunsa.com</t>
        </is>
      </c>
      <c r="E57" s="59" t="inlineStr">
        <is>
          <t>(56) 2 2460 2700</t>
        </is>
      </c>
      <c r="F57" s="59" t="inlineStr">
        <is>
          <t>Carlos Ramírez (CTO Corporativo)</t>
        </is>
      </c>
      <c r="G57" s="59" t="n"/>
      <c r="H57" s="59" t="n"/>
      <c r="I57" s="59" t="inlineStr">
        <is>
          <t>96.566.940-K</t>
        </is>
      </c>
      <c r="J57" s="59" t="inlineStr">
        <is>
          <t>Estrategia Global Innovación Digital</t>
        </is>
      </c>
      <c r="K57" s="59" t="inlineStr">
        <is>
          <t>Ventas: GRANDE (Estimado por Empleados) | Empleados: 796</t>
        </is>
      </c>
      <c r="L57" s="61" t="n"/>
      <c r="M57" s="61" t="n"/>
      <c r="N57" s="61" t="n"/>
      <c r="O57" s="61" t="n"/>
      <c r="P57" s="61" t="n"/>
      <c r="Q57" s="62" t="n"/>
      <c r="R57" s="61" t="n"/>
    </row>
    <row r="58" ht="15.75" customHeight="1" s="38">
      <c r="A58" s="66" t="inlineStr">
        <is>
          <t>AHK-Asmin</t>
        </is>
      </c>
      <c r="B58" s="66" t="inlineStr">
        <is>
          <t>Consultoría en Metalurgia</t>
        </is>
      </c>
      <c r="C58" s="66" t="inlineStr">
        <is>
          <t>Santiago</t>
        </is>
      </c>
      <c r="D58" s="66" t="inlineStr">
        <is>
          <t>propuestas@ahkgroup.com</t>
        </is>
      </c>
      <c r="E58" s="66" t="inlineStr">
        <is>
          <t>(56) 2 2949 3600</t>
        </is>
      </c>
      <c r="F58" s="66" t="n"/>
      <c r="G58" s="66" t="n"/>
      <c r="H58" s="66" t="n"/>
      <c r="I58" s="66" t="inlineStr">
        <is>
          <t>77.927.460-8</t>
        </is>
      </c>
      <c r="J58" s="66" t="n"/>
      <c r="K58" s="66" t="inlineStr">
        <is>
          <t>Ventas: GRANDE 3 (600.000 - 1.000.000 UF) | Empleados: 297</t>
        </is>
      </c>
      <c r="L58" s="61" t="n"/>
      <c r="M58" s="61" t="n"/>
      <c r="N58" s="61" t="n"/>
      <c r="O58" s="61" t="n"/>
      <c r="P58" s="61" t="n"/>
      <c r="Q58" s="62" t="n"/>
      <c r="R58" s="61" t="n"/>
    </row>
    <row r="59" ht="15.75" customHeight="1" s="38">
      <c r="A59" s="66" t="inlineStr">
        <is>
          <t>AIA, Asociación de Industriales de Antofagasta</t>
        </is>
      </c>
      <c r="B59" s="66" t="inlineStr">
        <is>
          <t>Proveedor Destacado, Asociación de Industriales de Antofagasta, Plataforma para Selección y Monitores de Proveedores de la Minería, Preselección de Proveedores</t>
        </is>
      </c>
      <c r="C59" s="66" t="inlineStr">
        <is>
          <t>Antofagasta</t>
        </is>
      </c>
      <c r="D59" s="66" t="inlineStr">
        <is>
          <t>secretaria@aia.cl</t>
        </is>
      </c>
      <c r="E59" s="66" t="inlineStr">
        <is>
          <t>(56) 55 245 4300</t>
        </is>
      </c>
      <c r="F59" s="66" t="n"/>
      <c r="G59" s="66" t="n"/>
      <c r="H59" s="66" t="inlineStr">
        <is>
          <t>http://www.aia.cl</t>
        </is>
      </c>
      <c r="I59" s="66" t="inlineStr">
        <is>
          <t>70.372.500-7</t>
        </is>
      </c>
      <c r="J59" s="66" t="n"/>
      <c r="K59" s="66" t="inlineStr">
        <is>
          <t>Ventas: GRANDE 3 (600.000 - 1.000.000 UF) | Empleados: 83</t>
        </is>
      </c>
      <c r="L59" s="61" t="n"/>
      <c r="M59" s="61" t="n"/>
      <c r="N59" s="61" t="n"/>
      <c r="O59" s="61" t="n"/>
      <c r="P59" s="61" t="n"/>
      <c r="Q59" s="62" t="n"/>
      <c r="R59" s="61" t="n"/>
    </row>
    <row r="60" ht="15.75" customHeight="1" s="38">
      <c r="A60" s="66" t="inlineStr">
        <is>
          <t>Aiko Logic SpA</t>
        </is>
      </c>
      <c r="B60" s="66" t="inlineStr">
        <is>
          <t>Tecnología para Optimizar el Rendimiento de Combustible en Vehículos Mineros</t>
        </is>
      </c>
      <c r="C60" s="66" t="inlineStr">
        <is>
          <t>Santiago</t>
        </is>
      </c>
      <c r="D60" s="66" t="inlineStr">
        <is>
          <t>contacto@aikologic.com</t>
        </is>
      </c>
      <c r="E60" s="66" t="inlineStr">
        <is>
          <t>(56) 2 2951 5102</t>
        </is>
      </c>
      <c r="F60" s="66" t="n"/>
      <c r="G60" s="66" t="n"/>
      <c r="H60" s="66" t="n"/>
      <c r="I60" s="66" t="inlineStr">
        <is>
          <t>76.201.941-8</t>
        </is>
      </c>
      <c r="J60" s="66" t="n"/>
      <c r="K60" s="66" t="inlineStr">
        <is>
          <t>Ventas: MEDIANA 2 (50.000 - 100.000 UF) | Empleados: 45</t>
        </is>
      </c>
      <c r="L60" s="61" t="n"/>
      <c r="M60" s="61" t="n"/>
      <c r="N60" s="61" t="n"/>
      <c r="O60" s="61" t="n"/>
      <c r="P60" s="61" t="n"/>
      <c r="Q60" s="62" t="n"/>
      <c r="R60" s="61" t="n"/>
    </row>
    <row r="61" ht="15.75" customHeight="1" s="38">
      <c r="A61" s="66" t="inlineStr">
        <is>
          <t>Aimtec Ltda.</t>
        </is>
      </c>
      <c r="B61" s="66" t="inlineStr">
        <is>
          <t>Cables de Acero, Equipos para Izaje</t>
        </is>
      </c>
      <c r="C61" s="66" t="inlineStr">
        <is>
          <t>Santiago</t>
        </is>
      </c>
      <c r="D61" s="66" t="inlineStr">
        <is>
          <t>info@aimtec.cl</t>
        </is>
      </c>
      <c r="E61" s="66" t="inlineStr">
        <is>
          <t>(56) 2 2635 4048</t>
        </is>
      </c>
      <c r="F61" s="66" t="n"/>
      <c r="G61" s="66" t="n"/>
      <c r="H61" s="66" t="n"/>
      <c r="I61" s="66" t="inlineStr">
        <is>
          <t>78.103.880-6</t>
        </is>
      </c>
      <c r="J61" s="66" t="n"/>
      <c r="K61" s="66" t="inlineStr">
        <is>
          <t>Ventas: GRANDE 1 (100.000 - 200.000 UF) | Empleados: 40</t>
        </is>
      </c>
      <c r="L61" s="61" t="n"/>
      <c r="M61" s="61" t="n"/>
      <c r="N61" s="61" t="n"/>
      <c r="O61" s="61" t="n"/>
      <c r="P61" s="61" t="n"/>
      <c r="Q61" s="62" t="n"/>
      <c r="R61" s="61" t="n"/>
    </row>
    <row r="62" ht="15.75" customHeight="1" s="38">
      <c r="A62" s="66" t="inlineStr">
        <is>
          <t>Air Products /Indura S.A.</t>
        </is>
      </c>
      <c r="B62" s="66" t="inlineStr">
        <is>
          <t>Plantas para Gases Industriales, Soldaduras Especiales</t>
        </is>
      </c>
      <c r="C62" s="66" t="inlineStr">
        <is>
          <t>Santiago</t>
        </is>
      </c>
      <c r="D62" s="66" t="inlineStr">
        <is>
          <t>infocl@airproducts.com</t>
        </is>
      </c>
      <c r="E62" s="66" t="inlineStr">
        <is>
          <t>(56) 2 2530 3000</t>
        </is>
      </c>
      <c r="F62" s="66" t="n"/>
      <c r="G62" s="66" t="n"/>
      <c r="H62" s="66" t="n"/>
      <c r="I62" s="66" t="inlineStr">
        <is>
          <t>76.150.343-K</t>
        </is>
      </c>
      <c r="J62" s="66" t="n"/>
      <c r="K62" s="66" t="inlineStr">
        <is>
          <t>Ventas: GRANDE (Estimado por Empleados) | Empleados: 662</t>
        </is>
      </c>
      <c r="L62" s="61" t="n"/>
      <c r="M62" s="61" t="n"/>
      <c r="N62" s="61" t="n"/>
      <c r="O62" s="61" t="n"/>
      <c r="P62" s="61" t="n"/>
      <c r="Q62" s="62" t="n"/>
      <c r="R62" s="61" t="n"/>
    </row>
    <row r="63" ht="15.75" customHeight="1" s="38">
      <c r="A63" s="66" t="inlineStr">
        <is>
          <t>Airolite S.A.</t>
        </is>
      </c>
      <c r="B63" s="66" t="inlineStr">
        <is>
          <t>Aire Acondicionado, Climatización, Proyectos de Ventilación</t>
        </is>
      </c>
      <c r="C63" s="66" t="inlineStr">
        <is>
          <t>Santiago</t>
        </is>
      </c>
      <c r="D63" s="66" t="inlineStr">
        <is>
          <t>central@airolite.cl</t>
        </is>
      </c>
      <c r="E63" s="66" t="inlineStr">
        <is>
          <t>(56) 2 2345 5200</t>
        </is>
      </c>
      <c r="F63" s="66" t="n"/>
      <c r="G63" s="66" t="n"/>
      <c r="H63" s="66" t="n"/>
      <c r="I63" s="66" t="inlineStr">
        <is>
          <t>92.681.000-6</t>
        </is>
      </c>
      <c r="J63" s="66" t="n"/>
      <c r="K63" s="66" t="inlineStr">
        <is>
          <t>Ventas: GRANDE 3 (600.000 - 1.000.000 UF) | Empleados: 66</t>
        </is>
      </c>
      <c r="L63" s="61" t="n"/>
      <c r="M63" s="61" t="n"/>
      <c r="N63" s="61" t="n"/>
      <c r="O63" s="61" t="n"/>
      <c r="P63" s="61" t="n"/>
      <c r="Q63" s="62" t="n"/>
      <c r="R63" s="61" t="n"/>
    </row>
    <row r="64" ht="15.75" customHeight="1" s="38">
      <c r="A64" s="66" t="inlineStr">
        <is>
          <t>Aislantes Nacionales SpA</t>
        </is>
      </c>
      <c r="B64" s="66" t="inlineStr">
        <is>
          <t>Adhesivos para Cerámicas</t>
        </is>
      </c>
      <c r="C64" s="66" t="inlineStr">
        <is>
          <t>Santiago</t>
        </is>
      </c>
      <c r="D64" s="66" t="inlineStr">
        <is>
          <t>infono@bekron.cl</t>
        </is>
      </c>
      <c r="E64" s="66" t="inlineStr">
        <is>
          <t>(56) 2 2540 3000</t>
        </is>
      </c>
      <c r="F64" s="66" t="n"/>
      <c r="G64" s="66" t="n"/>
      <c r="H64" s="66" t="n"/>
      <c r="I64" s="66" t="inlineStr">
        <is>
          <t>76.350.871-4</t>
        </is>
      </c>
      <c r="J64" s="66" t="n"/>
      <c r="K64" s="66" t="inlineStr">
        <is>
          <t>Ventas: MEDIANA (Estimado por Empleados) | Empleados: 190</t>
        </is>
      </c>
      <c r="L64" s="61" t="n"/>
      <c r="M64" s="61" t="n"/>
      <c r="N64" s="61" t="n"/>
      <c r="O64" s="61" t="n"/>
      <c r="P64" s="61" t="n"/>
      <c r="Q64" s="62" t="n"/>
      <c r="R64" s="61" t="n"/>
    </row>
    <row r="65" ht="15.75" customHeight="1" s="38">
      <c r="A65" s="66" t="inlineStr">
        <is>
          <t>Aislantes y Envases Ltda.</t>
        </is>
      </c>
      <c r="B65" s="66" t="inlineStr">
        <is>
          <t>Aislantes Térmicos</t>
        </is>
      </c>
      <c r="C65" s="66" t="inlineStr">
        <is>
          <t>Santiago</t>
        </is>
      </c>
      <c r="D65" s="66" t="inlineStr">
        <is>
          <t>contacto@aislantesyenvases.cl</t>
        </is>
      </c>
      <c r="E65" s="66" t="inlineStr">
        <is>
          <t>(56) 2255 24290</t>
        </is>
      </c>
      <c r="F65" s="66" t="n"/>
      <c r="G65" s="66" t="n"/>
      <c r="H65" s="66" t="n"/>
      <c r="I65" s="66" t="inlineStr">
        <is>
          <t>77.546.260-4</t>
        </is>
      </c>
      <c r="J65" s="66" t="n"/>
      <c r="K65" s="66" t="inlineStr">
        <is>
          <t>Ventas: PEQUEÑA 3 (10.000 - 25.000 UF) | Empleados: 7</t>
        </is>
      </c>
      <c r="L65" s="61" t="n"/>
      <c r="M65" s="61" t="n"/>
      <c r="N65" s="61" t="n"/>
      <c r="O65" s="61" t="n"/>
      <c r="P65" s="61" t="n"/>
      <c r="Q65" s="62" t="n"/>
      <c r="R65" s="61" t="n"/>
    </row>
    <row r="66" ht="15.75" customHeight="1" s="38">
      <c r="A66" s="66" t="inlineStr">
        <is>
          <t>Aislapol S.A.</t>
        </is>
      </c>
      <c r="B66" s="66" t="inlineStr">
        <is>
          <t>Aislantes Térmicos, Envases de Plástico</t>
        </is>
      </c>
      <c r="C66" s="66" t="inlineStr">
        <is>
          <t>Santiago</t>
        </is>
      </c>
      <c r="D66" s="66" t="inlineStr">
        <is>
          <t>aislapol@styropek.com</t>
        </is>
      </c>
      <c r="E66" s="66" t="inlineStr">
        <is>
          <t>(56) 2 2670 0105</t>
        </is>
      </c>
      <c r="F66" s="66" t="inlineStr">
        <is>
          <t>Gerente de TI / CIO (Director de Tecnología)</t>
        </is>
      </c>
      <c r="G66" s="66" t="n"/>
      <c r="H66" s="66" t="n"/>
      <c r="I66" s="66" t="inlineStr">
        <is>
          <t>76.412.645-9</t>
        </is>
      </c>
      <c r="J66" s="66" t="n"/>
      <c r="K66" s="66" t="inlineStr">
        <is>
          <t>Ventas: GRANDE 4 (Mas de 1.000.000 UF) | Empleados: 358</t>
        </is>
      </c>
      <c r="L66" s="61" t="n"/>
      <c r="M66" s="61" t="n"/>
      <c r="N66" s="61" t="n"/>
      <c r="O66" s="61" t="n"/>
      <c r="P66" s="61" t="n"/>
      <c r="Q66" s="62" t="n"/>
      <c r="R66" s="61" t="n"/>
    </row>
    <row r="67" ht="15.75" customHeight="1" s="38">
      <c r="A67" s="66" t="inlineStr">
        <is>
          <t>Aitec S.A.</t>
        </is>
      </c>
      <c r="B67" s="66" t="inlineStr">
        <is>
          <t>Aspersores para Lixiviación</t>
        </is>
      </c>
      <c r="C67" s="66" t="inlineStr">
        <is>
          <t>Santiago</t>
        </is>
      </c>
      <c r="D67" s="66" t="inlineStr">
        <is>
          <t>ventas@aitec.cl</t>
        </is>
      </c>
      <c r="E67" s="66" t="inlineStr">
        <is>
          <t>(56) 2 2204 9000</t>
        </is>
      </c>
      <c r="F67" s="66" t="n"/>
      <c r="G67" s="66" t="n"/>
      <c r="H67" s="66" t="n"/>
      <c r="I67" s="66" t="inlineStr">
        <is>
          <t>96.931.710-9</t>
        </is>
      </c>
      <c r="J67" s="66" t="n"/>
      <c r="K67" s="66" t="inlineStr">
        <is>
          <t>Ventas: GRANDE 2 (200.000 - 600.000 UF) | Empleados: 46</t>
        </is>
      </c>
      <c r="L67" s="61" t="n"/>
      <c r="M67" s="61" t="n"/>
      <c r="N67" s="61" t="n"/>
      <c r="O67" s="61" t="n"/>
      <c r="P67" s="61" t="n"/>
      <c r="Q67" s="62" t="n"/>
      <c r="R67" s="61" t="n"/>
    </row>
    <row r="68" ht="15.75" customHeight="1" s="38">
      <c r="A68" s="66" t="inlineStr">
        <is>
          <t>Ajax Ltda.</t>
        </is>
      </c>
      <c r="B68" s="66" t="inlineStr">
        <is>
          <t>Seguridad Industrial y Minera</t>
        </is>
      </c>
      <c r="C68" s="66" t="inlineStr">
        <is>
          <t>Santiago</t>
        </is>
      </c>
      <c r="D68" s="66" t="inlineStr">
        <is>
          <t>contacto@ajax.cl</t>
        </is>
      </c>
      <c r="E68" s="66" t="inlineStr">
        <is>
          <t>(56) 2 2244 1141</t>
        </is>
      </c>
      <c r="F68" s="66" t="n"/>
      <c r="G68" s="66" t="n"/>
      <c r="H68" s="66" t="n"/>
      <c r="I68" s="66" t="inlineStr">
        <is>
          <t>85.141.600-5</t>
        </is>
      </c>
      <c r="J68" s="66" t="n"/>
      <c r="K68" s="66" t="inlineStr">
        <is>
          <t>Ventas: GRANDE 1 (100.000 - 200.000 UF) | Empleados: 17</t>
        </is>
      </c>
      <c r="L68" s="61" t="n"/>
      <c r="M68" s="61" t="n"/>
      <c r="N68" s="61" t="n"/>
      <c r="O68" s="61" t="n"/>
      <c r="P68" s="61" t="n"/>
      <c r="Q68" s="62" t="n"/>
      <c r="R68" s="61" t="n"/>
    </row>
    <row r="69" ht="15.75" customHeight="1" s="38">
      <c r="A69" s="66" t="inlineStr">
        <is>
          <t>AKD International (Chile) S.A.</t>
        </is>
      </c>
      <c r="B69" s="66" t="inlineStr">
        <is>
          <t>Servicios de Perforación</t>
        </is>
      </c>
      <c r="C69" s="66" t="inlineStr">
        <is>
          <t>Antofagasta</t>
        </is>
      </c>
      <c r="D69" s="66" t="inlineStr">
        <is>
          <t>global@akdint.com</t>
        </is>
      </c>
      <c r="E69" s="66" t="inlineStr">
        <is>
          <t>(56) 55 2423245</t>
        </is>
      </c>
      <c r="F69" s="66" t="n"/>
      <c r="G69" s="66" t="n"/>
      <c r="H69" s="66" t="n"/>
      <c r="I69" s="66" t="inlineStr">
        <is>
          <t>76206541-K</t>
        </is>
      </c>
      <c r="J69" s="66" t="n"/>
      <c r="K69" s="66" t="inlineStr">
        <is>
          <t>Ventas: GRANDE 3 (600.000 - 1.000.000 UF) | Empleados: 394</t>
        </is>
      </c>
      <c r="L69" s="61" t="n"/>
      <c r="M69" s="61" t="n"/>
      <c r="N69" s="61" t="n"/>
      <c r="O69" s="61" t="n"/>
      <c r="P69" s="61" t="n"/>
      <c r="Q69" s="62" t="n"/>
      <c r="R69" s="61" t="n"/>
    </row>
    <row r="70" ht="15.75" customHeight="1" s="38">
      <c r="A70" s="66" t="inlineStr">
        <is>
          <t>Alen Walung S.A.</t>
        </is>
      </c>
      <c r="B70" s="66" t="inlineStr">
        <is>
          <t>Energías Renovables</t>
        </is>
      </c>
      <c r="C70" s="66" t="inlineStr">
        <is>
          <t>Santiago</t>
        </is>
      </c>
      <c r="D70" s="66" t="inlineStr">
        <is>
          <t>contacto@alenwalung.cl</t>
        </is>
      </c>
      <c r="E70" s="66" t="inlineStr">
        <is>
          <t>(56) 2 2223 2346</t>
        </is>
      </c>
      <c r="F70" s="66" t="n"/>
      <c r="G70" s="66" t="n"/>
      <c r="H70" s="66" t="n"/>
      <c r="I70" s="66" t="inlineStr">
        <is>
          <t>76.148.678-0</t>
        </is>
      </c>
      <c r="J70" s="66" t="n"/>
      <c r="K70" s="66" t="inlineStr">
        <is>
          <t>Ventas: PEQUEÑA 1 (2.400 - 5.000 UF) | Empleados: 0</t>
        </is>
      </c>
      <c r="L70" s="61" t="n"/>
      <c r="M70" s="61" t="n"/>
      <c r="N70" s="61" t="n"/>
      <c r="O70" s="61" t="n"/>
      <c r="P70" s="61" t="n"/>
      <c r="Q70" s="62" t="n"/>
      <c r="R70" s="61" t="n"/>
    </row>
    <row r="71" ht="15.75" customHeight="1" s="38">
      <c r="A71" s="59" t="inlineStr">
        <is>
          <t>Alessandri &amp; Cía. Ltda.</t>
        </is>
      </c>
      <c r="B71" s="59" t="inlineStr">
        <is>
          <t>Asesorías Jurídicas en Minería, Servicios Legales</t>
        </is>
      </c>
      <c r="C71" s="59" t="inlineStr">
        <is>
          <t>Santiago</t>
        </is>
      </c>
      <c r="D71" s="59" t="inlineStr">
        <is>
          <t>alessandri@alessandri.cl</t>
        </is>
      </c>
      <c r="E71" s="59" t="inlineStr">
        <is>
          <t>(56) 2 2787 6000</t>
        </is>
      </c>
      <c r="F71" s="59" t="inlineStr">
        <is>
          <t>Francisco Javier Fernández M. (Subgerente Ops)</t>
        </is>
      </c>
      <c r="G71" s="59" t="n"/>
      <c r="H71" s="59" t="n"/>
      <c r="I71" s="59" t="inlineStr">
        <is>
          <t>79.784.430-6</t>
        </is>
      </c>
      <c r="J71" s="59" t="inlineStr">
        <is>
          <t>Implementación LegalTech &amp; Ciberseguridad</t>
        </is>
      </c>
      <c r="K71" s="59" t="inlineStr">
        <is>
          <t>Ventas: GRANDE 3 (600.000 - 1.000.000 UF) | Empleados: 101</t>
        </is>
      </c>
      <c r="L71" s="61" t="n"/>
      <c r="M71" s="61" t="n"/>
      <c r="N71" s="61" t="n"/>
      <c r="O71" s="61" t="n"/>
      <c r="P71" s="61" t="n"/>
      <c r="Q71" s="62" t="n"/>
      <c r="R71" s="61" t="n"/>
    </row>
    <row r="72" ht="15.75" customHeight="1" s="38">
      <c r="A72" s="66" t="inlineStr">
        <is>
          <t>Alfa Laval SpA</t>
        </is>
      </c>
      <c r="B72" s="66" t="inlineStr">
        <is>
          <t>Decantadores Centrífugos</t>
        </is>
      </c>
      <c r="C72" s="66" t="inlineStr">
        <is>
          <t>Santiago</t>
        </is>
      </c>
      <c r="D72" s="66" t="inlineStr">
        <is>
          <t>alfa.consulta@alfalaval.com</t>
        </is>
      </c>
      <c r="E72" s="66" t="inlineStr">
        <is>
          <t>(56) 2 2353 0300</t>
        </is>
      </c>
      <c r="F72" s="66" t="n"/>
      <c r="G72" s="66" t="n"/>
      <c r="H72" s="66" t="n"/>
      <c r="I72" s="66" t="inlineStr">
        <is>
          <t>92.231.000-9</t>
        </is>
      </c>
      <c r="J72" s="66" t="n"/>
      <c r="K72" s="66" t="inlineStr">
        <is>
          <t>Ventas: GRANDE 3 (600.000 - 1.000.000 UF) | Empleados: 40</t>
        </is>
      </c>
      <c r="L72" s="61" t="n"/>
      <c r="M72" s="61" t="n"/>
      <c r="N72" s="61" t="n"/>
      <c r="O72" s="61" t="n"/>
      <c r="P72" s="61" t="n"/>
      <c r="Q72" s="62" t="n"/>
      <c r="R72" s="61" t="n"/>
    </row>
    <row r="73" ht="15.75" customHeight="1" s="38">
      <c r="A73" s="59" t="inlineStr">
        <is>
          <t>Alfa People Chile SpA</t>
        </is>
      </c>
      <c r="B73" s="59" t="inlineStr">
        <is>
          <t>Diseño de Sistemas ERP</t>
        </is>
      </c>
      <c r="C73" s="59" t="inlineStr">
        <is>
          <t>Santiago</t>
        </is>
      </c>
      <c r="D73" s="59" t="inlineStr">
        <is>
          <t>info.cl@alfapeople.com</t>
        </is>
      </c>
      <c r="E73" s="59" t="inlineStr">
        <is>
          <t>(56) 2 2751 9000</t>
        </is>
      </c>
      <c r="F73" s="59" t="inlineStr">
        <is>
          <t>Carlos Amaro (CEO)</t>
        </is>
      </c>
      <c r="G73" s="59" t="n"/>
      <c r="H73" s="59" t="n"/>
      <c r="I73" s="59" t="inlineStr">
        <is>
          <t>76.360.577-9</t>
        </is>
      </c>
      <c r="J73" s="59" t="inlineStr">
        <is>
          <t>Proyectos Microsoft Dynamics 365 Cloud</t>
        </is>
      </c>
      <c r="K73" s="59" t="inlineStr">
        <is>
          <t>Ventas: GRANDE 3 (600.000 - 1.000.000 UF) | Empleados: 121</t>
        </is>
      </c>
      <c r="L73" s="61" t="n"/>
      <c r="M73" s="61" t="n"/>
      <c r="N73" s="61" t="n"/>
      <c r="O73" s="61" t="n"/>
      <c r="P73" s="61" t="n"/>
      <c r="Q73" s="62" t="n"/>
      <c r="R73" s="61" t="n"/>
    </row>
    <row r="74" ht="15.75" customHeight="1" s="38">
      <c r="A74" s="66" t="inlineStr">
        <is>
          <t>Alfred H. Knight Int. Ltda.</t>
        </is>
      </c>
      <c r="B74" s="66" t="inlineStr">
        <is>
          <t>Análisis Químico, Control de Calidad</t>
        </is>
      </c>
      <c r="C74" s="66" t="inlineStr">
        <is>
          <t>Santiago</t>
        </is>
      </c>
      <c r="D74" s="66" t="inlineStr">
        <is>
          <t>enquiries@ahkgroup.com</t>
        </is>
      </c>
      <c r="E74" s="66" t="inlineStr">
        <is>
          <t>(56) 2 2252 0900</t>
        </is>
      </c>
      <c r="F74" s="66" t="n"/>
      <c r="G74" s="66" t="n"/>
      <c r="H74" s="66" t="n"/>
      <c r="I74" s="66" t="inlineStr">
        <is>
          <t>78.182.740-1</t>
        </is>
      </c>
      <c r="J74" s="66" t="n"/>
      <c r="K74" s="66" t="inlineStr">
        <is>
          <t>Ventas: GRANDE 3 (600.000 - 1.000.000 UF) | Empleados: 663</t>
        </is>
      </c>
      <c r="L74" s="61" t="n"/>
      <c r="M74" s="61" t="n"/>
      <c r="N74" s="61" t="n"/>
      <c r="O74" s="61" t="n"/>
      <c r="P74" s="61" t="n"/>
      <c r="Q74" s="62" t="n"/>
      <c r="R74" s="61" t="n"/>
    </row>
    <row r="75" ht="15.75" customHeight="1" s="38">
      <c r="A75" s="66" t="inlineStr">
        <is>
          <t>Alicopsa S.A.</t>
        </is>
      </c>
      <c r="B75" s="66" t="inlineStr">
        <is>
          <t>Servicios de Gastronomía</t>
        </is>
      </c>
      <c r="C75" s="66" t="inlineStr">
        <is>
          <t>Santiago</t>
        </is>
      </c>
      <c r="D75" s="66" t="inlineStr">
        <is>
          <t>alicopsa@alicopsa.cl</t>
        </is>
      </c>
      <c r="E75" s="66" t="inlineStr">
        <is>
          <t>(56) 2 2873 0400</t>
        </is>
      </c>
      <c r="F75" s="66" t="n"/>
      <c r="G75" s="66" t="n"/>
      <c r="H75" s="66" t="n"/>
      <c r="I75" s="66" t="inlineStr">
        <is>
          <t>79.690.660-K</t>
        </is>
      </c>
      <c r="J75" s="66" t="n"/>
      <c r="K75" s="66" t="inlineStr">
        <is>
          <t>Ventas: GRANDE (Estimado por Empleados) | Empleados: 2827</t>
        </is>
      </c>
      <c r="L75" s="61" t="n"/>
      <c r="M75" s="61" t="n"/>
      <c r="N75" s="61" t="n"/>
      <c r="O75" s="61" t="n"/>
      <c r="P75" s="61" t="n"/>
      <c r="Q75" s="62" t="n"/>
      <c r="R75" s="61" t="n"/>
    </row>
    <row r="76" ht="15.75" customHeight="1" s="38">
      <c r="A76" s="59" t="inlineStr">
        <is>
          <t>Aliservice</t>
        </is>
      </c>
      <c r="B76" s="59" t="inlineStr">
        <is>
          <t>Alimentación Industrial</t>
        </is>
      </c>
      <c r="C76" s="59" t="inlineStr">
        <is>
          <t>Santiago</t>
        </is>
      </c>
      <c r="D76" s="59" t="inlineStr">
        <is>
          <t>comercial@aliservice.cl</t>
        </is>
      </c>
      <c r="E76" s="59" t="inlineStr">
        <is>
          <t>(56) 2 2913 5500</t>
        </is>
      </c>
      <c r="F76" s="59" t="inlineStr">
        <is>
          <t>Luis Alberto Santana (Gerente Adm y Finanzas)</t>
        </is>
      </c>
      <c r="G76" s="59" t="n"/>
      <c r="H76" s="59" t="n"/>
      <c r="I76" s="59" t="inlineStr">
        <is>
          <t>76437608-0</t>
        </is>
      </c>
      <c r="J76" s="59" t="inlineStr">
        <is>
          <t>Digitalización Cadena Suministro Alimentación</t>
        </is>
      </c>
      <c r="K76" s="59" t="inlineStr">
        <is>
          <t>Ventas: GRANDE 3 (600.000 - 1.000.000 UF) | Empleados: 1372</t>
        </is>
      </c>
      <c r="L76" s="61" t="n"/>
      <c r="M76" s="61" t="n"/>
      <c r="N76" s="61" t="n"/>
      <c r="O76" s="61" t="n"/>
      <c r="P76" s="61" t="n"/>
      <c r="Q76" s="62" t="n"/>
      <c r="R76" s="61" t="n"/>
    </row>
    <row r="77" ht="15.75" customHeight="1" s="38">
      <c r="A77" s="66" t="inlineStr">
        <is>
          <t>All In Marketing SpA</t>
        </is>
      </c>
      <c r="B77" s="66" t="inlineStr">
        <is>
          <t>Proveedor Destacado, Producción de Mobiliario Publicitario y Stands Modulares, Proyectos Especiales para Eventos y Retail, Soportes Gráficos</t>
        </is>
      </c>
      <c r="C77" s="66" t="inlineStr">
        <is>
          <t>Rancagua</t>
        </is>
      </c>
      <c r="D77" s="66" t="inlineStr">
        <is>
          <t>nicolas@allin.cl</t>
        </is>
      </c>
      <c r="E77" s="66" t="inlineStr">
        <is>
          <t>(56) 9 9499 5487</t>
        </is>
      </c>
      <c r="F77" s="66" t="n"/>
      <c r="G77" s="66" t="n"/>
      <c r="H77" s="66" t="inlineStr">
        <is>
          <t>http://www.allin.cl</t>
        </is>
      </c>
      <c r="I77" s="66" t="inlineStr">
        <is>
          <t>76.348.327-4</t>
        </is>
      </c>
      <c r="J77" s="66" t="n"/>
      <c r="K77" s="66" t="inlineStr">
        <is>
          <t>Ventas: MEDIANA 2 (50.000 - 100.000 UF) | Empleados: 16</t>
        </is>
      </c>
      <c r="L77" s="61" t="n"/>
      <c r="M77" s="61" t="n"/>
      <c r="N77" s="61" t="n"/>
      <c r="O77" s="61" t="n"/>
      <c r="P77" s="61" t="n"/>
      <c r="Q77" s="62" t="n"/>
      <c r="R77" s="61" t="n"/>
    </row>
    <row r="78" ht="15.75" customHeight="1" s="38">
      <c r="A78" s="66" t="inlineStr">
        <is>
          <t>All Machine Ltda.</t>
        </is>
      </c>
      <c r="B78" s="66" t="inlineStr">
        <is>
          <t>Reparación de Maquinaria para la Minería</t>
        </is>
      </c>
      <c r="C78" s="66" t="inlineStr">
        <is>
          <t>Iquique</t>
        </is>
      </c>
      <c r="D78" s="66" t="inlineStr">
        <is>
          <t>allmachine@allmachine.cl</t>
        </is>
      </c>
      <c r="E78" s="66" t="inlineStr">
        <is>
          <t>(56) 57 224 6000</t>
        </is>
      </c>
      <c r="F78" s="66" t="n"/>
      <c r="G78" s="66" t="n"/>
      <c r="H78" s="66" t="n"/>
      <c r="I78" s="66" t="inlineStr">
        <is>
          <t>77.496.440-1</t>
        </is>
      </c>
      <c r="J78" s="66" t="n"/>
      <c r="K78" s="66" t="inlineStr">
        <is>
          <t>Ventas: MEDIANA 2 (50.000 - 100.000 UF) | Empleados: 74</t>
        </is>
      </c>
      <c r="L78" s="61" t="n"/>
      <c r="M78" s="61" t="n"/>
      <c r="N78" s="61" t="n"/>
      <c r="O78" s="61" t="n"/>
      <c r="P78" s="61" t="n"/>
      <c r="Q78" s="62" t="n"/>
      <c r="R78" s="61" t="n"/>
    </row>
    <row r="79" ht="15.75" customHeight="1" s="38">
      <c r="A79" s="66" t="inlineStr">
        <is>
          <t>Allen Ltda.</t>
        </is>
      </c>
      <c r="B79" s="66" t="inlineStr">
        <is>
          <t>Aceros Inoxidables</t>
        </is>
      </c>
      <c r="C79" s="66" t="inlineStr">
        <is>
          <t>Santiago</t>
        </is>
      </c>
      <c r="D79" s="66" t="inlineStr">
        <is>
          <t>pedrohs@allen.cl</t>
        </is>
      </c>
      <c r="E79" s="66" t="inlineStr">
        <is>
          <t>(56) 2 2555 3918</t>
        </is>
      </c>
      <c r="F79" s="66" t="n"/>
      <c r="G79" s="66" t="n"/>
      <c r="H79" s="66" t="n"/>
      <c r="I79" s="66" t="inlineStr">
        <is>
          <t>78.769.930-8</t>
        </is>
      </c>
      <c r="J79" s="66" t="n"/>
      <c r="K79" s="66" t="inlineStr">
        <is>
          <t>Ventas: MEDIANA 2 (50.000 - 100.000 UF) | Empleados: 16</t>
        </is>
      </c>
      <c r="L79" s="61" t="n"/>
      <c r="M79" s="61" t="n"/>
      <c r="N79" s="61" t="n"/>
      <c r="O79" s="61" t="n"/>
      <c r="P79" s="61" t="n"/>
      <c r="Q79" s="62" t="n"/>
      <c r="R79" s="61" t="n"/>
    </row>
    <row r="80" ht="15.75" customHeight="1" s="38">
      <c r="A80" s="66" t="inlineStr">
        <is>
          <t>Allied Electronics</t>
        </is>
      </c>
      <c r="B80" s="66" t="inlineStr">
        <is>
          <t>Artículos Eléctricos, Artículos Electrónicos, Automatización</t>
        </is>
      </c>
      <c r="C80" s="66" t="inlineStr">
        <is>
          <t>Santiago</t>
        </is>
      </c>
      <c r="D80" s="66" t="inlineStr">
        <is>
          <t>ventas@rschile.cl</t>
        </is>
      </c>
      <c r="E80" s="66" t="inlineStr">
        <is>
          <t>(56) 2 2822 8000</t>
        </is>
      </c>
      <c r="F80" s="66" t="n"/>
      <c r="G80" s="66" t="n"/>
      <c r="H80" s="66" t="n"/>
      <c r="I80" s="66" t="inlineStr">
        <is>
          <t>78.912.510-4</t>
        </is>
      </c>
      <c r="J80" s="66" t="n"/>
      <c r="K80" s="66" t="inlineStr">
        <is>
          <t>Ventas: GRANDE 1 (100.000 - 200.000 UF) | Empleados: 18</t>
        </is>
      </c>
      <c r="L80" s="61" t="n"/>
      <c r="M80" s="61" t="n"/>
      <c r="N80" s="61" t="n"/>
      <c r="O80" s="61" t="n"/>
      <c r="P80" s="61" t="n"/>
      <c r="Q80" s="62" t="n"/>
      <c r="R80" s="61" t="n"/>
    </row>
    <row r="81" ht="15.75" customHeight="1" s="38">
      <c r="A81" s="66" t="inlineStr">
        <is>
          <t>Almarza S.A.</t>
        </is>
      </c>
      <c r="B81" s="66" t="inlineStr">
        <is>
          <t>Tubos de Acero</t>
        </is>
      </c>
      <c r="C81" s="66" t="inlineStr">
        <is>
          <t>Santiago</t>
        </is>
      </c>
      <c r="D81" s="66" t="inlineStr">
        <is>
          <t>ventas@almarza.cl</t>
        </is>
      </c>
      <c r="E81" s="66" t="inlineStr">
        <is>
          <t>(56) 2 2950 9000</t>
        </is>
      </c>
      <c r="F81" s="66" t="n"/>
      <c r="G81" s="66" t="n"/>
      <c r="H81" s="66" t="n"/>
      <c r="I81" s="66" t="inlineStr">
        <is>
          <t>76.375.265-8</t>
        </is>
      </c>
      <c r="J81" s="66" t="n"/>
      <c r="K81" s="66" t="inlineStr">
        <is>
          <t>Ventas: GRANDE 2 (200.000 - 600.000 UF) | Empleados: 73</t>
        </is>
      </c>
      <c r="L81" s="61" t="n"/>
      <c r="M81" s="61" t="n"/>
      <c r="N81" s="61" t="n"/>
      <c r="O81" s="61" t="n"/>
      <c r="P81" s="61" t="n"/>
      <c r="Q81" s="62" t="n"/>
      <c r="R81" s="61" t="n"/>
    </row>
    <row r="82" ht="15.75" customHeight="1" s="38">
      <c r="A82" s="66" t="inlineStr">
        <is>
          <t>ALS Inspection Chile</t>
        </is>
      </c>
      <c r="B82" s="66" t="inlineStr">
        <is>
          <t>Certificación de Equipos para Izaje</t>
        </is>
      </c>
      <c r="C82" s="66" t="inlineStr">
        <is>
          <t>Viña del Mar</t>
        </is>
      </c>
      <c r="D82" s="66" t="inlineStr">
        <is>
          <t>humberto.arroyo@alsglobal.com</t>
        </is>
      </c>
      <c r="E82" s="66" t="inlineStr">
        <is>
          <t>(56) 32 254 5500</t>
        </is>
      </c>
      <c r="F82" s="66" t="n"/>
      <c r="G82" s="66" t="n"/>
      <c r="H82" s="66" t="n"/>
      <c r="I82" s="66" t="inlineStr">
        <is>
          <t>76.416.643-4</t>
        </is>
      </c>
      <c r="J82" s="66" t="n"/>
      <c r="K82" s="66" t="inlineStr">
        <is>
          <t>Ventas: GRANDE 2 (200.000 - 600.000 UF) | Empleados: 302</t>
        </is>
      </c>
      <c r="L82" s="61" t="n"/>
      <c r="M82" s="61" t="n"/>
      <c r="N82" s="61" t="n"/>
      <c r="O82" s="61" t="n"/>
      <c r="P82" s="61" t="n"/>
      <c r="Q82" s="62" t="n"/>
      <c r="R82" s="61" t="n"/>
    </row>
    <row r="83" ht="15.75" customHeight="1" s="38">
      <c r="A83" s="66" t="inlineStr">
        <is>
          <t>Altamira Consultores Ltda.</t>
        </is>
      </c>
      <c r="B83" s="66" t="inlineStr">
        <is>
          <t>Salud Preventiva</t>
        </is>
      </c>
      <c r="C83" s="66" t="inlineStr">
        <is>
          <t>Copiapó</t>
        </is>
      </c>
      <c r="D83" s="66" t="inlineStr">
        <is>
          <t>ventas@altamiraltda.cl</t>
        </is>
      </c>
      <c r="E83" s="66" t="inlineStr">
        <is>
          <t>(56) 52 224 4593</t>
        </is>
      </c>
      <c r="F83" s="66" t="n"/>
      <c r="G83" s="66" t="n"/>
      <c r="H83" s="66" t="n"/>
      <c r="I83" s="66" t="inlineStr">
        <is>
          <t>76536526-0</t>
        </is>
      </c>
      <c r="J83" s="66" t="n"/>
      <c r="K83" s="66" t="inlineStr">
        <is>
          <t>Ventas: MICRO 2 (200 - 600 UF) | Empleados: 0</t>
        </is>
      </c>
      <c r="L83" s="61" t="n"/>
      <c r="M83" s="61" t="n"/>
      <c r="N83" s="61" t="n"/>
      <c r="O83" s="61" t="n"/>
      <c r="P83" s="61" t="n"/>
      <c r="Q83" s="62" t="n"/>
      <c r="R83" s="61" t="n"/>
    </row>
    <row r="84" ht="15.75" customHeight="1" s="38">
      <c r="A84" s="66" t="inlineStr">
        <is>
          <t>Altapro</t>
        </is>
      </c>
      <c r="B84" s="66" t="inlineStr">
        <is>
          <t>Artículos de Protección para Altas Temperaturas, Artículos para Protección Personal</t>
        </is>
      </c>
      <c r="C84" s="66" t="inlineStr">
        <is>
          <t>Santiago</t>
        </is>
      </c>
      <c r="D84" s="66" t="inlineStr">
        <is>
          <t>ventas@altapro.cl</t>
        </is>
      </c>
      <c r="E84" s="66" t="inlineStr">
        <is>
          <t>(56) 2 2753 3688</t>
        </is>
      </c>
      <c r="F84" s="66" t="n"/>
      <c r="G84" s="66" t="n"/>
      <c r="H84" s="66" t="n"/>
      <c r="I84" s="66" t="inlineStr">
        <is>
          <t>76.201.139-5</t>
        </is>
      </c>
      <c r="J84" s="66" t="n"/>
      <c r="K84" s="66" t="inlineStr">
        <is>
          <t>Ventas: MEDIANA 2 (50.000 - 100.000 UF) | Empleados: 8</t>
        </is>
      </c>
      <c r="L84" s="61" t="n"/>
      <c r="M84" s="61" t="n"/>
      <c r="N84" s="61" t="n"/>
      <c r="O84" s="61" t="n"/>
      <c r="P84" s="61" t="n"/>
      <c r="Q84" s="62" t="n"/>
      <c r="R84" s="61" t="n"/>
    </row>
    <row r="85" ht="15.75" customHeight="1" s="38">
      <c r="A85" s="66" t="inlineStr">
        <is>
          <t>Altec SpA</t>
        </is>
      </c>
      <c r="B85" s="66" t="inlineStr">
        <is>
          <t>Adhesivos y Selladores</t>
        </is>
      </c>
      <c r="C85" s="66" t="inlineStr">
        <is>
          <t>Santiago</t>
        </is>
      </c>
      <c r="D85" s="66" t="inlineStr">
        <is>
          <t>contacto@altecspa.cl</t>
        </is>
      </c>
      <c r="E85" s="66" t="inlineStr">
        <is>
          <t>(56) 2 3323 6483</t>
        </is>
      </c>
      <c r="F85" s="66" t="n"/>
      <c r="G85" s="66" t="n"/>
      <c r="H85" s="66" t="n"/>
      <c r="I85" s="66" t="inlineStr">
        <is>
          <t>76.917.785-K</t>
        </is>
      </c>
      <c r="J85" s="66" t="n"/>
      <c r="K85" s="66" t="inlineStr">
        <is>
          <t>Ventas: GRANDE 2 (200.000 - 600.000 UF) | Empleados: 19</t>
        </is>
      </c>
      <c r="L85" s="61" t="n"/>
      <c r="M85" s="61" t="n"/>
      <c r="N85" s="61" t="n"/>
      <c r="O85" s="61" t="n"/>
      <c r="P85" s="61" t="n"/>
      <c r="Q85" s="62" t="n"/>
      <c r="R85" s="61" t="n"/>
    </row>
    <row r="86" ht="15.75" customHeight="1" s="38">
      <c r="A86" s="66" t="inlineStr">
        <is>
          <t>Alteza Solutions</t>
        </is>
      </c>
      <c r="B86" s="66" t="inlineStr">
        <is>
          <t>Barreras y Protecciones Industriales, Polímeros para Reparación y Empalme de Correas Transportadoras</t>
        </is>
      </c>
      <c r="C86" s="66" t="inlineStr">
        <is>
          <t>Santiago</t>
        </is>
      </c>
      <c r="D86" s="66" t="inlineStr">
        <is>
          <t>info@altezasolutions.com</t>
        </is>
      </c>
      <c r="E86" s="66" t="inlineStr">
        <is>
          <t>(56) 2 2897 7727</t>
        </is>
      </c>
      <c r="F86" s="66" t="n"/>
      <c r="G86" s="66" t="n"/>
      <c r="H86" s="66" t="n"/>
      <c r="I86" s="66" t="inlineStr">
        <is>
          <t>77.060.747-7</t>
        </is>
      </c>
      <c r="J86" s="66" t="n"/>
      <c r="K86" s="66" t="inlineStr">
        <is>
          <t>Ventas: PEQUEÑA 2 (5.000 - 10.000 UF) | Empleados: 1</t>
        </is>
      </c>
      <c r="L86" s="61" t="n"/>
      <c r="M86" s="61" t="n"/>
      <c r="N86" s="61" t="n"/>
      <c r="O86" s="61" t="n"/>
      <c r="P86" s="61" t="n"/>
      <c r="Q86" s="62" t="n"/>
      <c r="R86" s="61" t="n"/>
    </row>
    <row r="87" ht="15.75" customHeight="1" s="38">
      <c r="A87" s="66" t="inlineStr">
        <is>
          <t>Altitec Chile Ltda.</t>
        </is>
      </c>
      <c r="B87" s="66" t="inlineStr">
        <is>
          <t>Artículos para Protección Personal</t>
        </is>
      </c>
      <c r="C87" s="66" t="inlineStr">
        <is>
          <t>Santiago</t>
        </is>
      </c>
      <c r="D87" s="66" t="inlineStr">
        <is>
          <t>contacto@altitecchile.cl</t>
        </is>
      </c>
      <c r="E87" s="66" t="inlineStr">
        <is>
          <t>(56) 2 2887 0113</t>
        </is>
      </c>
      <c r="F87" s="66" t="n"/>
      <c r="G87" s="66" t="n"/>
      <c r="H87" s="66" t="n"/>
      <c r="I87" s="66" t="inlineStr">
        <is>
          <t>76.312.131-3</t>
        </is>
      </c>
      <c r="J87" s="66" t="n"/>
      <c r="K87" s="66" t="inlineStr">
        <is>
          <t>Ventas: MEDIANA 2 (50.000 - 100.000 UF) | Empleados: 22</t>
        </is>
      </c>
      <c r="L87" s="61" t="n"/>
      <c r="M87" s="61" t="n"/>
      <c r="N87" s="61" t="n"/>
      <c r="O87" s="61" t="n"/>
      <c r="P87" s="61" t="n"/>
      <c r="Q87" s="62" t="n"/>
      <c r="R87" s="61" t="n"/>
    </row>
    <row r="88" ht="15.75" customHeight="1" s="38">
      <c r="A88" s="66" t="inlineStr">
        <is>
          <t>Alvenius Chilena Ltda.</t>
        </is>
      </c>
      <c r="B88" s="66" t="inlineStr">
        <is>
          <t>Tubos de Acero</t>
        </is>
      </c>
      <c r="C88" s="66" t="inlineStr">
        <is>
          <t>Santiago</t>
        </is>
      </c>
      <c r="D88" s="66" t="inlineStr">
        <is>
          <t>info@alveniuschilena.cl</t>
        </is>
      </c>
      <c r="E88" s="66" t="inlineStr">
        <is>
          <t>(56) 2 2482 6018</t>
        </is>
      </c>
      <c r="F88" s="66" t="n"/>
      <c r="G88" s="66" t="n"/>
      <c r="H88" s="66" t="n"/>
      <c r="I88" s="66" t="inlineStr">
        <is>
          <t>86.077.400-3</t>
        </is>
      </c>
      <c r="J88" s="66" t="n"/>
      <c r="K88" s="66" t="inlineStr">
        <is>
          <t>Ventas: GRANDE 2 (200.000 - 600.000 UF) | Empleados: 40</t>
        </is>
      </c>
      <c r="L88" s="61" t="n"/>
      <c r="M88" s="61" t="n"/>
      <c r="N88" s="61" t="n"/>
      <c r="O88" s="61" t="n"/>
      <c r="P88" s="61" t="n"/>
      <c r="Q88" s="62" t="n"/>
      <c r="R88" s="61" t="n"/>
    </row>
    <row r="89" ht="15.75" customHeight="1" s="38">
      <c r="A89" s="66" t="inlineStr">
        <is>
          <t>Alvinter Chile</t>
        </is>
      </c>
      <c r="B89" s="66" t="inlineStr">
        <is>
          <t>Proveedor Destacado, Camiones y Remolques de Terminal, Torres de Iluminación, Venta de Repuestos, Partes y Piezas</t>
        </is>
      </c>
      <c r="C89" s="66" t="inlineStr">
        <is>
          <t>Antofagasta</t>
        </is>
      </c>
      <c r="D89" s="66" t="inlineStr">
        <is>
          <t>leonardo@alvinter.com</t>
        </is>
      </c>
      <c r="E89" s="66" t="inlineStr">
        <is>
          <t>(56) 9 3924 1689</t>
        </is>
      </c>
      <c r="F89" s="66" t="n"/>
      <c r="G89" s="66" t="n"/>
      <c r="H89" s="66" t="inlineStr">
        <is>
          <t>http://www.chile.alvinter.com</t>
        </is>
      </c>
      <c r="I89" s="66" t="inlineStr">
        <is>
          <t>77.773.701-1</t>
        </is>
      </c>
      <c r="J89" s="66" t="n"/>
      <c r="K89" s="66" t="inlineStr">
        <is>
          <t>Ventas: MICRO 1 (0.01 - 200 UF) | Empleados: 0</t>
        </is>
      </c>
      <c r="L89" s="61" t="n"/>
      <c r="M89" s="61" t="n"/>
      <c r="N89" s="61" t="n"/>
      <c r="O89" s="61" t="n"/>
      <c r="P89" s="61" t="n"/>
      <c r="Q89" s="62" t="n"/>
      <c r="R89" s="61" t="n"/>
    </row>
    <row r="90" ht="15.75" customHeight="1" s="38">
      <c r="A90" s="66" t="inlineStr">
        <is>
          <t>Alxar Minería</t>
        </is>
      </c>
      <c r="B90" s="66" t="inlineStr">
        <is>
          <t>Cátodos, Concentrado de Cobre</t>
        </is>
      </c>
      <c r="C90" s="66" t="inlineStr">
        <is>
          <t>Santiago</t>
        </is>
      </c>
      <c r="D90" s="66" t="inlineStr">
        <is>
          <t>contacto@alxar.cl</t>
        </is>
      </c>
      <c r="E90" s="66" t="inlineStr">
        <is>
          <t>(56) 2 2461 7180</t>
        </is>
      </c>
      <c r="F90" s="66" t="n"/>
      <c r="G90" s="66" t="n"/>
      <c r="H90" s="66" t="n"/>
      <c r="I90" s="66" t="inlineStr">
        <is>
          <t>76.320.907-5</t>
        </is>
      </c>
      <c r="J90" s="66" t="n"/>
      <c r="K90" s="66" t="inlineStr">
        <is>
          <t>Ventas: GRANDE 3 (600.000 - 1.000.000 UF) | Empleados: 18</t>
        </is>
      </c>
      <c r="L90" s="61" t="n"/>
      <c r="M90" s="61" t="n"/>
      <c r="N90" s="61" t="n"/>
      <c r="O90" s="61" t="n"/>
      <c r="P90" s="61" t="n"/>
      <c r="Q90" s="62" t="n"/>
      <c r="R90" s="61" t="n"/>
    </row>
    <row r="91" ht="15.75" customHeight="1" s="38">
      <c r="A91" s="66" t="inlineStr">
        <is>
          <t>Alzatec</t>
        </is>
      </c>
      <c r="B91" s="66" t="inlineStr">
        <is>
          <t>Alzaprimas, Andamios, Andamios Multidireccionales</t>
        </is>
      </c>
      <c r="C91" s="66" t="inlineStr">
        <is>
          <t>Santiago</t>
        </is>
      </c>
      <c r="D91" s="66" t="inlineStr">
        <is>
          <t>contacto@alzatec.com</t>
        </is>
      </c>
      <c r="E91" s="66" t="inlineStr">
        <is>
          <t>(56) 2 2706 0910</t>
        </is>
      </c>
      <c r="F91" s="66" t="n"/>
      <c r="G91" s="66" t="n"/>
      <c r="H91" s="66" t="n"/>
      <c r="I91" s="66" t="inlineStr">
        <is>
          <t>99.522.430-5</t>
        </is>
      </c>
      <c r="J91" s="66" t="n"/>
      <c r="K91" s="66" t="inlineStr">
        <is>
          <t>Ventas: GRANDE 2 (200.000 - 600.000 UF) | Empleados: 27</t>
        </is>
      </c>
      <c r="L91" s="61" t="n"/>
      <c r="M91" s="61" t="n"/>
      <c r="N91" s="61" t="n"/>
      <c r="O91" s="61" t="n"/>
      <c r="P91" s="61" t="n"/>
      <c r="Q91" s="62" t="n"/>
      <c r="R91" s="61" t="n"/>
    </row>
    <row r="92" ht="15.75" customHeight="1" s="38">
      <c r="A92" s="66" t="inlineStr">
        <is>
          <t>Ambipar Environment</t>
        </is>
      </c>
      <c r="B92" s="66" t="inlineStr">
        <is>
          <t>Arriendo de Equipos Sanitarios Portátiles y Tratamientos de Aguas y Riles</t>
        </is>
      </c>
      <c r="C92" s="66" t="inlineStr">
        <is>
          <t>Santiago</t>
        </is>
      </c>
      <c r="D92" s="66" t="inlineStr">
        <is>
          <t>contacto@ambipar.cl</t>
        </is>
      </c>
      <c r="E92" s="66" t="inlineStr">
        <is>
          <t>600 3200 400</t>
        </is>
      </c>
      <c r="F92" s="66" t="n"/>
      <c r="G92" s="66" t="n"/>
      <c r="H92" s="66" t="n"/>
      <c r="I92" s="66" t="inlineStr">
        <is>
          <t>96.824.110-9</t>
        </is>
      </c>
      <c r="J92" s="66" t="n"/>
      <c r="K92" s="66" t="inlineStr">
        <is>
          <t>Ventas: GRANDE (Estimado por Empleados) | Empleados: 829</t>
        </is>
      </c>
      <c r="L92" s="61" t="n"/>
      <c r="M92" s="61" t="n"/>
      <c r="N92" s="61" t="n"/>
      <c r="O92" s="61" t="n"/>
      <c r="P92" s="61" t="n"/>
      <c r="Q92" s="62" t="n"/>
      <c r="R92" s="61" t="n"/>
    </row>
    <row r="93" ht="15.75" customHeight="1" s="38">
      <c r="A93" s="66" t="inlineStr">
        <is>
          <t>Ambitec S.A.</t>
        </is>
      </c>
      <c r="B93" s="66" t="inlineStr">
        <is>
          <t>Ventilación Ambiental</t>
        </is>
      </c>
      <c r="C93" s="66" t="inlineStr">
        <is>
          <t>Santiago</t>
        </is>
      </c>
      <c r="D93" s="66" t="inlineStr">
        <is>
          <t>contacto@ambitec.cl</t>
        </is>
      </c>
      <c r="E93" s="66" t="inlineStr">
        <is>
          <t>(56) 2 2298 3592</t>
        </is>
      </c>
      <c r="F93" s="66" t="n"/>
      <c r="G93" s="66" t="n"/>
      <c r="H93" s="66" t="n"/>
      <c r="I93" s="66" t="inlineStr">
        <is>
          <t>96.913.370-9</t>
        </is>
      </c>
      <c r="J93" s="66" t="n"/>
      <c r="K93" s="66" t="inlineStr">
        <is>
          <t>Ventas: MEDIANA 1 (25.000 - 50.000 UF) | Empleados: 11</t>
        </is>
      </c>
      <c r="L93" s="61" t="n"/>
      <c r="M93" s="61" t="n"/>
      <c r="N93" s="61" t="n"/>
      <c r="O93" s="61" t="n"/>
      <c r="P93" s="61" t="n"/>
      <c r="Q93" s="62" t="n"/>
      <c r="R93" s="61" t="n"/>
    </row>
    <row r="94" ht="15.75" customHeight="1" s="38">
      <c r="A94" s="66" t="inlineStr">
        <is>
          <t>Amca Systems SpA</t>
        </is>
      </c>
      <c r="B94" s="66" t="inlineStr">
        <is>
          <t>Equipos de Control de Polvos y Gases, Servicios de Ingeniería en Ventilación Industrial</t>
        </is>
      </c>
      <c r="C94" s="66" t="inlineStr">
        <is>
          <t>Santiago</t>
        </is>
      </c>
      <c r="D94" s="66" t="inlineStr">
        <is>
          <t>sales@amcasys.com</t>
        </is>
      </c>
      <c r="E94" s="66" t="inlineStr">
        <is>
          <t>(56) 2 3340 0855</t>
        </is>
      </c>
      <c r="F94" s="66" t="n"/>
      <c r="G94" s="66" t="n"/>
      <c r="H94" s="66" t="n"/>
      <c r="I94" s="66" t="inlineStr">
        <is>
          <t>76711945-3</t>
        </is>
      </c>
      <c r="J94" s="66" t="n"/>
      <c r="K94" s="66" t="inlineStr">
        <is>
          <t>Ventas: MEDIANA 2 (50.000 - 100.000 UF) | Empleados: 10</t>
        </is>
      </c>
      <c r="L94" s="61" t="n"/>
      <c r="M94" s="61" t="n"/>
      <c r="N94" s="61" t="n"/>
      <c r="O94" s="61" t="n"/>
      <c r="P94" s="61" t="n"/>
      <c r="Q94" s="62" t="n"/>
      <c r="R94" s="61" t="n"/>
    </row>
    <row r="95" ht="15.75" customHeight="1" s="38">
      <c r="A95" s="66" t="inlineStr">
        <is>
          <t>Ameco South America</t>
        </is>
      </c>
      <c r="B95" s="66" t="inlineStr">
        <is>
          <t>Proveedor Destacado, Arriendo de Equipos y Maquinaria, Certificación de Operadores, Servicios de Izaje y Levante, Servicios de Movimiento de Material, Servicios de Soporte Operacional</t>
        </is>
      </c>
      <c r="C95" s="66" t="inlineStr">
        <is>
          <t>Santiago</t>
        </is>
      </c>
      <c r="D95" s="66" t="inlineStr">
        <is>
          <t>contacto@amecosa.com</t>
        </is>
      </c>
      <c r="E95" s="66" t="inlineStr">
        <is>
          <t>(56) 2 2444 3700</t>
        </is>
      </c>
      <c r="F95" s="66" t="n"/>
      <c r="G95" s="66" t="n"/>
      <c r="H95" s="66" t="inlineStr">
        <is>
          <t>http://www.amecosa.com</t>
        </is>
      </c>
      <c r="I95" s="66" t="inlineStr">
        <is>
          <t>96.862.140-8</t>
        </is>
      </c>
      <c r="J95" s="66" t="n"/>
      <c r="K95" s="66" t="inlineStr">
        <is>
          <t>Ventas: GRANDE (Estimado por Empleados) | Empleados: 2852</t>
        </is>
      </c>
      <c r="L95" s="61" t="n"/>
      <c r="M95" s="61" t="n"/>
      <c r="N95" s="61" t="n"/>
      <c r="O95" s="61" t="n"/>
      <c r="P95" s="61" t="n"/>
      <c r="Q95" s="62" t="n"/>
      <c r="R95" s="61" t="n"/>
    </row>
    <row r="96" ht="15.75" customHeight="1" s="38">
      <c r="A96" s="59" t="inlineStr">
        <is>
          <t>American Parts</t>
        </is>
      </c>
      <c r="B96" s="59" t="inlineStr">
        <is>
          <t>Actividades de Apoyo para la Explotación de Minas y Canteras, Venta de Partes, Piezas y Accesorios para Vehículos Automotores</t>
        </is>
      </c>
      <c r="C96" s="59" t="inlineStr">
        <is>
          <t>Antofagasta</t>
        </is>
      </c>
      <c r="D96" s="59" t="inlineStr">
        <is>
          <t>info@americanparts.cl</t>
        </is>
      </c>
      <c r="E96" s="59" t="inlineStr">
        <is>
          <t>(56) 9 4220 1935</t>
        </is>
      </c>
      <c r="F96" s="59" t="inlineStr">
        <is>
          <t>Patricio Herrera (Jefe de Sistemas)</t>
        </is>
      </c>
      <c r="G96" s="59" t="inlineStr">
        <is>
          <t>p.herrera@americanparts.cl</t>
        </is>
      </c>
      <c r="H96" s="59" t="inlineStr">
        <is>
          <t>http://www.americanparts.cl</t>
        </is>
      </c>
      <c r="I96" s="59" t="inlineStr">
        <is>
          <t>76.790.684-6</t>
        </is>
      </c>
      <c r="J96" s="59" t="inlineStr">
        <is>
          <t>Canal E-commerce B2B (Expansión Digital)</t>
        </is>
      </c>
      <c r="K96" s="59" t="inlineStr">
        <is>
          <t>Ventas: GRANDE 3 (600.000 - 1.000.000 UF) | Empleados: 38</t>
        </is>
      </c>
      <c r="L96" s="61" t="n"/>
      <c r="M96" s="61" t="n"/>
      <c r="N96" s="61" t="n"/>
      <c r="O96" s="61" t="n"/>
      <c r="P96" s="61" t="n"/>
      <c r="Q96" s="62" t="n"/>
      <c r="R96" s="61" t="n"/>
    </row>
    <row r="97" ht="15.75" customHeight="1" s="38">
      <c r="A97" s="66" t="inlineStr">
        <is>
          <t>American Screw Chile SpA</t>
        </is>
      </c>
      <c r="B97" s="66" t="inlineStr">
        <is>
          <t>Artículos para Fijación y Sujeción</t>
        </is>
      </c>
      <c r="C97" s="66" t="inlineStr">
        <is>
          <t>Santiago</t>
        </is>
      </c>
      <c r="D97" s="66" t="inlineStr">
        <is>
          <t>ventas@amscrew.cl</t>
        </is>
      </c>
      <c r="E97" s="66" t="inlineStr">
        <is>
          <t>(56) 2 2440 7000</t>
        </is>
      </c>
      <c r="F97" s="66" t="n"/>
      <c r="G97" s="66" t="n"/>
      <c r="H97" s="66" t="n"/>
      <c r="I97" s="66" t="inlineStr">
        <is>
          <t>91.410.000-3</t>
        </is>
      </c>
      <c r="J97" s="66" t="n"/>
      <c r="K97" s="66" t="inlineStr">
        <is>
          <t>Ventas: GRANDE (Estimado por Empleados) | Empleados: 393</t>
        </is>
      </c>
      <c r="L97" s="61" t="n"/>
      <c r="M97" s="61" t="n"/>
      <c r="N97" s="61" t="n"/>
      <c r="O97" s="61" t="n"/>
      <c r="P97" s="61" t="n"/>
      <c r="Q97" s="62" t="n"/>
      <c r="R97" s="61" t="n"/>
    </row>
    <row r="98" ht="15.75" customHeight="1" s="38">
      <c r="A98" s="66" t="inlineStr">
        <is>
          <t>American Shoe S.A.</t>
        </is>
      </c>
      <c r="B98" s="66" t="inlineStr">
        <is>
          <t>Calzado para Seguridad</t>
        </is>
      </c>
      <c r="C98" s="66" t="inlineStr">
        <is>
          <t>Santiago</t>
        </is>
      </c>
      <c r="D98" s="66" t="n"/>
      <c r="E98" s="66" t="inlineStr">
        <is>
          <t>(56) 2 2422 9500</t>
        </is>
      </c>
      <c r="F98" s="66" t="n"/>
      <c r="G98" s="66" t="n"/>
      <c r="H98" s="66" t="n"/>
      <c r="I98" s="66" t="inlineStr">
        <is>
          <t>96.847.060-4</t>
        </is>
      </c>
      <c r="J98" s="66" t="n"/>
      <c r="K98" s="66" t="inlineStr">
        <is>
          <t>Ventas: MICRO 2 (200 - 600 UF) | Empleados: 0</t>
        </is>
      </c>
      <c r="L98" s="61" t="n"/>
      <c r="M98" s="61" t="n"/>
      <c r="N98" s="61" t="n"/>
      <c r="O98" s="61" t="n"/>
      <c r="P98" s="61" t="n"/>
      <c r="Q98" s="62" t="n"/>
      <c r="R98" s="61" t="n"/>
    </row>
    <row r="99" ht="15.75" customHeight="1" s="38">
      <c r="A99" s="66" t="inlineStr">
        <is>
          <t>Aminpro</t>
        </is>
      </c>
      <c r="B99" s="66" t="inlineStr">
        <is>
          <t>Análisis de Datos Mineralógicos</t>
        </is>
      </c>
      <c r="C99" s="66" t="inlineStr">
        <is>
          <t>Santiago</t>
        </is>
      </c>
      <c r="D99" s="66" t="inlineStr">
        <is>
          <t>info@aminpro.com</t>
        </is>
      </c>
      <c r="E99" s="66" t="inlineStr">
        <is>
          <t>(56) 2 2958 2471</t>
        </is>
      </c>
      <c r="F99" s="66" t="n"/>
      <c r="G99" s="66" t="n"/>
      <c r="H99" s="66" t="n"/>
      <c r="I99" s="66" t="inlineStr">
        <is>
          <t>76.068.167-9</t>
        </is>
      </c>
      <c r="J99" s="66" t="n"/>
      <c r="K99" s="66" t="inlineStr">
        <is>
          <t>Ventas: GRANDE 2 (200.000 - 600.000 UF) | Empleados: 100</t>
        </is>
      </c>
      <c r="L99" s="61" t="n"/>
      <c r="M99" s="61" t="n"/>
      <c r="N99" s="61" t="n"/>
      <c r="O99" s="61" t="n"/>
      <c r="P99" s="61" t="n"/>
      <c r="Q99" s="62" t="n"/>
      <c r="R99" s="61" t="n"/>
    </row>
    <row r="100" ht="15.75" customHeight="1" s="38">
      <c r="A100" s="66" t="inlineStr">
        <is>
          <t>Ampersand</t>
        </is>
      </c>
      <c r="B100" s="66" t="inlineStr">
        <is>
          <t>Tuberías HDPE</t>
        </is>
      </c>
      <c r="C100" s="66" t="inlineStr">
        <is>
          <t>Santiago</t>
        </is>
      </c>
      <c r="D100" s="66" t="inlineStr">
        <is>
          <t>ventas@ampersandchile.cl</t>
        </is>
      </c>
      <c r="E100" s="66" t="inlineStr">
        <is>
          <t>(56) 2 2458 5124</t>
        </is>
      </c>
      <c r="F100" s="66" t="n"/>
      <c r="G100" s="66" t="n"/>
      <c r="H100" s="66" t="n"/>
      <c r="I100" s="66" t="inlineStr">
        <is>
          <t>76350515-4</t>
        </is>
      </c>
      <c r="J100" s="66" t="n"/>
      <c r="K100" s="66" t="inlineStr">
        <is>
          <t>Ventas: MICRO 1 (0.01 - 200 UF) | Empleados: 0</t>
        </is>
      </c>
      <c r="L100" s="61" t="n"/>
      <c r="M100" s="61" t="n"/>
      <c r="N100" s="61" t="n"/>
      <c r="O100" s="61" t="n"/>
      <c r="P100" s="61" t="n"/>
      <c r="Q100" s="62" t="n"/>
      <c r="R100" s="61" t="n"/>
    </row>
    <row r="101" ht="15.75" customHeight="1" s="38">
      <c r="A101" s="66" t="inlineStr">
        <is>
          <t>Amphos 21 Consulting Chile Ltda.</t>
        </is>
      </c>
      <c r="B101" s="66" t="inlineStr">
        <is>
          <t>Consultoría en Hidrogeología</t>
        </is>
      </c>
      <c r="C101" s="66" t="inlineStr">
        <is>
          <t>Santiago</t>
        </is>
      </c>
      <c r="D101" s="66" t="inlineStr">
        <is>
          <t>amphos21chile@amphos21.com</t>
        </is>
      </c>
      <c r="E101" s="66" t="inlineStr">
        <is>
          <t>(56) 2 2799 1630</t>
        </is>
      </c>
      <c r="F101" s="66" t="n"/>
      <c r="G101" s="66" t="n"/>
      <c r="H101" s="66" t="n"/>
      <c r="I101" s="66" t="inlineStr">
        <is>
          <t>76.047.381-2</t>
        </is>
      </c>
      <c r="J101" s="66" t="n"/>
      <c r="K101" s="66" t="inlineStr">
        <is>
          <t>Ventas: GRANDE 2 (200.000 - 600.000 UF) | Empleados: 136</t>
        </is>
      </c>
      <c r="L101" s="61" t="n"/>
      <c r="M101" s="61" t="n"/>
      <c r="N101" s="61" t="n"/>
      <c r="O101" s="61" t="n"/>
      <c r="P101" s="61" t="n"/>
      <c r="Q101" s="62" t="n"/>
      <c r="R101" s="61" t="n"/>
    </row>
    <row r="102" ht="15.75" customHeight="1" s="38">
      <c r="A102" s="66" t="inlineStr">
        <is>
          <t>Amtex SpA</t>
        </is>
      </c>
      <c r="B102" s="66" t="inlineStr">
        <is>
          <t>Productos Químicos para Flotación</t>
        </is>
      </c>
      <c r="C102" s="66" t="inlineStr">
        <is>
          <t>Santiago</t>
        </is>
      </c>
      <c r="D102" s="66" t="inlineStr">
        <is>
          <t>ventas.qah@amtex-corp.com</t>
        </is>
      </c>
      <c r="E102" s="66" t="inlineStr">
        <is>
          <t>(56) 2 2225 8687</t>
        </is>
      </c>
      <c r="F102" s="66" t="n"/>
      <c r="G102" s="66" t="n"/>
      <c r="H102" s="66" t="n"/>
      <c r="I102" s="66" t="inlineStr">
        <is>
          <t>99.561.730-7</t>
        </is>
      </c>
      <c r="J102" s="66" t="n"/>
      <c r="K102" s="66" t="inlineStr">
        <is>
          <t>Ventas: GRANDE 2 (200.000 - 600.000 UF) | Empleados: 9</t>
        </is>
      </c>
      <c r="L102" s="61" t="n"/>
      <c r="M102" s="61" t="n"/>
      <c r="N102" s="61" t="n"/>
      <c r="O102" s="61" t="n"/>
      <c r="P102" s="61" t="n"/>
      <c r="Q102" s="62" t="n"/>
      <c r="R102" s="61" t="n"/>
    </row>
    <row r="103" ht="15.75" customHeight="1" s="38">
      <c r="A103" s="59" t="inlineStr">
        <is>
          <t>Anakena Group</t>
        </is>
      </c>
      <c r="B103" s="59" t="inlineStr">
        <is>
          <t>Construcciones Modulares, Servicios Hoteleros</t>
        </is>
      </c>
      <c r="C103" s="59" t="inlineStr">
        <is>
          <t>Santiago</t>
        </is>
      </c>
      <c r="D103" s="59" t="inlineStr">
        <is>
          <t>contacto@anakenagroup.cl</t>
        </is>
      </c>
      <c r="E103" s="59" t="inlineStr">
        <is>
          <t>(56) 2 2951 5328</t>
        </is>
      </c>
      <c r="F103" s="59" t="inlineStr">
        <is>
          <t>Michael Salameh (Jefe de Sistemas Producción)</t>
        </is>
      </c>
      <c r="G103" s="59" t="inlineStr">
        <is>
          <t>m.salameh@anakena.cl</t>
        </is>
      </c>
      <c r="H103" s="59" t="n"/>
      <c r="I103" s="59" t="inlineStr">
        <is>
          <t>52.003.237-1</t>
        </is>
      </c>
      <c r="J103" s="59" t="inlineStr">
        <is>
          <t>Hotelería Modular Minería (Sistemas Gestión)</t>
        </is>
      </c>
      <c r="K103" s="59" t="inlineStr">
        <is>
          <t>Ventas: GRANDE 3 (600.000 - 1.000.000 UF) | Empleados: 476</t>
        </is>
      </c>
      <c r="L103" s="61" t="n"/>
      <c r="M103" s="61" t="n"/>
      <c r="N103" s="61" t="n"/>
      <c r="O103" s="61" t="n"/>
      <c r="P103" s="61" t="n"/>
      <c r="Q103" s="62" t="n"/>
      <c r="R103" s="61" t="n"/>
    </row>
    <row r="104" ht="15.75" customHeight="1" s="38">
      <c r="A104" s="66" t="inlineStr">
        <is>
          <t>Anamin Group Ltda.</t>
        </is>
      </c>
      <c r="B104" s="66" t="inlineStr">
        <is>
          <t>Equipos para Laboratorios</t>
        </is>
      </c>
      <c r="C104" s="66" t="inlineStr">
        <is>
          <t>Santiago</t>
        </is>
      </c>
      <c r="D104" s="66" t="inlineStr">
        <is>
          <t>ventas@anamingroup.cl</t>
        </is>
      </c>
      <c r="E104" s="66" t="inlineStr">
        <is>
          <t>(56) 2 3263 9660</t>
        </is>
      </c>
      <c r="F104" s="66" t="n"/>
      <c r="G104" s="66" t="n"/>
      <c r="H104" s="66" t="n"/>
      <c r="I104" s="66" t="inlineStr">
        <is>
          <t>76.433.026-9</t>
        </is>
      </c>
      <c r="J104" s="66" t="n"/>
      <c r="K104" s="66" t="inlineStr">
        <is>
          <t>Ventas: GRANDE 1 (100.000 - 200.000 UF) | Empleados: 19</t>
        </is>
      </c>
      <c r="L104" s="61" t="n"/>
      <c r="M104" s="61" t="n"/>
      <c r="N104" s="61" t="n"/>
      <c r="O104" s="61" t="n"/>
      <c r="P104" s="61" t="n"/>
      <c r="Q104" s="62" t="n"/>
      <c r="R104" s="61" t="n"/>
    </row>
    <row r="105" ht="15.75" customHeight="1" s="38">
      <c r="A105" s="59" t="inlineStr">
        <is>
          <t>Ancor Tecmin</t>
        </is>
      </c>
      <c r="B105" s="59" t="inlineStr">
        <is>
          <t>Aisladores para Anodos y Cátodos, Celdas Electrolíticas</t>
        </is>
      </c>
      <c r="C105" s="59" t="inlineStr">
        <is>
          <t>Santiago</t>
        </is>
      </c>
      <c r="D105" s="59" t="inlineStr">
        <is>
          <t>info@ancortecmin.com</t>
        </is>
      </c>
      <c r="E105" s="59" t="inlineStr">
        <is>
          <t>(56) 2 2510 6000</t>
        </is>
      </c>
      <c r="F105" s="59" t="inlineStr">
        <is>
          <t>Franco Yáñez (Jefe Automatización e Informática)</t>
        </is>
      </c>
      <c r="G105" s="59" t="inlineStr">
        <is>
          <t>f.yanez@ancortecmin.cl</t>
        </is>
      </c>
      <c r="H105" s="59" t="n"/>
      <c r="I105" s="59" t="inlineStr">
        <is>
          <t>76.411.929-0</t>
        </is>
      </c>
      <c r="J105" s="59" t="inlineStr">
        <is>
          <t>Investigación en Proceso</t>
        </is>
      </c>
      <c r="K105" s="59" t="inlineStr">
        <is>
          <t>Ventas: GRANDE 3 (600.000 - 1.000.000 UF) | Empleados: 191</t>
        </is>
      </c>
      <c r="L105" s="61" t="n"/>
      <c r="M105" s="61" t="n"/>
      <c r="N105" s="61" t="n"/>
      <c r="O105" s="61" t="n"/>
      <c r="P105" s="61" t="n"/>
      <c r="Q105" s="62" t="n"/>
      <c r="R105" s="61" t="n"/>
    </row>
    <row r="106" ht="15.75" customHeight="1" s="38">
      <c r="A106" s="66" t="inlineStr">
        <is>
          <t>Anddes</t>
        </is>
      </c>
      <c r="B106" s="66" t="inlineStr">
        <is>
          <t>Proyectos de Ingeniería</t>
        </is>
      </c>
      <c r="C106" s="66" t="inlineStr">
        <is>
          <t>Santiago</t>
        </is>
      </c>
      <c r="D106" s="66" t="inlineStr">
        <is>
          <t>info.chile@anddes.com</t>
        </is>
      </c>
      <c r="E106" s="66" t="inlineStr">
        <is>
          <t>(56) 2 3235 7413</t>
        </is>
      </c>
      <c r="F106" s="66" t="n"/>
      <c r="G106" s="66" t="n"/>
      <c r="H106" s="66" t="n"/>
      <c r="I106" s="66" t="inlineStr">
        <is>
          <t>76.493.166-1</t>
        </is>
      </c>
      <c r="J106" s="66" t="n"/>
      <c r="K106" s="66" t="inlineStr">
        <is>
          <t>Ventas: MEDIANA 1 (25.000 - 50.000 UF) | Empleados: 1</t>
        </is>
      </c>
      <c r="L106" s="61" t="n"/>
      <c r="M106" s="61" t="n"/>
      <c r="N106" s="61" t="n"/>
      <c r="O106" s="61" t="n"/>
      <c r="P106" s="61" t="n"/>
      <c r="Q106" s="62" t="n"/>
      <c r="R106" s="61" t="n"/>
    </row>
    <row r="107" ht="15.75" customHeight="1" s="38">
      <c r="A107" s="66" t="inlineStr">
        <is>
          <t>Andecorp SpA</t>
        </is>
      </c>
      <c r="B107" s="66" t="inlineStr">
        <is>
          <t>Andamios</t>
        </is>
      </c>
      <c r="C107" s="66" t="inlineStr">
        <is>
          <t>Santiago</t>
        </is>
      </c>
      <c r="D107" s="66" t="inlineStr">
        <is>
          <t>ventas@andecorp.cl</t>
        </is>
      </c>
      <c r="E107" s="66" t="inlineStr">
        <is>
          <t>(56) 2 2603 6395</t>
        </is>
      </c>
      <c r="F107" s="66" t="n"/>
      <c r="G107" s="66" t="n"/>
      <c r="H107" s="66" t="n"/>
      <c r="I107" s="66" t="inlineStr">
        <is>
          <t>96.655.060-0</t>
        </is>
      </c>
      <c r="J107" s="66" t="n"/>
      <c r="K107" s="66" t="inlineStr">
        <is>
          <t>Ventas: GRANDE 1 (100.000 - 200.000 UF) | Empleados: 85</t>
        </is>
      </c>
      <c r="L107" s="61" t="n"/>
      <c r="M107" s="61" t="n"/>
      <c r="N107" s="61" t="n"/>
      <c r="O107" s="61" t="n"/>
      <c r="P107" s="61" t="n"/>
      <c r="Q107" s="62" t="n"/>
      <c r="R107" s="61" t="n"/>
    </row>
    <row r="108" ht="15.75" customHeight="1" s="38">
      <c r="A108" s="66" t="inlineStr">
        <is>
          <t>Andes Logistics de Chile S.A.</t>
        </is>
      </c>
      <c r="B108" s="66" t="inlineStr">
        <is>
          <t>Transporte Aéreo, Transporte Marítimo, Transporte Terrestre</t>
        </is>
      </c>
      <c r="C108" s="66" t="inlineStr">
        <is>
          <t>Santiago</t>
        </is>
      </c>
      <c r="D108" s="66" t="inlineStr">
        <is>
          <t>recepcion@andeslogistics.cl</t>
        </is>
      </c>
      <c r="E108" s="66" t="inlineStr">
        <is>
          <t>(56) 2 2797 0100</t>
        </is>
      </c>
      <c r="F108" s="66" t="n"/>
      <c r="G108" s="66" t="n"/>
      <c r="H108" s="66" t="n"/>
      <c r="I108" s="66" t="inlineStr">
        <is>
          <t>76.788.050-2</t>
        </is>
      </c>
      <c r="J108" s="66" t="n"/>
      <c r="K108" s="66" t="inlineStr">
        <is>
          <t>Ventas: MEDIANA (Estimado por Empleados) | Empleados: 150</t>
        </is>
      </c>
      <c r="L108" s="61" t="n"/>
      <c r="M108" s="61" t="n"/>
      <c r="N108" s="61" t="n"/>
      <c r="O108" s="61" t="n"/>
      <c r="P108" s="61" t="n"/>
      <c r="Q108" s="62" t="n"/>
      <c r="R108" s="61" t="n"/>
    </row>
    <row r="109" ht="15.75" customHeight="1" s="38">
      <c r="A109" s="66" t="inlineStr">
        <is>
          <t>Andes Maq</t>
        </is>
      </c>
      <c r="B109" s="66" t="inlineStr">
        <is>
          <t>Proveedor Destacado, Buses, Camiones, Camionetas, Equipos Eléctricos, Equipos Forestales, Equipos Grúas, Equipos Minería, Equipos para Construcción, Repuestos Originales, Repuestos para Vehículos, Servicio Técnico Maquinaria Pesada en Taller y Terreno, Servicios de Mantenimiento, Soporte Post Venta, Telemetría, Tolvas para Camiones, Vans, Vehículos para Transporte</t>
        </is>
      </c>
      <c r="C109" s="66" t="inlineStr">
        <is>
          <t>Santiago</t>
        </is>
      </c>
      <c r="D109" s="66" t="inlineStr">
        <is>
          <t>comunicaciones@andesmaq.com</t>
        </is>
      </c>
      <c r="E109" s="66" t="inlineStr">
        <is>
          <t>(56) 2 2720 2000</t>
        </is>
      </c>
      <c r="F109" s="66" t="n"/>
      <c r="G109" s="66" t="n"/>
      <c r="H109" s="66" t="inlineStr">
        <is>
          <t>http://www.andes-maq.cl</t>
        </is>
      </c>
      <c r="I109" s="66" t="inlineStr">
        <is>
          <t>96.572.360-9</t>
        </is>
      </c>
      <c r="J109" s="66" t="n"/>
      <c r="K109" s="66" t="inlineStr">
        <is>
          <t>Ventas: GRANDE (Estimado por Empleados) | Empleados: 976</t>
        </is>
      </c>
      <c r="L109" s="61" t="n"/>
      <c r="M109" s="61" t="n"/>
      <c r="N109" s="61" t="n"/>
      <c r="O109" s="61" t="n"/>
      <c r="P109" s="61" t="n"/>
      <c r="Q109" s="62" t="n"/>
      <c r="R109" s="61" t="n"/>
    </row>
    <row r="110" ht="15.75" customHeight="1" s="38">
      <c r="A110" s="66" t="inlineStr">
        <is>
          <t>Andes Mining Solutions</t>
        </is>
      </c>
      <c r="B110" s="66" t="inlineStr">
        <is>
          <t>Proveedor Destacado, Cintas de Trincaje, Protectores Canto Vivo, Tecles Manuales de Palanca y Cadena</t>
        </is>
      </c>
      <c r="C110" s="66" t="inlineStr">
        <is>
          <t>Santiago</t>
        </is>
      </c>
      <c r="D110" s="66" t="inlineStr">
        <is>
          <t>contacto@andesminingsolutions.com</t>
        </is>
      </c>
      <c r="E110" s="66" t="inlineStr">
        <is>
          <t>(56) 2 2756 7192</t>
        </is>
      </c>
      <c r="F110" s="66" t="n"/>
      <c r="G110" s="66" t="n"/>
      <c r="H110" s="66" t="inlineStr">
        <is>
          <t>http://www.andesminingsolutions.com</t>
        </is>
      </c>
      <c r="I110" s="66" t="inlineStr">
        <is>
          <t>77.948.876-4</t>
        </is>
      </c>
      <c r="J110" s="66" t="n"/>
      <c r="K110" s="66" t="inlineStr">
        <is>
          <t>Ventas: PEQUEÑA 1 (2.400 - 5.000 UF) | Empleados: 1</t>
        </is>
      </c>
      <c r="L110" s="61" t="n"/>
      <c r="M110" s="61" t="n"/>
      <c r="N110" s="61" t="n"/>
      <c r="O110" s="61" t="n"/>
      <c r="P110" s="61" t="n"/>
      <c r="Q110" s="62" t="n"/>
      <c r="R110" s="61" t="n"/>
    </row>
    <row r="111" ht="15.75" customHeight="1" s="38">
      <c r="A111" s="66" t="inlineStr">
        <is>
          <t>Andes Motor</t>
        </is>
      </c>
      <c r="B111" s="66" t="inlineStr">
        <is>
          <t>Proveedor Destacado, Buses Eléctricos, Camiones, Camiones Eléctricos, Camionetas Eléctricas, Cargadores Frontales, Rodillos Compactadores, SUV, Camionetas y Furgones, Tractocamiones Eléctricos, Vans, Vehículos Comerciales Eléctricos</t>
        </is>
      </c>
      <c r="C111" s="66" t="inlineStr">
        <is>
          <t>Santiago</t>
        </is>
      </c>
      <c r="D111" s="66" t="inlineStr">
        <is>
          <t>servicioclientes@andesmotor.cl</t>
        </is>
      </c>
      <c r="E111" s="66" t="inlineStr">
        <is>
          <t>(56) 2 2720 2221</t>
        </is>
      </c>
      <c r="F111" s="66" t="n"/>
      <c r="G111" s="66" t="n"/>
      <c r="H111" s="66" t="inlineStr">
        <is>
          <t>http://www.andesmotor.cl</t>
        </is>
      </c>
      <c r="I111" s="66" t="inlineStr">
        <is>
          <t>76.005.909.9</t>
        </is>
      </c>
      <c r="J111" s="66" t="n"/>
      <c r="K111" s="66" t="inlineStr">
        <is>
          <t>Ventas: No en base SII | Empleados: S/I</t>
        </is>
      </c>
      <c r="L111" s="61" t="n"/>
      <c r="M111" s="61" t="n"/>
      <c r="N111" s="61" t="n"/>
      <c r="O111" s="61" t="n"/>
      <c r="P111" s="61" t="n"/>
      <c r="Q111" s="62" t="n"/>
      <c r="R111" s="61" t="n"/>
    </row>
    <row r="112" ht="15.75" customHeight="1" s="38">
      <c r="A112" s="59" t="inlineStr">
        <is>
          <t>Andes Solar</t>
        </is>
      </c>
      <c r="B112" s="59" t="inlineStr">
        <is>
          <t>Desarrollo, Construcción y Operación de Proyectos de Energía Renovable</t>
        </is>
      </c>
      <c r="C112" s="59" t="inlineStr">
        <is>
          <t>Santiago</t>
        </is>
      </c>
      <c r="D112" s="59" t="inlineStr">
        <is>
          <t>info@andes-solar.com</t>
        </is>
      </c>
      <c r="E112" s="59" t="inlineStr">
        <is>
          <t>(56) 2 2956 6230</t>
        </is>
      </c>
      <c r="F112" s="59" t="inlineStr">
        <is>
          <t>Felipe Aguilera Moore (Jefe de Ingeniería)</t>
        </is>
      </c>
      <c r="G112" s="59" t="inlineStr">
        <is>
          <t>f.aguilera@andessolar.cl</t>
        </is>
      </c>
      <c r="H112" s="59" t="n"/>
      <c r="I112" s="59" t="inlineStr">
        <is>
          <t>76.271.321-7</t>
        </is>
      </c>
      <c r="J112" s="59" t="inlineStr">
        <is>
          <t>Investigación en Proceso</t>
        </is>
      </c>
      <c r="K112" s="59" t="inlineStr">
        <is>
          <t>Ventas: GRANDE 3 (600.000 - 1.000.000 UF) | Empleados: 95</t>
        </is>
      </c>
      <c r="L112" s="61" t="n"/>
      <c r="M112" s="61" t="n"/>
      <c r="N112" s="61" t="n"/>
      <c r="O112" s="61" t="n"/>
      <c r="P112" s="61" t="n"/>
      <c r="Q112" s="62" t="n"/>
      <c r="R112" s="61" t="n"/>
    </row>
    <row r="113" ht="15.75" customHeight="1" s="38">
      <c r="A113" s="66" t="inlineStr">
        <is>
          <t>AndesDomo</t>
        </is>
      </c>
      <c r="B113" s="66" t="inlineStr">
        <is>
          <t>Campamentos Mineros, Domos Geodésicos</t>
        </is>
      </c>
      <c r="C113" s="66" t="inlineStr">
        <is>
          <t>Santiago</t>
        </is>
      </c>
      <c r="D113" s="66" t="inlineStr">
        <is>
          <t>juan@andesdomo.cl</t>
        </is>
      </c>
      <c r="E113" s="66" t="inlineStr">
        <is>
          <t>(56) 2 2880 8987</t>
        </is>
      </c>
      <c r="F113" s="66" t="n"/>
      <c r="G113" s="66" t="n"/>
      <c r="H113" s="66" t="n"/>
      <c r="I113" s="66" t="inlineStr">
        <is>
          <t>76.659.430-1</t>
        </is>
      </c>
      <c r="J113" s="66" t="n"/>
      <c r="K113" s="66" t="inlineStr">
        <is>
          <t>Ventas: GRANDE 1 (100.000 - 200.000 UF) | Empleados: 63</t>
        </is>
      </c>
      <c r="L113" s="61" t="n"/>
      <c r="M113" s="61" t="n"/>
      <c r="N113" s="61" t="n"/>
      <c r="O113" s="61" t="n"/>
      <c r="P113" s="61" t="n"/>
      <c r="Q113" s="62" t="n"/>
      <c r="R113" s="61" t="n"/>
    </row>
    <row r="114" ht="15.75" customHeight="1" s="38">
      <c r="A114" s="66" t="inlineStr">
        <is>
          <t>Andesminerals Corp SpA</t>
        </is>
      </c>
      <c r="B114" s="66" t="inlineStr">
        <is>
          <t>Equipos para la Construcción, Recuperación de Acero de Molienda</t>
        </is>
      </c>
      <c r="C114" s="66" t="inlineStr">
        <is>
          <t>Los Andes</t>
        </is>
      </c>
      <c r="D114" s="66" t="inlineStr">
        <is>
          <t>rvidela@andesminerals.cl</t>
        </is>
      </c>
      <c r="E114" s="66" t="inlineStr">
        <is>
          <t>(56) 9 8196 8133</t>
        </is>
      </c>
      <c r="F114" s="66" t="n"/>
      <c r="G114" s="66" t="n"/>
      <c r="H114" s="66" t="n"/>
      <c r="I114" s="66" t="inlineStr">
        <is>
          <t>76.362.293-2</t>
        </is>
      </c>
      <c r="J114" s="66" t="n"/>
      <c r="K114" s="66" t="inlineStr">
        <is>
          <t>Ventas: MICRO 1 (0.01 - 200 UF) | Empleados: 0</t>
        </is>
      </c>
      <c r="L114" s="61" t="n"/>
      <c r="M114" s="61" t="n"/>
      <c r="N114" s="61" t="n"/>
      <c r="O114" s="61" t="n"/>
      <c r="P114" s="61" t="n"/>
      <c r="Q114" s="62" t="n"/>
      <c r="R114" s="61" t="n"/>
    </row>
    <row r="115" ht="15.75" customHeight="1" s="38">
      <c r="A115" s="66" t="inlineStr">
        <is>
          <t>Andina Montajes</t>
        </is>
      </c>
      <c r="B115" s="66" t="inlineStr">
        <is>
          <t>Andamios, Suministros Mineros</t>
        </is>
      </c>
      <c r="C115" s="66" t="inlineStr">
        <is>
          <t>Antofagasta</t>
        </is>
      </c>
      <c r="D115" s="66" t="inlineStr">
        <is>
          <t>dbravo@andinamontajes.com</t>
        </is>
      </c>
      <c r="E115" s="66" t="inlineStr">
        <is>
          <t>(56) 9 6349 4584</t>
        </is>
      </c>
      <c r="F115" s="66" t="n"/>
      <c r="G115" s="66" t="n"/>
      <c r="H115" s="66" t="n"/>
      <c r="I115" s="66" t="inlineStr">
        <is>
          <t>77966659-K</t>
        </is>
      </c>
      <c r="J115" s="66" t="n"/>
      <c r="K115" s="66" t="inlineStr">
        <is>
          <t>Ventas: PEQUEÑA 1 (2.400 - 5.000 UF) | Empleados: 19</t>
        </is>
      </c>
      <c r="L115" s="61" t="n"/>
      <c r="M115" s="61" t="n"/>
      <c r="N115" s="61" t="n"/>
      <c r="O115" s="61" t="n"/>
      <c r="P115" s="61" t="n"/>
      <c r="Q115" s="62" t="n"/>
      <c r="R115" s="61" t="n"/>
    </row>
    <row r="116" ht="15.75" customHeight="1" s="38">
      <c r="A116" s="66" t="inlineStr">
        <is>
          <t>Andinor Perforaciones Ltda.</t>
        </is>
      </c>
      <c r="B116" s="66" t="inlineStr">
        <is>
          <t>Captación de Aguas Subterráneas</t>
        </is>
      </c>
      <c r="C116" s="66" t="inlineStr">
        <is>
          <t>Santiago</t>
        </is>
      </c>
      <c r="D116" s="66" t="inlineStr">
        <is>
          <t>contacto@andinor.cl</t>
        </is>
      </c>
      <c r="E116" s="66" t="inlineStr">
        <is>
          <t>(56) 2 2719 3808</t>
        </is>
      </c>
      <c r="F116" s="66" t="inlineStr">
        <is>
          <t>Gerente de TI / CIO (Director de Tecnología)</t>
        </is>
      </c>
      <c r="G116" s="66" t="n"/>
      <c r="H116" s="66" t="n"/>
      <c r="I116" s="66" t="inlineStr">
        <is>
          <t>76.271.472-8</t>
        </is>
      </c>
      <c r="J116" s="66" t="n"/>
      <c r="K116" s="66" t="inlineStr">
        <is>
          <t>Ventas: GRANDE 3 (600.000 - 1.000.000 UF) | Empleados: 210</t>
        </is>
      </c>
      <c r="L116" s="61" t="n"/>
      <c r="M116" s="61" t="n"/>
      <c r="N116" s="61" t="n"/>
      <c r="O116" s="61" t="n"/>
      <c r="P116" s="61" t="n"/>
      <c r="Q116" s="62" t="n"/>
      <c r="R116" s="61" t="n"/>
    </row>
    <row r="117" ht="15.75" customHeight="1" s="38">
      <c r="A117" s="66" t="inlineStr">
        <is>
          <t>Andritz</t>
        </is>
      </c>
      <c r="B117" s="66" t="inlineStr">
        <is>
          <t>Equipos para Filtración</t>
        </is>
      </c>
      <c r="C117" s="66" t="inlineStr">
        <is>
          <t>Santiago</t>
        </is>
      </c>
      <c r="D117" s="66" t="inlineStr">
        <is>
          <t>separation.bra@andritz.com</t>
        </is>
      </c>
      <c r="E117" s="66" t="inlineStr">
        <is>
          <t>(56) 2 2462 4600</t>
        </is>
      </c>
      <c r="F117" s="66" t="n"/>
      <c r="G117" s="66" t="n"/>
      <c r="H117" s="66" t="n"/>
      <c r="I117" s="66" t="inlineStr">
        <is>
          <t>77.470.940-1</t>
        </is>
      </c>
      <c r="J117" s="66" t="n"/>
      <c r="K117" s="66" t="inlineStr">
        <is>
          <t>Ventas: GRANDE (Estimado por Empleados) | Empleados: 582</t>
        </is>
      </c>
      <c r="L117" s="61" t="n"/>
      <c r="M117" s="61" t="n"/>
      <c r="N117" s="61" t="n"/>
      <c r="O117" s="61" t="n"/>
      <c r="P117" s="61" t="n"/>
      <c r="Q117" s="62" t="n"/>
      <c r="R117" s="61" t="n"/>
    </row>
    <row r="118" ht="15.75" customHeight="1" s="38">
      <c r="A118" s="59" t="inlineStr">
        <is>
          <t>Anglo American Chile</t>
        </is>
      </c>
      <c r="B118" s="59" t="inlineStr">
        <is>
          <t>Anodos de Cobre, Cátodos de Cobre, Concentrado de Molibdeno, Sulfato de Cobre</t>
        </is>
      </c>
      <c r="C118" s="59" t="inlineStr">
        <is>
          <t>Santiago</t>
        </is>
      </c>
      <c r="D118" s="59" t="n"/>
      <c r="E118" s="59" t="inlineStr">
        <is>
          <t>(56) 2 2230 6000</t>
        </is>
      </c>
      <c r="F118" s="59" t="inlineStr">
        <is>
          <t>Rodrigo Subiabre (VP Tech &amp; Innov)</t>
        </is>
      </c>
      <c r="G118" s="59" t="n"/>
      <c r="H118" s="59" t="n"/>
      <c r="I118" s="59" t="inlineStr">
        <is>
          <t>77.905.330-K</t>
        </is>
      </c>
      <c r="J118" s="59" t="inlineStr">
        <is>
          <t>Centro Remoto IROC</t>
        </is>
      </c>
      <c r="K118" s="59" t="inlineStr">
        <is>
          <t>Ventas: GRANDE (Estimado por Empleados) | Empleados: 837</t>
        </is>
      </c>
      <c r="L118" s="61" t="n"/>
      <c r="M118" s="61" t="n"/>
      <c r="N118" s="61" t="n"/>
      <c r="O118" s="61" t="n"/>
      <c r="P118" s="61" t="n"/>
      <c r="Q118" s="62" t="n"/>
      <c r="R118" s="61" t="n"/>
    </row>
    <row r="119" ht="15.75" customHeight="1" s="38">
      <c r="A119" s="66" t="inlineStr">
        <is>
          <t>Anodos de Chile S.A.</t>
        </is>
      </c>
      <c r="B119" s="66" t="inlineStr">
        <is>
          <t>Anodos de Plomo, Cátodos de Acero Inoxidable y Titanio</t>
        </is>
      </c>
      <c r="C119" s="66" t="inlineStr">
        <is>
          <t>Santiago</t>
        </is>
      </c>
      <c r="D119" s="66" t="inlineStr">
        <is>
          <t>anodos@anodos.cl</t>
        </is>
      </c>
      <c r="E119" s="66" t="inlineStr">
        <is>
          <t>(56) 2 2738 7396</t>
        </is>
      </c>
      <c r="F119" s="66" t="n"/>
      <c r="G119" s="66" t="n"/>
      <c r="H119" s="66" t="n"/>
      <c r="I119" s="66" t="inlineStr">
        <is>
          <t>99.560.020-K</t>
        </is>
      </c>
      <c r="J119" s="66" t="n"/>
      <c r="K119" s="66" t="inlineStr">
        <is>
          <t>Ventas: MEDIANA 1 (25.000 - 50.000 UF) | Empleados: 11</t>
        </is>
      </c>
      <c r="L119" s="61" t="n"/>
      <c r="M119" s="61" t="n"/>
      <c r="N119" s="61" t="n"/>
      <c r="O119" s="61" t="n"/>
      <c r="P119" s="61" t="n"/>
      <c r="Q119" s="62" t="n"/>
      <c r="R119" s="61" t="n"/>
    </row>
    <row r="120" ht="15.75" customHeight="1" s="38">
      <c r="A120" s="66" t="inlineStr">
        <is>
          <t>Anser Mining SpA</t>
        </is>
      </c>
      <c r="B120" s="66" t="inlineStr">
        <is>
          <t>Plantas Seleccionadoras Móviles</t>
        </is>
      </c>
      <c r="C120" s="66" t="inlineStr">
        <is>
          <t>Santiago</t>
        </is>
      </c>
      <c r="D120" s="66" t="inlineStr">
        <is>
          <t>proyectos@ansermining.cl</t>
        </is>
      </c>
      <c r="E120" s="66" t="inlineStr">
        <is>
          <t>(56) 2 2435 4615</t>
        </is>
      </c>
      <c r="F120" s="66" t="inlineStr">
        <is>
          <t>Gerente de TI / CIO (Director de Tecnología)</t>
        </is>
      </c>
      <c r="G120" s="66" t="n"/>
      <c r="H120" s="66" t="n"/>
      <c r="I120" s="66" t="inlineStr">
        <is>
          <t>76253942-K</t>
        </is>
      </c>
      <c r="J120" s="66" t="n"/>
      <c r="K120" s="66" t="inlineStr">
        <is>
          <t>Ventas: GRANDE 3 (600.000 - 1.000.000 UF) | Empleados: 260</t>
        </is>
      </c>
      <c r="L120" s="61" t="n"/>
      <c r="M120" s="61" t="n"/>
      <c r="N120" s="61" t="n"/>
      <c r="O120" s="61" t="n"/>
      <c r="P120" s="61" t="n"/>
      <c r="Q120" s="62" t="n"/>
      <c r="R120" s="61" t="n"/>
    </row>
    <row r="121" ht="15.75" customHeight="1" s="38">
      <c r="A121" s="66" t="inlineStr">
        <is>
          <t>Antofagasta Parts</t>
        </is>
      </c>
      <c r="B121" s="66" t="inlineStr">
        <is>
          <t>Repuestos e Insumos para Equipos Mineros</t>
        </is>
      </c>
      <c r="C121" s="66" t="inlineStr">
        <is>
          <t>Antofagasta</t>
        </is>
      </c>
      <c r="D121" s="66" t="inlineStr">
        <is>
          <t>avalderrama@a-p.cl</t>
        </is>
      </c>
      <c r="E121" s="66" t="inlineStr">
        <is>
          <t>(56) 55 289 3132</t>
        </is>
      </c>
      <c r="F121" s="66" t="n"/>
      <c r="G121" s="66" t="n"/>
      <c r="H121" s="66" t="n"/>
      <c r="I121" s="66" t="inlineStr">
        <is>
          <t>76.030.564-2</t>
        </is>
      </c>
      <c r="J121" s="66" t="n"/>
      <c r="K121" s="66" t="inlineStr">
        <is>
          <t>Ventas: GRANDE 2 (200.000 - 600.000 UF) | Empleados: 35</t>
        </is>
      </c>
      <c r="L121" s="61" t="n"/>
      <c r="M121" s="61" t="n"/>
      <c r="N121" s="61" t="n"/>
      <c r="O121" s="61" t="n"/>
      <c r="P121" s="61" t="n"/>
      <c r="Q121" s="62" t="n"/>
      <c r="R121" s="61" t="n"/>
    </row>
    <row r="122" ht="15.75" customHeight="1" s="38">
      <c r="A122" s="66" t="inlineStr">
        <is>
          <t>Antumec Ingeniería y Servicios Ltda.</t>
        </is>
      </c>
      <c r="B122" s="66" t="inlineStr">
        <is>
          <t>Equipos para Calefacción</t>
        </is>
      </c>
      <c r="C122" s="66" t="inlineStr">
        <is>
          <t>Santiago</t>
        </is>
      </c>
      <c r="D122" s="66" t="inlineStr">
        <is>
          <t>ventas@antumec.com</t>
        </is>
      </c>
      <c r="E122" s="66" t="inlineStr">
        <is>
          <t>(56) 2 2706 0751</t>
        </is>
      </c>
      <c r="F122" s="66" t="n"/>
      <c r="G122" s="66" t="n"/>
      <c r="H122" s="66" t="n"/>
      <c r="I122" s="66" t="inlineStr">
        <is>
          <t>76.269.406-9</t>
        </is>
      </c>
      <c r="J122" s="66" t="n"/>
      <c r="K122" s="66" t="inlineStr">
        <is>
          <t>Ventas: MEDIANA 2 (50.000 - 100.000 UF) | Empleados: 26</t>
        </is>
      </c>
      <c r="L122" s="61" t="n"/>
      <c r="M122" s="61" t="n"/>
      <c r="N122" s="61" t="n"/>
      <c r="O122" s="61" t="n"/>
      <c r="P122" s="61" t="n"/>
      <c r="Q122" s="62" t="n"/>
      <c r="R122" s="61" t="n"/>
    </row>
    <row r="123" ht="15.75" customHeight="1" s="38">
      <c r="A123" s="66" t="inlineStr">
        <is>
          <t>Anval S.A.</t>
        </is>
      </c>
      <c r="B123" s="66" t="inlineStr">
        <is>
          <t>Sistemas de Pesaje Hidráulico, Sistemas para Control de Maquinarias, Sistemas para Manejo de Materiales</t>
        </is>
      </c>
      <c r="C123" s="66" t="inlineStr">
        <is>
          <t>Santiago</t>
        </is>
      </c>
      <c r="D123" s="66" t="inlineStr">
        <is>
          <t>sales@anval-latinoamerica.com</t>
        </is>
      </c>
      <c r="E123" s="66" t="inlineStr">
        <is>
          <t>(56) 2 2951 6907</t>
        </is>
      </c>
      <c r="F123" s="66" t="inlineStr">
        <is>
          <t>Gerente de TI / CIO (Director de Tecnología)</t>
        </is>
      </c>
      <c r="G123" s="66" t="n"/>
      <c r="H123" s="66" t="n"/>
      <c r="I123" s="66" t="inlineStr">
        <is>
          <t>76.746.640-4</t>
        </is>
      </c>
      <c r="J123" s="66" t="n"/>
      <c r="K123" s="66" t="inlineStr">
        <is>
          <t>Ventas: GRANDE 3 (600.000 - 1.000.000 UF) | Empleados: 24</t>
        </is>
      </c>
      <c r="L123" s="61" t="n"/>
      <c r="M123" s="61" t="n"/>
      <c r="N123" s="61" t="n"/>
      <c r="O123" s="61" t="n"/>
      <c r="P123" s="61" t="n"/>
      <c r="Q123" s="62" t="n"/>
      <c r="R123" s="61" t="n"/>
    </row>
    <row r="124" ht="15.75" customHeight="1" s="38">
      <c r="A124" s="66" t="inlineStr">
        <is>
          <t>Análisis Ambientales S.A.</t>
        </is>
      </c>
      <c r="B124" s="66" t="inlineStr">
        <is>
          <t>Tratamiento de Aguas Servidas</t>
        </is>
      </c>
      <c r="C124" s="66" t="inlineStr">
        <is>
          <t>Santiago</t>
        </is>
      </c>
      <c r="D124" s="66" t="inlineStr">
        <is>
          <t>anam@anam.cl</t>
        </is>
      </c>
      <c r="E124" s="66" t="inlineStr">
        <is>
          <t>(56) 2 2569 4400</t>
        </is>
      </c>
      <c r="F124" s="66" t="inlineStr">
        <is>
          <t>Gerente de TI / CIO (Director de Tecnología)</t>
        </is>
      </c>
      <c r="G124" s="66" t="n"/>
      <c r="H124" s="66" t="n"/>
      <c r="I124" s="66" t="inlineStr">
        <is>
          <t>96.967.550-1</t>
        </is>
      </c>
      <c r="J124" s="66" t="n"/>
      <c r="K124" s="66" t="inlineStr">
        <is>
          <t>Ventas: GRANDE 3 (600.000 - 1.000.000 UF) | Empleados: 353</t>
        </is>
      </c>
      <c r="L124" s="61" t="n"/>
      <c r="M124" s="61" t="n"/>
      <c r="N124" s="61" t="n"/>
      <c r="O124" s="61" t="n"/>
      <c r="P124" s="61" t="n"/>
      <c r="Q124" s="62" t="n"/>
      <c r="R124" s="61" t="n"/>
    </row>
    <row r="125" ht="15.75" customHeight="1" s="38">
      <c r="A125" s="66" t="inlineStr">
        <is>
          <t>Apcis Ltda.</t>
        </is>
      </c>
      <c r="B125" s="66" t="inlineStr">
        <is>
          <t>Armado y Desarme de Andamios</t>
        </is>
      </c>
      <c r="C125" s="66" t="inlineStr">
        <is>
          <t>Santiago</t>
        </is>
      </c>
      <c r="D125" s="66" t="inlineStr">
        <is>
          <t>proyecto@apcis.cl</t>
        </is>
      </c>
      <c r="E125" s="66" t="inlineStr">
        <is>
          <t>(56) 9 9885 7258</t>
        </is>
      </c>
      <c r="F125" s="66" t="n"/>
      <c r="G125" s="66" t="n"/>
      <c r="H125" s="66" t="n"/>
      <c r="I125" s="66" t="inlineStr">
        <is>
          <t>76.919.146-1</t>
        </is>
      </c>
      <c r="J125" s="66" t="n"/>
      <c r="K125" s="66" t="inlineStr">
        <is>
          <t>Ventas: PEQUEÑA 2 (5.000 - 10.000 UF) | Empleados: 16</t>
        </is>
      </c>
      <c r="L125" s="61" t="n"/>
      <c r="M125" s="61" t="n"/>
      <c r="N125" s="61" t="n"/>
      <c r="O125" s="61" t="n"/>
      <c r="P125" s="61" t="n"/>
      <c r="Q125" s="62" t="n"/>
      <c r="R125" s="61" t="n"/>
    </row>
    <row r="126" ht="15.75" customHeight="1" s="38">
      <c r="A126" s="66" t="inlineStr">
        <is>
          <t>Aplik S.A.</t>
        </is>
      </c>
      <c r="B126" s="66" t="inlineStr">
        <is>
          <t>Sistemas de Visión Artificial para el Monitoreo de Procesos de Operación en Equipos Mineros</t>
        </is>
      </c>
      <c r="C126" s="66" t="inlineStr">
        <is>
          <t>Viña del Mar</t>
        </is>
      </c>
      <c r="D126" s="66" t="inlineStr">
        <is>
          <t>info@aplik.cl</t>
        </is>
      </c>
      <c r="E126" s="66" t="inlineStr">
        <is>
          <t>(56) 9 4218 2925</t>
        </is>
      </c>
      <c r="F126" s="66" t="n"/>
      <c r="G126" s="66" t="n"/>
      <c r="H126" s="66" t="n"/>
      <c r="I126" s="66" t="inlineStr">
        <is>
          <t>96939370-0</t>
        </is>
      </c>
      <c r="J126" s="66" t="n"/>
      <c r="K126" s="66" t="inlineStr">
        <is>
          <t>Ventas: MEDIANA 2 (50.000 - 100.000 UF) | Empleados: 25</t>
        </is>
      </c>
      <c r="L126" s="61" t="n"/>
      <c r="M126" s="61" t="n"/>
      <c r="N126" s="61" t="n"/>
      <c r="O126" s="61" t="n"/>
      <c r="P126" s="61" t="n"/>
      <c r="Q126" s="62" t="n"/>
      <c r="R126" s="61" t="n"/>
    </row>
    <row r="127" ht="15.75" customHeight="1" s="38">
      <c r="A127" s="66" t="inlineStr">
        <is>
          <t>Appareil Ltda.</t>
        </is>
      </c>
      <c r="B127" s="66" t="inlineStr">
        <is>
          <t>Sistemas de Información Minera</t>
        </is>
      </c>
      <c r="C127" s="66" t="inlineStr">
        <is>
          <t>Santiago</t>
        </is>
      </c>
      <c r="D127" s="66" t="inlineStr">
        <is>
          <t>appareil@appareil.cl</t>
        </is>
      </c>
      <c r="E127" s="66" t="inlineStr">
        <is>
          <t>(56) 9 9871 8492</t>
        </is>
      </c>
      <c r="F127" s="66" t="n"/>
      <c r="G127" s="66" t="n"/>
      <c r="H127" s="66" t="n"/>
      <c r="I127" s="66" t="inlineStr">
        <is>
          <t>78.625.070-6</t>
        </is>
      </c>
      <c r="J127" s="66" t="n"/>
      <c r="K127" s="66" t="inlineStr">
        <is>
          <t>Ventas: MEDIANA 2 (50.000 - 100.000 UF) | Empleados: 14</t>
        </is>
      </c>
      <c r="L127" s="61" t="n"/>
      <c r="M127" s="61" t="n"/>
      <c r="N127" s="61" t="n"/>
      <c r="O127" s="61" t="n"/>
      <c r="P127" s="61" t="n"/>
      <c r="Q127" s="62" t="n"/>
      <c r="R127" s="61" t="n"/>
    </row>
    <row r="128" ht="15.75" customHeight="1" s="38">
      <c r="A128" s="66" t="inlineStr">
        <is>
          <t>Aprimin</t>
        </is>
      </c>
      <c r="B128" s="66" t="inlineStr">
        <is>
          <t>Proveedor Destacado, Asociación Gremial de Proveedores de la Minería</t>
        </is>
      </c>
      <c r="C128" s="66" t="inlineStr">
        <is>
          <t>Santiago</t>
        </is>
      </c>
      <c r="D128" s="66" t="inlineStr">
        <is>
          <t>aprimin@aprimin.cl</t>
        </is>
      </c>
      <c r="E128" s="66" t="inlineStr">
        <is>
          <t>(56) 2 2954 7785</t>
        </is>
      </c>
      <c r="F128" s="66" t="n"/>
      <c r="G128" s="66" t="n"/>
      <c r="H128" s="66" t="inlineStr">
        <is>
          <t>http://www.aprimin.cl</t>
        </is>
      </c>
      <c r="I128" s="66" t="inlineStr">
        <is>
          <t>65.315.860-2</t>
        </is>
      </c>
      <c r="J128" s="66" t="n"/>
      <c r="K128" s="66" t="inlineStr">
        <is>
          <t>Ventas: MICRO 1 (0.01 - 200 UF) | Empleados: 7</t>
        </is>
      </c>
      <c r="L128" s="61" t="n"/>
      <c r="M128" s="61" t="n"/>
      <c r="N128" s="61" t="n"/>
      <c r="O128" s="61" t="n"/>
      <c r="P128" s="61" t="n"/>
      <c r="Q128" s="62" t="n"/>
      <c r="R128" s="61" t="n"/>
    </row>
    <row r="129" ht="15.75" customHeight="1" s="38">
      <c r="A129" s="66" t="inlineStr">
        <is>
          <t>Apro Ltda.</t>
        </is>
      </c>
      <c r="B129" s="66" t="inlineStr">
        <is>
          <t>Artículos para Seguridad, Artículos para Seguridad Auditiva</t>
        </is>
      </c>
      <c r="C129" s="66" t="inlineStr">
        <is>
          <t>Santiago</t>
        </is>
      </c>
      <c r="D129" s="66" t="inlineStr">
        <is>
          <t>cotizaciones@apro.cl</t>
        </is>
      </c>
      <c r="E129" s="66" t="inlineStr">
        <is>
          <t>(56) 2 2544 7600</t>
        </is>
      </c>
      <c r="F129" s="66" t="n"/>
      <c r="G129" s="66" t="n"/>
      <c r="H129" s="66" t="n"/>
      <c r="I129" s="66" t="inlineStr">
        <is>
          <t>86.887.200-4</t>
        </is>
      </c>
      <c r="J129" s="66" t="n"/>
      <c r="K129" s="66" t="inlineStr">
        <is>
          <t>Ventas: GRANDE (Estimado por Empleados) | Empleados: 876</t>
        </is>
      </c>
      <c r="L129" s="61" t="n"/>
      <c r="M129" s="61" t="n"/>
      <c r="N129" s="61" t="n"/>
      <c r="O129" s="61" t="n"/>
      <c r="P129" s="61" t="n"/>
      <c r="Q129" s="62" t="n"/>
      <c r="R129" s="61" t="n"/>
    </row>
    <row r="130" ht="15.75" customHeight="1" s="38">
      <c r="A130" s="66" t="inlineStr">
        <is>
          <t>APTA, Andes Pacific Technology Access</t>
        </is>
      </c>
      <c r="B130" s="66" t="inlineStr">
        <is>
          <t>Desafíos de Innovación Abierta, Vigilancia y Transferencia Tecnológica</t>
        </is>
      </c>
      <c r="C130" s="66" t="inlineStr">
        <is>
          <t>Santiago</t>
        </is>
      </c>
      <c r="D130" s="66" t="inlineStr">
        <is>
          <t>info@hubapta.com</t>
        </is>
      </c>
      <c r="E130" s="66" t="inlineStr">
        <is>
          <t>(56) 9 6433 1931</t>
        </is>
      </c>
      <c r="F130" s="66" t="n"/>
      <c r="G130" s="66" t="n"/>
      <c r="H130" s="66" t="n"/>
      <c r="I130" s="66" t="inlineStr">
        <is>
          <t>65.160.131-2</t>
        </is>
      </c>
      <c r="J130" s="66" t="n"/>
      <c r="K130" s="66" t="inlineStr">
        <is>
          <t>Ventas: PEQUEÑA 2 (5.000 - 10.000 UF) | Empleados: 17</t>
        </is>
      </c>
      <c r="L130" s="61" t="n"/>
      <c r="M130" s="61" t="n"/>
      <c r="N130" s="61" t="n"/>
      <c r="O130" s="61" t="n"/>
      <c r="P130" s="61" t="n"/>
      <c r="Q130" s="62" t="n"/>
      <c r="R130" s="61" t="n"/>
    </row>
    <row r="131" ht="15.75" customHeight="1" s="38">
      <c r="A131" s="66" t="inlineStr">
        <is>
          <t>APV S.A.</t>
        </is>
      </c>
      <c r="B131" s="66" t="inlineStr">
        <is>
          <t>Equipos para Pintar</t>
        </is>
      </c>
      <c r="C131" s="66" t="inlineStr">
        <is>
          <t>Santiago</t>
        </is>
      </c>
      <c r="D131" s="66" t="inlineStr">
        <is>
          <t>ventas@apv.cl</t>
        </is>
      </c>
      <c r="E131" s="66" t="inlineStr">
        <is>
          <t>(56) 2 2412 0000</t>
        </is>
      </c>
      <c r="F131" s="66" t="n"/>
      <c r="G131" s="66" t="n"/>
      <c r="H131" s="66" t="n"/>
      <c r="I131" s="66" t="inlineStr">
        <is>
          <t>78.323.060-7</t>
        </is>
      </c>
      <c r="J131" s="66" t="n"/>
      <c r="K131" s="66" t="inlineStr">
        <is>
          <t>Ventas: GRANDE 2 (200.000 - 600.000 UF) | Empleados: 31</t>
        </is>
      </c>
      <c r="L131" s="61" t="n"/>
      <c r="M131" s="61" t="n"/>
      <c r="N131" s="61" t="n"/>
      <c r="O131" s="61" t="n"/>
      <c r="P131" s="61" t="n"/>
      <c r="Q131" s="62" t="n"/>
      <c r="R131" s="61" t="n"/>
    </row>
    <row r="132" ht="15.75" customHeight="1" s="38">
      <c r="A132" s="66" t="inlineStr">
        <is>
          <t>Aqualia Intech S.A., Agencia en Chile</t>
        </is>
      </c>
      <c r="B132" s="66" t="inlineStr">
        <is>
          <t>Construcción de Plantas Industriales</t>
        </is>
      </c>
      <c r="C132" s="66" t="inlineStr">
        <is>
          <t>Santiago</t>
        </is>
      </c>
      <c r="D132" s="66" t="n"/>
      <c r="E132" s="66" t="inlineStr">
        <is>
          <t>(56) 2 2577 2700</t>
        </is>
      </c>
      <c r="F132" s="66" t="n"/>
      <c r="G132" s="66" t="n"/>
      <c r="H132" s="66" t="n"/>
      <c r="I132" s="66" t="inlineStr">
        <is>
          <t>59.170.340-4</t>
        </is>
      </c>
      <c r="J132" s="66" t="n"/>
      <c r="K132" s="66" t="inlineStr">
        <is>
          <t>Ventas: MEDIANA 1 (25.000 - 50.000 UF) | Empleados: 12</t>
        </is>
      </c>
      <c r="L132" s="61" t="n"/>
      <c r="M132" s="61" t="n"/>
      <c r="N132" s="61" t="n"/>
      <c r="O132" s="61" t="n"/>
      <c r="P132" s="61" t="n"/>
      <c r="Q132" s="62" t="n"/>
      <c r="R132" s="61" t="n"/>
    </row>
    <row r="133" ht="15.75" customHeight="1" s="38">
      <c r="A133" s="66" t="inlineStr">
        <is>
          <t>Aquapress</t>
        </is>
      </c>
      <c r="B133" s="66" t="inlineStr">
        <is>
          <t>Equipos para Aseo Industrial</t>
        </is>
      </c>
      <c r="C133" s="66" t="inlineStr">
        <is>
          <t>Santiago</t>
        </is>
      </c>
      <c r="D133" s="66" t="inlineStr">
        <is>
          <t>ventas@aquapress.cl</t>
        </is>
      </c>
      <c r="E133" s="66" t="inlineStr">
        <is>
          <t>(56) 2 2222 1131</t>
        </is>
      </c>
      <c r="F133" s="66" t="n"/>
      <c r="G133" s="66" t="n"/>
      <c r="H133" s="66" t="n"/>
      <c r="I133" s="66" t="inlineStr">
        <is>
          <t>76.842.500-0</t>
        </is>
      </c>
      <c r="J133" s="66" t="n"/>
      <c r="K133" s="66" t="inlineStr">
        <is>
          <t>Ventas: MEDIANA 2 (50.000 - 100.000 UF) | Empleados: 14</t>
        </is>
      </c>
      <c r="L133" s="61" t="n"/>
      <c r="M133" s="61" t="n"/>
      <c r="N133" s="61" t="n"/>
      <c r="O133" s="61" t="n"/>
      <c r="P133" s="61" t="n"/>
      <c r="Q133" s="62" t="n"/>
      <c r="R133" s="61" t="n"/>
    </row>
    <row r="134" ht="15.75" customHeight="1" s="38">
      <c r="A134" s="66" t="inlineStr">
        <is>
          <t>Aquí Fierro</t>
        </is>
      </c>
      <c r="B134" s="66" t="inlineStr">
        <is>
          <t>Procesamiento de Chatarra</t>
        </is>
      </c>
      <c r="C134" s="66" t="inlineStr">
        <is>
          <t>Santiago</t>
        </is>
      </c>
      <c r="D134" s="66" t="inlineStr">
        <is>
          <t>contacto@aquifierro.cl</t>
        </is>
      </c>
      <c r="E134" s="66" t="inlineStr">
        <is>
          <t>(56) 9 9585 7208</t>
        </is>
      </c>
      <c r="F134" s="66" t="n"/>
      <c r="G134" s="66" t="n"/>
      <c r="H134" s="66" t="n"/>
      <c r="I134" s="66" t="inlineStr">
        <is>
          <t>77.334.621-6</t>
        </is>
      </c>
      <c r="J134" s="66" t="n"/>
      <c r="K134" s="66" t="inlineStr">
        <is>
          <t>Ventas: MICRO 1 (0.01 - 200 UF) | Empleados: 10</t>
        </is>
      </c>
      <c r="L134" s="61" t="n"/>
      <c r="M134" s="61" t="n"/>
      <c r="N134" s="61" t="n"/>
      <c r="O134" s="61" t="n"/>
      <c r="P134" s="61" t="n"/>
      <c r="Q134" s="62" t="n"/>
      <c r="R134" s="61" t="n"/>
    </row>
    <row r="135" ht="15.75" customHeight="1" s="38">
      <c r="A135" s="66" t="inlineStr">
        <is>
          <t>Aramark</t>
        </is>
      </c>
      <c r="B135" s="66" t="inlineStr">
        <is>
          <t>Administración de Campamentos, Servicios de Gastronomía, Servicios de Limpieza Industrial</t>
        </is>
      </c>
      <c r="C135" s="66" t="inlineStr">
        <is>
          <t>Santiago</t>
        </is>
      </c>
      <c r="D135" s="66" t="inlineStr">
        <is>
          <t>comercial-mineria@aramark.cl</t>
        </is>
      </c>
      <c r="E135" s="66" t="inlineStr">
        <is>
          <t>(56) 2 2385 1000</t>
        </is>
      </c>
      <c r="F135" s="66" t="n"/>
      <c r="G135" s="66" t="n"/>
      <c r="H135" s="66" t="n"/>
      <c r="I135" s="66" t="inlineStr">
        <is>
          <t>76.117.696-K</t>
        </is>
      </c>
      <c r="J135" s="66" t="n"/>
      <c r="K135" s="66" t="inlineStr">
        <is>
          <t>Ventas: GRANDE (Estimado por Empleados) | Empleados: 11680</t>
        </is>
      </c>
      <c r="L135" s="61" t="n"/>
      <c r="M135" s="61" t="n"/>
      <c r="N135" s="61" t="n"/>
      <c r="O135" s="61" t="n"/>
      <c r="P135" s="61" t="n"/>
      <c r="Q135" s="62" t="n"/>
      <c r="R135" s="61" t="n"/>
    </row>
    <row r="136" ht="15.75" customHeight="1" s="38">
      <c r="A136" s="66" t="inlineStr">
        <is>
          <t>Arcadis Chile SpA</t>
        </is>
      </c>
      <c r="B136" s="66" t="inlineStr">
        <is>
          <t>Asesorías en Minería, Consultoría</t>
        </is>
      </c>
      <c r="C136" s="66" t="inlineStr">
        <is>
          <t>Santiago</t>
        </is>
      </c>
      <c r="D136" s="66" t="inlineStr">
        <is>
          <t>info.cl@arcadis.com</t>
        </is>
      </c>
      <c r="E136" s="66" t="inlineStr">
        <is>
          <t>(56) 2 2381 6000</t>
        </is>
      </c>
      <c r="F136" s="66" t="n"/>
      <c r="G136" s="66" t="n"/>
      <c r="H136" s="66" t="n"/>
      <c r="I136" s="66" t="inlineStr">
        <is>
          <t>89.371.200-3</t>
        </is>
      </c>
      <c r="J136" s="66" t="n"/>
      <c r="K136" s="66" t="inlineStr">
        <is>
          <t>Ventas: GRANDE (Estimado por Empleados) | Empleados: 512</t>
        </is>
      </c>
      <c r="L136" s="61" t="n"/>
      <c r="M136" s="61" t="n"/>
      <c r="N136" s="61" t="n"/>
      <c r="O136" s="61" t="n"/>
      <c r="P136" s="61" t="n"/>
      <c r="Q136" s="62" t="n"/>
      <c r="R136" s="61" t="n"/>
    </row>
    <row r="137" ht="15.75" customHeight="1" s="38">
      <c r="A137" s="66" t="inlineStr">
        <is>
          <t>Arcotex S.A.</t>
        </is>
      </c>
      <c r="B137" s="66" t="inlineStr">
        <is>
          <t>Ductos de Venteo para Lixiviación</t>
        </is>
      </c>
      <c r="C137" s="66" t="inlineStr">
        <is>
          <t>Santiago</t>
        </is>
      </c>
      <c r="D137" s="66" t="inlineStr">
        <is>
          <t>info@arcotex.cl</t>
        </is>
      </c>
      <c r="E137" s="66" t="inlineStr">
        <is>
          <t>(56) 2 2589 3400</t>
        </is>
      </c>
      <c r="F137" s="66" t="n"/>
      <c r="G137" s="66" t="n"/>
      <c r="H137" s="66" t="n"/>
      <c r="I137" s="66" t="inlineStr">
        <is>
          <t>96.530.820-2</t>
        </is>
      </c>
      <c r="J137" s="66" t="n"/>
      <c r="K137" s="66" t="inlineStr">
        <is>
          <t>Ventas: GRANDE 2 (200.000 - 600.000 UF) | Empleados: 57</t>
        </is>
      </c>
      <c r="L137" s="61" t="n"/>
      <c r="M137" s="61" t="n"/>
      <c r="N137" s="61" t="n"/>
      <c r="O137" s="61" t="n"/>
      <c r="P137" s="61" t="n"/>
      <c r="Q137" s="62" t="n"/>
      <c r="R137" s="61" t="n"/>
    </row>
    <row r="138" ht="15.75" customHeight="1" s="38">
      <c r="A138" s="66" t="inlineStr">
        <is>
          <t>Arelec SpA</t>
        </is>
      </c>
      <c r="B138" s="66" t="inlineStr">
        <is>
          <t>Centro de Control de Motores, Subestaciones Eléctricas</t>
        </is>
      </c>
      <c r="C138" s="66" t="inlineStr">
        <is>
          <t>Santiago</t>
        </is>
      </c>
      <c r="D138" s="66" t="inlineStr">
        <is>
          <t>recepcion@arelec.cl</t>
        </is>
      </c>
      <c r="E138" s="66" t="inlineStr">
        <is>
          <t>(56) 2 2852 3826</t>
        </is>
      </c>
      <c r="F138" s="66" t="n"/>
      <c r="G138" s="66" t="n"/>
      <c r="H138" s="66" t="n"/>
      <c r="I138" s="66" t="inlineStr">
        <is>
          <t>77.744.280-5</t>
        </is>
      </c>
      <c r="J138" s="66" t="n"/>
      <c r="K138" s="66" t="inlineStr">
        <is>
          <t>Ventas: GRANDE 2 (200.000 - 600.000 UF) | Empleados: 34</t>
        </is>
      </c>
      <c r="L138" s="61" t="n"/>
      <c r="M138" s="61" t="n"/>
      <c r="N138" s="61" t="n"/>
      <c r="O138" s="61" t="n"/>
      <c r="P138" s="61" t="n"/>
      <c r="Q138" s="62" t="n"/>
      <c r="R138" s="61" t="n"/>
    </row>
    <row r="139" ht="15.75" customHeight="1" s="38">
      <c r="A139" s="66" t="inlineStr">
        <is>
          <t>Arenys Industrial SpA</t>
        </is>
      </c>
      <c r="B139" s="66" t="inlineStr">
        <is>
          <t>Cadenas de Acero, Equipos para Izaje</t>
        </is>
      </c>
      <c r="C139" s="66" t="inlineStr">
        <is>
          <t>Santiago</t>
        </is>
      </c>
      <c r="D139" s="66" t="inlineStr">
        <is>
          <t>contacto@arenysindustrial.cl</t>
        </is>
      </c>
      <c r="E139" s="66" t="inlineStr">
        <is>
          <t>(56) 9 3255 9970</t>
        </is>
      </c>
      <c r="F139" s="66" t="n"/>
      <c r="G139" s="66" t="n"/>
      <c r="H139" s="66" t="n"/>
      <c r="I139" s="66" t="inlineStr">
        <is>
          <t>76.527.330-7</t>
        </is>
      </c>
      <c r="J139" s="66" t="n"/>
      <c r="K139" s="66" t="inlineStr">
        <is>
          <t>Ventas: GRANDE 2 (200.000 - 600.000 UF) | Empleados: 30</t>
        </is>
      </c>
      <c r="L139" s="61" t="n"/>
      <c r="M139" s="61" t="n"/>
      <c r="N139" s="61" t="n"/>
      <c r="O139" s="61" t="n"/>
      <c r="P139" s="61" t="n"/>
      <c r="Q139" s="62" t="n"/>
      <c r="R139" s="61" t="n"/>
    </row>
    <row r="140" ht="15.75" customHeight="1" s="38">
      <c r="A140" s="66" t="inlineStr">
        <is>
          <t>Aresco Chile Ltda.</t>
        </is>
      </c>
      <c r="B140" s="66" t="inlineStr">
        <is>
          <t>Camiones Lubricadores, Plataformas Elevadoras</t>
        </is>
      </c>
      <c r="C140" s="66" t="inlineStr">
        <is>
          <t>Santiago</t>
        </is>
      </c>
      <c r="D140" s="66" t="inlineStr">
        <is>
          <t>marketing@arescochile.com</t>
        </is>
      </c>
      <c r="E140" s="66" t="inlineStr">
        <is>
          <t>(56) 2 2219 2466</t>
        </is>
      </c>
      <c r="F140" s="66" t="n"/>
      <c r="G140" s="66" t="n"/>
      <c r="H140" s="66" t="n"/>
      <c r="I140" s="66" t="inlineStr">
        <is>
          <t>77.314.120-7</t>
        </is>
      </c>
      <c r="J140" s="66" t="n"/>
      <c r="K140" s="66" t="inlineStr">
        <is>
          <t>Ventas: MICRO 1 (0.01 - 200 UF) | Empleados: 0</t>
        </is>
      </c>
      <c r="L140" s="61" t="n"/>
      <c r="M140" s="61" t="n"/>
      <c r="N140" s="61" t="n"/>
      <c r="O140" s="61" t="n"/>
      <c r="P140" s="61" t="n"/>
      <c r="Q140" s="62" t="n"/>
      <c r="R140" s="61" t="n"/>
    </row>
    <row r="141" ht="15.75" customHeight="1" s="38">
      <c r="A141" s="66" t="inlineStr">
        <is>
          <t>Argenta Ltda.</t>
        </is>
      </c>
      <c r="B141" s="66" t="inlineStr">
        <is>
          <t>Soldaduras de Plata</t>
        </is>
      </c>
      <c r="C141" s="66" t="inlineStr">
        <is>
          <t>Santiago</t>
        </is>
      </c>
      <c r="D141" s="66" t="inlineStr">
        <is>
          <t>argenta@argenta.cl</t>
        </is>
      </c>
      <c r="E141" s="66" t="inlineStr">
        <is>
          <t>(56) 2 2522 2222</t>
        </is>
      </c>
      <c r="F141" s="66" t="n"/>
      <c r="G141" s="66" t="n"/>
      <c r="H141" s="66" t="n"/>
      <c r="I141" s="66" t="inlineStr">
        <is>
          <t>84.552.800-4</t>
        </is>
      </c>
      <c r="J141" s="66" t="n"/>
      <c r="K141" s="66" t="inlineStr">
        <is>
          <t>Ventas: GRANDE 2 (200.000 - 600.000 UF) | Empleados: 26</t>
        </is>
      </c>
      <c r="L141" s="61" t="n"/>
      <c r="M141" s="61" t="n"/>
      <c r="N141" s="61" t="n"/>
      <c r="O141" s="61" t="n"/>
      <c r="P141" s="61" t="n"/>
      <c r="Q141" s="62" t="n"/>
      <c r="R141" s="61" t="n"/>
    </row>
    <row r="142" ht="15.75" customHeight="1" s="38">
      <c r="A142" s="66" t="inlineStr">
        <is>
          <t>Armacero Matco S.A.</t>
        </is>
      </c>
      <c r="B142" s="66" t="inlineStr">
        <is>
          <t>Construcción de Estructuras de Acero, Proyectos Industriales</t>
        </is>
      </c>
      <c r="C142" s="66" t="inlineStr">
        <is>
          <t>Santiago</t>
        </is>
      </c>
      <c r="D142" s="66" t="inlineStr">
        <is>
          <t>pedro.silva@armacero.cl</t>
        </is>
      </c>
      <c r="E142" s="66" t="inlineStr">
        <is>
          <t>(56) 2 2544 9955</t>
        </is>
      </c>
      <c r="F142" s="66" t="n"/>
      <c r="G142" s="66" t="n"/>
      <c r="H142" s="66" t="n"/>
      <c r="I142" s="66" t="inlineStr">
        <is>
          <t>78.170.790-2</t>
        </is>
      </c>
      <c r="J142" s="66" t="n"/>
      <c r="K142" s="66" t="inlineStr">
        <is>
          <t>Ventas: MEDIANA (Estimado por Empleados) | Empleados: 131</t>
        </is>
      </c>
      <c r="L142" s="61" t="n"/>
      <c r="M142" s="61" t="n"/>
      <c r="N142" s="61" t="n"/>
      <c r="O142" s="61" t="n"/>
      <c r="P142" s="61" t="n"/>
      <c r="Q142" s="62" t="n"/>
      <c r="R142" s="61" t="n"/>
    </row>
    <row r="143" ht="15.75" customHeight="1" s="38">
      <c r="A143" s="66" t="inlineStr">
        <is>
          <t>Armaqsubiri S.A.</t>
        </is>
      </c>
      <c r="B143" s="66" t="inlineStr">
        <is>
          <t>Andamios</t>
        </is>
      </c>
      <c r="C143" s="66" t="inlineStr">
        <is>
          <t>Santiago</t>
        </is>
      </c>
      <c r="D143" s="66" t="inlineStr">
        <is>
          <t>antofagasta@armaqsubiri.cl</t>
        </is>
      </c>
      <c r="E143" s="66" t="inlineStr">
        <is>
          <t>(56) 2 2273 5745</t>
        </is>
      </c>
      <c r="F143" s="66" t="n"/>
      <c r="G143" s="66" t="n"/>
      <c r="H143" s="66" t="n"/>
      <c r="I143" s="66" t="inlineStr">
        <is>
          <t>76.757.110-0</t>
        </is>
      </c>
      <c r="J143" s="66" t="n"/>
      <c r="K143" s="66" t="inlineStr">
        <is>
          <t>Ventas: MEDIANA 1 (25.000 - 50.000 UF) | Empleados: 32</t>
        </is>
      </c>
      <c r="L143" s="61" t="n"/>
      <c r="M143" s="61" t="n"/>
      <c r="N143" s="61" t="n"/>
      <c r="O143" s="61" t="n"/>
      <c r="P143" s="61" t="n"/>
      <c r="Q143" s="62" t="n"/>
      <c r="R143" s="61" t="n"/>
    </row>
    <row r="144" ht="15.75" customHeight="1" s="38">
      <c r="A144" s="66" t="inlineStr">
        <is>
          <t>Arpa Montajes S.A.</t>
        </is>
      </c>
      <c r="B144" s="66" t="inlineStr">
        <is>
          <t>Andamios, Arriendo de Andamios</t>
        </is>
      </c>
      <c r="C144" s="66" t="inlineStr">
        <is>
          <t>Antofagasta</t>
        </is>
      </c>
      <c r="D144" s="66" t="inlineStr">
        <is>
          <t>marco.pasten@arpamontajes.cl</t>
        </is>
      </c>
      <c r="E144" s="66" t="inlineStr">
        <is>
          <t>(56) 9 3268 5978</t>
        </is>
      </c>
      <c r="F144" s="66" t="n"/>
      <c r="G144" s="66" t="n"/>
      <c r="H144" s="66" t="n"/>
      <c r="I144" s="66" t="inlineStr">
        <is>
          <t>76672427-2</t>
        </is>
      </c>
      <c r="J144" s="66" t="n"/>
      <c r="K144" s="66" t="inlineStr">
        <is>
          <t>Ventas: MEDIANA 1 (25.000 - 50.000 UF) | Empleados: 72</t>
        </is>
      </c>
      <c r="L144" s="61" t="n"/>
      <c r="M144" s="61" t="n"/>
      <c r="N144" s="61" t="n"/>
      <c r="O144" s="61" t="n"/>
      <c r="P144" s="61" t="n"/>
      <c r="Q144" s="62" t="n"/>
      <c r="R144" s="61" t="n"/>
    </row>
    <row r="145" ht="15.75" customHeight="1" s="38">
      <c r="A145" s="66" t="inlineStr">
        <is>
          <t>Arquimed Ltda.</t>
        </is>
      </c>
      <c r="B145" s="66" t="inlineStr">
        <is>
          <t>Equipos para Laboratorios, Reactivos para Laboratorios</t>
        </is>
      </c>
      <c r="C145" s="66" t="inlineStr">
        <is>
          <t>Santiago</t>
        </is>
      </c>
      <c r="D145" s="66" t="inlineStr">
        <is>
          <t>arquimed@arquimed.cl</t>
        </is>
      </c>
      <c r="E145" s="66" t="inlineStr">
        <is>
          <t>(56) 2 2634 6266</t>
        </is>
      </c>
      <c r="F145" s="66" t="n"/>
      <c r="G145" s="66" t="n"/>
      <c r="H145" s="66" t="n"/>
      <c r="I145" s="66" t="inlineStr">
        <is>
          <t>92.999.000-5</t>
        </is>
      </c>
      <c r="J145" s="66" t="n"/>
      <c r="K145" s="66" t="inlineStr">
        <is>
          <t>Ventas: GRANDE (Estimado por Empleados) | Empleados: 391</t>
        </is>
      </c>
      <c r="L145" s="61" t="n"/>
      <c r="M145" s="61" t="n"/>
      <c r="N145" s="61" t="n"/>
      <c r="O145" s="61" t="n"/>
      <c r="P145" s="61" t="n"/>
      <c r="Q145" s="62" t="n"/>
      <c r="R145" s="61" t="n"/>
    </row>
    <row r="146" ht="15.75" customHeight="1" s="38">
      <c r="A146" s="66" t="inlineStr">
        <is>
          <t>Arrigoni Ingenieria y Construcción</t>
        </is>
      </c>
      <c r="B146" s="66" t="inlineStr">
        <is>
          <t>Proveedor Destacado, Construcción, Construcción de Estructuras de Acero, Construcción de Obras Civiles, Construcción de Obras de Infraestructura, Construcción de Obras Marítimas, Constructoras</t>
        </is>
      </c>
      <c r="C146" s="66" t="inlineStr">
        <is>
          <t>Santiago</t>
        </is>
      </c>
      <c r="D146" s="66" t="inlineStr">
        <is>
          <t>contactoaic@arrigoni.cl</t>
        </is>
      </c>
      <c r="E146" s="66" t="inlineStr">
        <is>
          <t>(56) 2 2597 8630</t>
        </is>
      </c>
      <c r="F146" s="66" t="n"/>
      <c r="G146" s="66" t="n"/>
      <c r="H146" s="66" t="inlineStr">
        <is>
          <t>http://www.arrigoniconstruccion.cl</t>
        </is>
      </c>
      <c r="I146" s="66" t="inlineStr">
        <is>
          <t>76.091.747-8</t>
        </is>
      </c>
      <c r="J146" s="66" t="n"/>
      <c r="K146" s="66" t="inlineStr">
        <is>
          <t>Ventas: GRANDE (Estimado por Empleados) | Empleados: 776</t>
        </is>
      </c>
      <c r="L146" s="61" t="n"/>
      <c r="M146" s="61" t="n"/>
      <c r="N146" s="61" t="n"/>
      <c r="O146" s="61" t="n"/>
      <c r="P146" s="61" t="n"/>
      <c r="Q146" s="62" t="n"/>
      <c r="R146" s="61" t="n"/>
    </row>
    <row r="147" ht="15.75" customHeight="1" s="38">
      <c r="A147" s="66" t="inlineStr">
        <is>
          <t>Arrimaq</t>
        </is>
      </c>
      <c r="B147" s="66" t="inlineStr">
        <is>
          <t>Arriendo de Grúas Horquilla</t>
        </is>
      </c>
      <c r="C147" s="66" t="inlineStr">
        <is>
          <t>Santiago</t>
        </is>
      </c>
      <c r="D147" s="66" t="inlineStr">
        <is>
          <t>telemarketing@arrimaq.com</t>
        </is>
      </c>
      <c r="E147" s="66" t="inlineStr">
        <is>
          <t>600 381 5000</t>
        </is>
      </c>
      <c r="F147" s="66" t="n"/>
      <c r="G147" s="66" t="n"/>
      <c r="H147" s="66" t="n"/>
      <c r="I147" s="66" t="inlineStr">
        <is>
          <t>85.275.700-0</t>
        </is>
      </c>
      <c r="J147" s="66" t="n"/>
      <c r="K147" s="66" t="inlineStr">
        <is>
          <t>Ventas: GRANDE (Estimado por Empleados) | Empleados: 374</t>
        </is>
      </c>
      <c r="L147" s="61" t="n"/>
      <c r="M147" s="61" t="n"/>
      <c r="N147" s="61" t="n"/>
      <c r="O147" s="61" t="n"/>
      <c r="P147" s="61" t="n"/>
      <c r="Q147" s="62" t="n"/>
      <c r="R147" s="61" t="n"/>
    </row>
    <row r="148" ht="15.75" customHeight="1" s="38">
      <c r="A148" s="66" t="inlineStr">
        <is>
          <t>Arriservice</t>
        </is>
      </c>
      <c r="B148" s="66" t="inlineStr">
        <is>
          <t>Plataformas Elevadoras</t>
        </is>
      </c>
      <c r="C148" s="66" t="inlineStr">
        <is>
          <t>Santiago</t>
        </is>
      </c>
      <c r="D148" s="66" t="inlineStr">
        <is>
          <t>info@arriservice.cl</t>
        </is>
      </c>
      <c r="E148" s="66" t="inlineStr">
        <is>
          <t>(56) 9 327 4018</t>
        </is>
      </c>
      <c r="F148" s="66" t="n"/>
      <c r="G148" s="66" t="n"/>
      <c r="H148" s="66" t="n"/>
      <c r="I148" s="66" t="inlineStr">
        <is>
          <t>99.556.980-9</t>
        </is>
      </c>
      <c r="J148" s="66" t="n"/>
      <c r="K148" s="66" t="inlineStr">
        <is>
          <t>Ventas: MEDIANA 2 (50.000 - 100.000 UF) | Empleados: 32</t>
        </is>
      </c>
      <c r="L148" s="61" t="n"/>
      <c r="M148" s="61" t="n"/>
      <c r="N148" s="61" t="n"/>
      <c r="O148" s="61" t="n"/>
      <c r="P148" s="61" t="n"/>
      <c r="Q148" s="62" t="n"/>
      <c r="R148" s="61" t="n"/>
    </row>
    <row r="149" ht="15.75" customHeight="1" s="38">
      <c r="A149" s="66" t="inlineStr">
        <is>
          <t>Artikos</t>
        </is>
      </c>
      <c r="B149" s="66" t="inlineStr">
        <is>
          <t>Proveedor Destacado, Portal de Negocios y Abastecimiento</t>
        </is>
      </c>
      <c r="C149" s="66" t="inlineStr">
        <is>
          <t>Santiago</t>
        </is>
      </c>
      <c r="D149" s="66" t="inlineStr">
        <is>
          <t>alejandro.marin@artikos.cl</t>
        </is>
      </c>
      <c r="E149" s="66" t="inlineStr">
        <is>
          <t>(56) 2 2395 5400</t>
        </is>
      </c>
      <c r="F149" s="66" t="n"/>
      <c r="G149" s="66" t="n"/>
      <c r="H149" s="66" t="inlineStr">
        <is>
          <t>http://www.artikos.cl</t>
        </is>
      </c>
      <c r="I149" s="66" t="inlineStr">
        <is>
          <t>96953410-K</t>
        </is>
      </c>
      <c r="J149" s="66" t="n"/>
      <c r="K149" s="66" t="inlineStr">
        <is>
          <t>Ventas: GRANDE 2 (200.000 - 600.000 UF) | Empleados: 96</t>
        </is>
      </c>
      <c r="L149" s="61" t="n"/>
      <c r="M149" s="61" t="n"/>
      <c r="N149" s="61" t="n"/>
      <c r="O149" s="61" t="n"/>
      <c r="P149" s="61" t="n"/>
      <c r="Q149" s="62" t="n"/>
      <c r="R149" s="61" t="n"/>
    </row>
    <row r="150" ht="15.75" customHeight="1" s="38">
      <c r="A150" s="59" t="inlineStr">
        <is>
          <t>Artilec Ltda.</t>
        </is>
      </c>
      <c r="B150" s="59" t="inlineStr">
        <is>
          <t>Cámaras IP para Vigilancia, Seguridad Industrial y Minera</t>
        </is>
      </c>
      <c r="C150" s="59" t="inlineStr">
        <is>
          <t>Santiago</t>
        </is>
      </c>
      <c r="D150" s="59" t="n"/>
      <c r="E150" s="59" t="inlineStr">
        <is>
          <t>(56) 2 2240 7500</t>
        </is>
      </c>
      <c r="F150" s="59" t="inlineStr">
        <is>
          <t>Mayron Araya (Soporte Informática)</t>
        </is>
      </c>
      <c r="G150" s="59" t="inlineStr">
        <is>
          <t>maraya@artilec.cl</t>
        </is>
      </c>
      <c r="H150" s="59" t="n"/>
      <c r="I150" s="59" t="inlineStr">
        <is>
          <t>79.796.310-0</t>
        </is>
      </c>
      <c r="J150" s="59" t="inlineStr">
        <is>
          <t>Investigación en Proceso</t>
        </is>
      </c>
      <c r="K150" s="59" t="inlineStr">
        <is>
          <t>Ventas: GRANDE 3 (600.000 - 1.000.000 UF) | Empleados: 67</t>
        </is>
      </c>
      <c r="L150" s="61" t="n"/>
      <c r="M150" s="61" t="n"/>
      <c r="N150" s="61" t="n"/>
      <c r="O150" s="61" t="n"/>
      <c r="P150" s="61" t="n"/>
      <c r="Q150" s="62" t="n"/>
      <c r="R150" s="61" t="n"/>
    </row>
    <row r="151" ht="15.75" customHeight="1" s="38">
      <c r="A151" s="66" t="inlineStr">
        <is>
          <t>ARTL Auditores</t>
        </is>
      </c>
      <c r="B151" s="66" t="inlineStr">
        <is>
          <t>Auditoría, Consultoría, Contabilidad</t>
        </is>
      </c>
      <c r="C151" s="66" t="inlineStr">
        <is>
          <t>Santiago</t>
        </is>
      </c>
      <c r="D151" s="66" t="inlineStr">
        <is>
          <t>rrpp@artl.cl</t>
        </is>
      </c>
      <c r="E151" s="66" t="inlineStr">
        <is>
          <t>(56) 2 2580 0400</t>
        </is>
      </c>
      <c r="F151" s="66" t="n"/>
      <c r="G151" s="66" t="n"/>
      <c r="H151" s="66" t="n"/>
      <c r="I151" s="66" t="inlineStr">
        <is>
          <t>76.073.255-9</t>
        </is>
      </c>
      <c r="J151" s="66" t="n"/>
      <c r="K151" s="66" t="inlineStr">
        <is>
          <t>Ventas: GRANDE 1 (100.000 - 200.000 UF) | Empleados: 62</t>
        </is>
      </c>
      <c r="L151" s="61" t="n"/>
      <c r="M151" s="61" t="n"/>
      <c r="N151" s="61" t="n"/>
      <c r="O151" s="61" t="n"/>
      <c r="P151" s="61" t="n"/>
      <c r="Q151" s="62" t="n"/>
      <c r="R151" s="61" t="n"/>
    </row>
    <row r="152" ht="15.75" customHeight="1" s="38">
      <c r="A152" s="66" t="inlineStr">
        <is>
          <t>AS Chile Energy Group S.A.</t>
        </is>
      </c>
      <c r="B152" s="66" t="inlineStr">
        <is>
          <t>Análisis de Agua</t>
        </is>
      </c>
      <c r="C152" s="66" t="inlineStr">
        <is>
          <t>Santiago</t>
        </is>
      </c>
      <c r="D152" s="66" t="inlineStr">
        <is>
          <t>gestiondeproyectos@aschile.cl</t>
        </is>
      </c>
      <c r="E152" s="66" t="inlineStr">
        <is>
          <t>(56) 9 9619 1885</t>
        </is>
      </c>
      <c r="F152" s="66" t="n"/>
      <c r="G152" s="66" t="n"/>
      <c r="H152" s="66" t="n"/>
      <c r="I152" s="66" t="inlineStr">
        <is>
          <t>96.884.840-2</t>
        </is>
      </c>
      <c r="J152" s="66" t="n"/>
      <c r="K152" s="66" t="inlineStr">
        <is>
          <t>Ventas: MEDIANA 2 (50.000 - 100.000 UF) | Empleados: 3</t>
        </is>
      </c>
      <c r="L152" s="61" t="n"/>
      <c r="M152" s="61" t="n"/>
      <c r="N152" s="61" t="n"/>
      <c r="O152" s="61" t="n"/>
      <c r="P152" s="61" t="n"/>
      <c r="Q152" s="62" t="n"/>
      <c r="R152" s="61" t="n"/>
    </row>
    <row r="153" ht="15.75" customHeight="1" s="38">
      <c r="A153" s="66" t="inlineStr">
        <is>
          <t>ASAP Group</t>
        </is>
      </c>
      <c r="B153" s="66" t="inlineStr">
        <is>
          <t>Recuperación de Campamentos Mineros</t>
        </is>
      </c>
      <c r="C153" s="66" t="inlineStr">
        <is>
          <t>Santiago</t>
        </is>
      </c>
      <c r="D153" s="66" t="inlineStr">
        <is>
          <t>info@asap.cl</t>
        </is>
      </c>
      <c r="E153" s="66" t="inlineStr">
        <is>
          <t>(56) 2 2573 0471</t>
        </is>
      </c>
      <c r="F153" s="66" t="inlineStr">
        <is>
          <t>Gerente de TI / CIO (Director de Tecnología)</t>
        </is>
      </c>
      <c r="G153" s="66" t="n"/>
      <c r="H153" s="66" t="n"/>
      <c r="I153" s="66" t="inlineStr">
        <is>
          <t>76.173.088-6</t>
        </is>
      </c>
      <c r="J153" s="66" t="n"/>
      <c r="K153" s="66" t="inlineStr">
        <is>
          <t>Ventas: GRANDE 4 (Mas de 1.000.000 UF) | Empleados: 1376</t>
        </is>
      </c>
      <c r="L153" s="61" t="n"/>
      <c r="M153" s="61" t="n"/>
      <c r="N153" s="61" t="n"/>
      <c r="O153" s="61" t="n"/>
      <c r="P153" s="61" t="n"/>
      <c r="Q153" s="62" t="n"/>
      <c r="R153" s="61" t="n"/>
    </row>
    <row r="154" ht="15.75" customHeight="1" s="38">
      <c r="A154" s="66" t="inlineStr">
        <is>
          <t>Asap Ingeniería Ltda.</t>
        </is>
      </c>
      <c r="B154" s="66" t="inlineStr">
        <is>
          <t>Consultoría en Ingeniería</t>
        </is>
      </c>
      <c r="C154" s="66" t="inlineStr">
        <is>
          <t>Antofagasta</t>
        </is>
      </c>
      <c r="D154" s="66" t="inlineStr">
        <is>
          <t>jolmosp@asaping.cl</t>
        </is>
      </c>
      <c r="E154" s="66" t="inlineStr">
        <is>
          <t>(56) 55 222 3699</t>
        </is>
      </c>
      <c r="F154" s="66" t="n"/>
      <c r="G154" s="66" t="n"/>
      <c r="H154" s="66" t="n"/>
      <c r="I154" s="66" t="inlineStr">
        <is>
          <t>76.176.676-7</t>
        </is>
      </c>
      <c r="J154" s="66" t="n"/>
      <c r="K154" s="66" t="inlineStr">
        <is>
          <t>Ventas: MEDIANA 1 (25.000 - 50.000 UF) | Empleados: 9</t>
        </is>
      </c>
      <c r="L154" s="61" t="n"/>
      <c r="M154" s="61" t="n"/>
      <c r="N154" s="61" t="n"/>
      <c r="O154" s="61" t="n"/>
      <c r="P154" s="61" t="n"/>
      <c r="Q154" s="62" t="n"/>
      <c r="R154" s="61" t="n"/>
    </row>
    <row r="155" ht="15.75" customHeight="1" s="38">
      <c r="A155" s="66" t="inlineStr">
        <is>
          <t>Ascorp</t>
        </is>
      </c>
      <c r="B155" s="66" t="inlineStr">
        <is>
          <t>Proveedor Destacado, Branding Industrial, Capacitaciones, Consultoría</t>
        </is>
      </c>
      <c r="C155" s="66" t="inlineStr">
        <is>
          <t>Santiago</t>
        </is>
      </c>
      <c r="D155" s="66" t="inlineStr">
        <is>
          <t>dayana.anez@ascorp.cl</t>
        </is>
      </c>
      <c r="E155" s="66" t="inlineStr">
        <is>
          <t>(56) 9 3127 4787</t>
        </is>
      </c>
      <c r="F155" s="66" t="n"/>
      <c r="G155" s="66" t="n"/>
      <c r="H155" s="66" t="inlineStr">
        <is>
          <t>http://www.ascorp.cl</t>
        </is>
      </c>
      <c r="I155" s="66" t="inlineStr">
        <is>
          <t>76.971.855-9</t>
        </is>
      </c>
      <c r="J155" s="66" t="n"/>
      <c r="K155" s="66" t="inlineStr">
        <is>
          <t>Ventas: MEDIANA 1 (25.000 - 50.000 UF) | Empleados: 2</t>
        </is>
      </c>
      <c r="L155" s="61" t="n"/>
      <c r="M155" s="61" t="n"/>
      <c r="N155" s="61" t="n"/>
      <c r="O155" s="61" t="n"/>
      <c r="P155" s="61" t="n"/>
      <c r="Q155" s="62" t="n"/>
      <c r="R155" s="61" t="n"/>
    </row>
    <row r="156" ht="15.75" customHeight="1" s="38">
      <c r="A156" s="66" t="inlineStr">
        <is>
          <t>ASCS</t>
        </is>
      </c>
      <c r="B156" s="66" t="inlineStr">
        <is>
          <t>Capacitación de Personal, Selección y Reclutamiento de Ejecutivos y Personal</t>
        </is>
      </c>
      <c r="C156" s="66" t="inlineStr">
        <is>
          <t>Santiago</t>
        </is>
      </c>
      <c r="D156" s="66" t="inlineStr">
        <is>
          <t>scardenas@ascs.cl</t>
        </is>
      </c>
      <c r="E156" s="66" t="inlineStr">
        <is>
          <t>(56) 2 2225 3054</t>
        </is>
      </c>
      <c r="F156" s="66" t="n"/>
      <c r="G156" s="66" t="n"/>
      <c r="H156" s="66" t="n"/>
      <c r="I156" s="66" t="inlineStr">
        <is>
          <t>76.065.888-K</t>
        </is>
      </c>
      <c r="J156" s="66" t="n"/>
      <c r="K156" s="66" t="inlineStr">
        <is>
          <t>Ventas: PEQUEÑA 1 (2.400 - 5.000 UF) | Empleados: 6</t>
        </is>
      </c>
      <c r="L156" s="61" t="n"/>
      <c r="M156" s="61" t="n"/>
      <c r="N156" s="61" t="n"/>
      <c r="O156" s="61" t="n"/>
      <c r="P156" s="61" t="n"/>
      <c r="Q156" s="62" t="n"/>
      <c r="R156" s="61" t="n"/>
    </row>
    <row r="157" ht="15.75" customHeight="1" s="38">
      <c r="A157" s="66" t="inlineStr">
        <is>
          <t>Asdit</t>
        </is>
      </c>
      <c r="B157" s="66" t="inlineStr">
        <is>
          <t>Asociación para el Desarrollo del Instituto de Tecnologías Limpias</t>
        </is>
      </c>
      <c r="C157" s="66" t="inlineStr">
        <is>
          <t>Santiago</t>
        </is>
      </c>
      <c r="D157" s="66" t="inlineStr">
        <is>
          <t>contacto@asdit.cl</t>
        </is>
      </c>
      <c r="E157" s="66" t="inlineStr">
        <is>
          <t>(56) 2 2605 2660</t>
        </is>
      </c>
      <c r="F157" s="66" t="n"/>
      <c r="G157" s="66" t="n"/>
      <c r="H157" s="66" t="n"/>
      <c r="I157" s="66" t="inlineStr">
        <is>
          <t>70.001.300-6</t>
        </is>
      </c>
      <c r="J157" s="66" t="n"/>
      <c r="K157" s="66" t="inlineStr">
        <is>
          <t>Ventas: GRANDE 1 (100.000 - 200.000 UF) | Empleados: 9</t>
        </is>
      </c>
      <c r="L157" s="61" t="n"/>
      <c r="M157" s="61" t="n"/>
      <c r="N157" s="61" t="n"/>
      <c r="O157" s="61" t="n"/>
      <c r="P157" s="61" t="n"/>
      <c r="Q157" s="62" t="n"/>
      <c r="R157" s="61" t="n"/>
    </row>
    <row r="158" ht="15.75" customHeight="1" s="38">
      <c r="A158" s="66" t="inlineStr">
        <is>
          <t>Asesorías Algoritmos y Mediciones Ambientales SpA</t>
        </is>
      </c>
      <c r="B158" s="66" t="inlineStr">
        <is>
          <t>Servicios de Ingeniería</t>
        </is>
      </c>
      <c r="C158" s="66" t="inlineStr">
        <is>
          <t>Santiago</t>
        </is>
      </c>
      <c r="D158" s="66" t="inlineStr">
        <is>
          <t>cseguel@algoritmospa.com</t>
        </is>
      </c>
      <c r="E158" s="66" t="inlineStr">
        <is>
          <t>(56) 2 2361 6600</t>
        </is>
      </c>
      <c r="F158" s="66" t="inlineStr">
        <is>
          <t>Gerente de TI / CIO (Director de Tecnología)</t>
        </is>
      </c>
      <c r="G158" s="66" t="n"/>
      <c r="H158" s="66" t="n"/>
      <c r="I158" s="66" t="inlineStr">
        <is>
          <t>77.007.600-5</t>
        </is>
      </c>
      <c r="J158" s="66" t="n"/>
      <c r="K158" s="66" t="inlineStr">
        <is>
          <t>Ventas: GRANDE 3 (600.000 - 1.000.000 UF) | Empleados: 437</t>
        </is>
      </c>
      <c r="L158" s="61" t="n"/>
      <c r="M158" s="61" t="n"/>
      <c r="N158" s="61" t="n"/>
      <c r="O158" s="61" t="n"/>
      <c r="P158" s="61" t="n"/>
      <c r="Q158" s="62" t="n"/>
      <c r="R158" s="61" t="n"/>
    </row>
    <row r="159" ht="15.75" customHeight="1" s="38">
      <c r="A159" s="66" t="inlineStr">
        <is>
          <t>Asesorías Jurídicas PHR y Cía. Ltda.</t>
        </is>
      </c>
      <c r="B159" s="66" t="inlineStr">
        <is>
          <t>Asesorías Jurídicas en Minería, Servicios Legales</t>
        </is>
      </c>
      <c r="C159" s="66" t="inlineStr">
        <is>
          <t>Santiago</t>
        </is>
      </c>
      <c r="D159" s="66" t="inlineStr">
        <is>
          <t>info@phr.cl</t>
        </is>
      </c>
      <c r="E159" s="66" t="inlineStr">
        <is>
          <t>(56) 2 2378 5050</t>
        </is>
      </c>
      <c r="F159" s="66" t="n"/>
      <c r="G159" s="66" t="n"/>
      <c r="H159" s="66" t="n"/>
      <c r="I159" s="66" t="inlineStr">
        <is>
          <t>76.435.040-5</t>
        </is>
      </c>
      <c r="J159" s="66" t="n"/>
      <c r="K159" s="66" t="inlineStr">
        <is>
          <t>Ventas: MICRO 2 (200 - 600 UF) | Empleados: 0</t>
        </is>
      </c>
      <c r="L159" s="61" t="n"/>
      <c r="M159" s="61" t="n"/>
      <c r="N159" s="61" t="n"/>
      <c r="O159" s="61" t="n"/>
      <c r="P159" s="61" t="n"/>
      <c r="Q159" s="62" t="n"/>
      <c r="R159" s="61" t="n"/>
    </row>
    <row r="160" ht="15.75" customHeight="1" s="38">
      <c r="A160" s="66" t="inlineStr">
        <is>
          <t>ASI Group Ltda.</t>
        </is>
      </c>
      <c r="B160" s="66" t="inlineStr">
        <is>
          <t>Servicios Submarinos, Trabajos en Aguas Contaminadas</t>
        </is>
      </c>
      <c r="C160" s="66" t="inlineStr">
        <is>
          <t>Viña del Mar</t>
        </is>
      </c>
      <c r="D160" s="66" t="inlineStr">
        <is>
          <t>chile@asi-group.com</t>
        </is>
      </c>
      <c r="E160" s="66" t="inlineStr">
        <is>
          <t>(56) 9 5670 7758</t>
        </is>
      </c>
      <c r="F160" s="66" t="n"/>
      <c r="G160" s="66" t="n"/>
      <c r="H160" s="66" t="n"/>
      <c r="I160" s="66" t="inlineStr">
        <is>
          <t>76.105.820-7</t>
        </is>
      </c>
      <c r="J160" s="66" t="n"/>
      <c r="K160" s="66" t="inlineStr">
        <is>
          <t>Ventas: MICRO 1 (0.01 - 200 UF) | Empleados: 0</t>
        </is>
      </c>
      <c r="L160" s="61" t="n"/>
      <c r="M160" s="61" t="n"/>
      <c r="N160" s="61" t="n"/>
      <c r="O160" s="61" t="n"/>
      <c r="P160" s="61" t="n"/>
      <c r="Q160" s="62" t="n"/>
      <c r="R160" s="61" t="n"/>
    </row>
    <row r="161" ht="15.75" customHeight="1" s="38">
      <c r="A161" s="66" t="inlineStr">
        <is>
          <t>Asicorp</t>
        </is>
      </c>
      <c r="B161" s="66" t="inlineStr">
        <is>
          <t>Revestimientos</t>
        </is>
      </c>
      <c r="C161" s="66" t="inlineStr">
        <is>
          <t>Santiago</t>
        </is>
      </c>
      <c r="D161" s="66" t="inlineStr">
        <is>
          <t>asicorp@asicorp.cl</t>
        </is>
      </c>
      <c r="E161" s="66" t="inlineStr">
        <is>
          <t>(56) 2 2247 4505</t>
        </is>
      </c>
      <c r="F161" s="66" t="n"/>
      <c r="G161" s="66" t="n"/>
      <c r="H161" s="66" t="n"/>
      <c r="I161" s="66" t="inlineStr">
        <is>
          <t>96994790-0</t>
        </is>
      </c>
      <c r="J161" s="66" t="n"/>
      <c r="K161" s="66" t="inlineStr">
        <is>
          <t>Ventas: PEQUEÑA 2 (5.000 - 10.000 UF) | Empleados: 2</t>
        </is>
      </c>
      <c r="L161" s="61" t="n"/>
      <c r="M161" s="61" t="n"/>
      <c r="N161" s="61" t="n"/>
      <c r="O161" s="61" t="n"/>
      <c r="P161" s="61" t="n"/>
      <c r="Q161" s="62" t="n"/>
      <c r="R161" s="61" t="n"/>
    </row>
    <row r="162" ht="15.75" customHeight="1" s="38">
      <c r="A162" s="66" t="inlineStr">
        <is>
          <t>Asociación Chilena de Seguridad</t>
        </is>
      </c>
      <c r="B162" s="66" t="inlineStr">
        <is>
          <t>Prestaciones para la Salud, Servicios para Prevención de Riesgos</t>
        </is>
      </c>
      <c r="C162" s="66" t="inlineStr">
        <is>
          <t>Santiago</t>
        </is>
      </c>
      <c r="D162" s="66" t="inlineStr">
        <is>
          <t>achs@achs.cl</t>
        </is>
      </c>
      <c r="E162" s="66" t="inlineStr">
        <is>
          <t>600 600 2247</t>
        </is>
      </c>
      <c r="F162" s="66" t="n"/>
      <c r="G162" s="66" t="n"/>
      <c r="H162" s="66" t="n"/>
      <c r="I162" s="66" t="inlineStr">
        <is>
          <t>70.360.100-6</t>
        </is>
      </c>
      <c r="J162" s="66" t="n"/>
      <c r="K162" s="66" t="inlineStr">
        <is>
          <t>Ventas: GRANDE (Estimado por Empleados) | Empleados: 7569</t>
        </is>
      </c>
      <c r="L162" s="61" t="n"/>
      <c r="M162" s="61" t="n"/>
      <c r="N162" s="61" t="n"/>
      <c r="O162" s="61" t="n"/>
      <c r="P162" s="61" t="n"/>
      <c r="Q162" s="62" t="n"/>
      <c r="R162" s="61" t="n"/>
    </row>
    <row r="163" ht="15.75" customHeight="1" s="38">
      <c r="A163" s="66" t="inlineStr">
        <is>
          <t>Asociación de Empresas Consultoras de Ingeniería de Chile A.G.</t>
        </is>
      </c>
      <c r="B163" s="66" t="inlineStr">
        <is>
          <t>Asociaciones Gremiales</t>
        </is>
      </c>
      <c r="C163" s="66" t="inlineStr">
        <is>
          <t>Santiago</t>
        </is>
      </c>
      <c r="D163" s="66" t="inlineStr">
        <is>
          <t>aic@aic.cl</t>
        </is>
      </c>
      <c r="E163" s="66" t="inlineStr">
        <is>
          <t>(56) 2 2264 0658</t>
        </is>
      </c>
      <c r="F163" s="66" t="n"/>
      <c r="G163" s="66" t="n"/>
      <c r="H163" s="66" t="n"/>
      <c r="I163" s="66" t="inlineStr">
        <is>
          <t>71.687.000-6</t>
        </is>
      </c>
      <c r="J163" s="66" t="n"/>
      <c r="K163" s="66" t="inlineStr">
        <is>
          <t>Ventas: PEQUEÑA 3 (10.000 - 25.000 UF) | Empleados: 5</t>
        </is>
      </c>
      <c r="L163" s="61" t="n"/>
      <c r="M163" s="61" t="n"/>
      <c r="N163" s="61" t="n"/>
      <c r="O163" s="61" t="n"/>
      <c r="P163" s="61" t="n"/>
      <c r="Q163" s="62" t="n"/>
      <c r="R163" s="61" t="n"/>
    </row>
    <row r="164" ht="15.75" customHeight="1" s="38">
      <c r="A164" s="66" t="inlineStr">
        <is>
          <t>ASQ Ltda.</t>
        </is>
      </c>
      <c r="B164" s="66" t="inlineStr">
        <is>
          <t>Sistemas para Bombeo</t>
        </is>
      </c>
      <c r="C164" s="66" t="inlineStr">
        <is>
          <t>Santiago</t>
        </is>
      </c>
      <c r="D164" s="66" t="inlineStr">
        <is>
          <t>info@asq.cl</t>
        </is>
      </c>
      <c r="E164" s="66" t="inlineStr">
        <is>
          <t>(56) 2 2710 2606</t>
        </is>
      </c>
      <c r="F164" s="66" t="n"/>
      <c r="G164" s="66" t="n"/>
      <c r="H164" s="66" t="n"/>
      <c r="I164" s="66" t="inlineStr">
        <is>
          <t>76.024.311-6</t>
        </is>
      </c>
      <c r="J164" s="66" t="n"/>
      <c r="K164" s="66" t="inlineStr">
        <is>
          <t>Ventas: MEDIANA 1 (25.000 - 50.000 UF) | Empleados: 20</t>
        </is>
      </c>
      <c r="L164" s="61" t="n"/>
      <c r="M164" s="61" t="n"/>
      <c r="N164" s="61" t="n"/>
      <c r="O164" s="61" t="n"/>
      <c r="P164" s="61" t="n"/>
      <c r="Q164" s="62" t="n"/>
      <c r="R164" s="61" t="n"/>
    </row>
    <row r="165" ht="15.75" customHeight="1" s="38">
      <c r="A165" s="66" t="inlineStr">
        <is>
          <t>Assa Ingeniería SpA</t>
        </is>
      </c>
      <c r="B165" s="66" t="inlineStr">
        <is>
          <t>Bombas para Combustibles</t>
        </is>
      </c>
      <c r="C165" s="66" t="inlineStr">
        <is>
          <t>Peñaflor</t>
        </is>
      </c>
      <c r="D165" s="66" t="inlineStr">
        <is>
          <t>ventas@assa.cl</t>
        </is>
      </c>
      <c r="E165" s="66" t="inlineStr">
        <is>
          <t>(56) 2 2557 9899</t>
        </is>
      </c>
      <c r="F165" s="66" t="n"/>
      <c r="G165" s="66" t="n"/>
      <c r="H165" s="66" t="n"/>
      <c r="I165" s="66" t="inlineStr">
        <is>
          <t>76.177.999-0</t>
        </is>
      </c>
      <c r="J165" s="66" t="n"/>
      <c r="K165" s="66" t="inlineStr">
        <is>
          <t>Ventas: MEDIANA 2 (50.000 - 100.000 UF) | Empleados: 27</t>
        </is>
      </c>
      <c r="L165" s="61" t="n"/>
      <c r="M165" s="61" t="n"/>
      <c r="N165" s="61" t="n"/>
      <c r="O165" s="61" t="n"/>
      <c r="P165" s="61" t="n"/>
      <c r="Q165" s="62" t="n"/>
      <c r="R165" s="61" t="n"/>
    </row>
    <row r="166" ht="15.75" customHeight="1" s="38">
      <c r="A166" s="66" t="inlineStr">
        <is>
          <t>AST Industrial</t>
        </is>
      </c>
      <c r="B166" s="66" t="inlineStr">
        <is>
          <t>Equipamiento y Maquinaria Minera</t>
        </is>
      </c>
      <c r="C166" s="66" t="inlineStr">
        <is>
          <t>Santiago</t>
        </is>
      </c>
      <c r="D166" s="66" t="inlineStr">
        <is>
          <t>ventas@ast-industrial.com</t>
        </is>
      </c>
      <c r="E166" s="66" t="inlineStr">
        <is>
          <t>(56) 9 9 9189 3544</t>
        </is>
      </c>
      <c r="F166" s="66" t="n"/>
      <c r="G166" s="66" t="n"/>
      <c r="H166" s="66" t="n"/>
      <c r="I166" s="66" t="inlineStr">
        <is>
          <t>76432224-K</t>
        </is>
      </c>
      <c r="J166" s="66" t="n"/>
      <c r="K166" s="66" t="inlineStr">
        <is>
          <t>Ventas: MEDIANA 2 (50.000 - 100.000 UF) | Empleados: 18</t>
        </is>
      </c>
      <c r="L166" s="61" t="n"/>
      <c r="M166" s="61" t="n"/>
      <c r="N166" s="61" t="n"/>
      <c r="O166" s="61" t="n"/>
      <c r="P166" s="61" t="n"/>
      <c r="Q166" s="62" t="n"/>
      <c r="R166" s="61" t="n"/>
    </row>
    <row r="167" ht="15.75" customHeight="1" s="38">
      <c r="A167" s="66" t="inlineStr">
        <is>
          <t>Aster Chile Ltda.</t>
        </is>
      </c>
      <c r="B167" s="66" t="inlineStr">
        <is>
          <t>Aislación Térmica</t>
        </is>
      </c>
      <c r="C167" s="66" t="inlineStr">
        <is>
          <t>Coronel</t>
        </is>
      </c>
      <c r="D167" s="66" t="inlineStr">
        <is>
          <t>info@asterchile.cl</t>
        </is>
      </c>
      <c r="E167" s="66" t="inlineStr">
        <is>
          <t>(56) 41 256 8930</t>
        </is>
      </c>
      <c r="F167" s="66" t="n"/>
      <c r="G167" s="66" t="n"/>
      <c r="H167" s="66" t="n"/>
      <c r="I167" s="66" t="inlineStr">
        <is>
          <t>77379515-0</t>
        </is>
      </c>
      <c r="J167" s="66" t="n"/>
      <c r="K167" s="66" t="inlineStr">
        <is>
          <t>Ventas: MICRO 2 (200 - 600 UF) | Empleados: 0</t>
        </is>
      </c>
      <c r="L167" s="61" t="n"/>
      <c r="M167" s="61" t="n"/>
      <c r="N167" s="61" t="n"/>
      <c r="O167" s="61" t="n"/>
      <c r="P167" s="61" t="n"/>
      <c r="Q167" s="62" t="n"/>
      <c r="R167" s="61" t="n"/>
    </row>
    <row r="168" ht="15.75" customHeight="1" s="38">
      <c r="A168" s="66" t="inlineStr">
        <is>
          <t>Atacama Drill S.A.</t>
        </is>
      </c>
      <c r="B168" s="66" t="inlineStr">
        <is>
          <t>Construcción de Pozos Profundos</t>
        </is>
      </c>
      <c r="C168" s="66" t="inlineStr">
        <is>
          <t>Santiago</t>
        </is>
      </c>
      <c r="D168" s="66" t="inlineStr">
        <is>
          <t>ventas@atacamadrill.cl</t>
        </is>
      </c>
      <c r="E168" s="66" t="inlineStr">
        <is>
          <t>(56) 9 6586 0796</t>
        </is>
      </c>
      <c r="F168" s="66" t="n"/>
      <c r="G168" s="66" t="n"/>
      <c r="H168" s="66" t="n"/>
      <c r="I168" s="66" t="inlineStr">
        <is>
          <t>96707080-7</t>
        </is>
      </c>
      <c r="J168" s="66" t="n"/>
      <c r="K168" s="66" t="inlineStr">
        <is>
          <t>Ventas: PEQUEÑA 3 (10.000 - 25.000 UF) | Empleados: 5</t>
        </is>
      </c>
      <c r="L168" s="61" t="n"/>
      <c r="M168" s="61" t="n"/>
      <c r="N168" s="61" t="n"/>
      <c r="O168" s="61" t="n"/>
      <c r="P168" s="61" t="n"/>
      <c r="Q168" s="62" t="n"/>
      <c r="R168" s="61" t="n"/>
    </row>
    <row r="169" ht="15.75" customHeight="1" s="38">
      <c r="A169" s="66" t="inlineStr">
        <is>
          <t>Atacama Kozan, SCM</t>
        </is>
      </c>
      <c r="B169" s="66" t="inlineStr">
        <is>
          <t>Cobre, Plata</t>
        </is>
      </c>
      <c r="C169" s="66" t="inlineStr">
        <is>
          <t>Copiapó</t>
        </is>
      </c>
      <c r="D169" s="66" t="inlineStr">
        <is>
          <t>contacto@atacamakozan.cl</t>
        </is>
      </c>
      <c r="E169" s="66" t="inlineStr">
        <is>
          <t>(56) 52 220 3856</t>
        </is>
      </c>
      <c r="F169" s="66" t="n"/>
      <c r="G169" s="66" t="n"/>
      <c r="H169" s="66" t="n"/>
      <c r="I169" s="66" t="inlineStr">
        <is>
          <t>77.134.510-7</t>
        </is>
      </c>
      <c r="J169" s="66" t="n"/>
      <c r="K169" s="66" t="inlineStr">
        <is>
          <t>Ventas: GRANDE (Estimado por Empleados) | Empleados: 562</t>
        </is>
      </c>
      <c r="L169" s="61" t="n"/>
      <c r="M169" s="61" t="n"/>
      <c r="N169" s="61" t="n"/>
      <c r="O169" s="61" t="n"/>
      <c r="P169" s="61" t="n"/>
      <c r="Q169" s="62" t="n"/>
      <c r="R169" s="61" t="n"/>
    </row>
    <row r="170" ht="15.75" customHeight="1" s="38">
      <c r="A170" s="66" t="inlineStr">
        <is>
          <t>Atco Sabinco</t>
        </is>
      </c>
      <c r="B170" s="66" t="inlineStr">
        <is>
          <t>Construcciones Modulares</t>
        </is>
      </c>
      <c r="C170" s="66" t="inlineStr">
        <is>
          <t>Santiago</t>
        </is>
      </c>
      <c r="D170" s="66" t="inlineStr">
        <is>
          <t>info@atcosabinco.com</t>
        </is>
      </c>
      <c r="E170" s="66" t="inlineStr">
        <is>
          <t>(56) 2 2391 9800</t>
        </is>
      </c>
      <c r="F170" s="66" t="inlineStr">
        <is>
          <t>Gerente de TI / CIO (Director de Tecnología)</t>
        </is>
      </c>
      <c r="G170" s="66" t="n"/>
      <c r="H170" s="66" t="n"/>
      <c r="I170" s="66" t="inlineStr">
        <is>
          <t>76.175.835-7</t>
        </is>
      </c>
      <c r="J170" s="66" t="n"/>
      <c r="K170" s="66" t="inlineStr">
        <is>
          <t>Ventas: GRANDE 4 (Mas de 1.000.000 UF) | Empleados: 949</t>
        </is>
      </c>
      <c r="L170" s="61" t="n"/>
      <c r="M170" s="61" t="n"/>
      <c r="N170" s="61" t="n"/>
      <c r="O170" s="61" t="n"/>
      <c r="P170" s="61" t="n"/>
      <c r="Q170" s="62" t="n"/>
      <c r="R170" s="61" t="n"/>
    </row>
    <row r="171" ht="15.75" customHeight="1" s="38">
      <c r="A171" s="66" t="inlineStr">
        <is>
          <t>ATI - Antofagasta Terminal Internacional</t>
        </is>
      </c>
      <c r="B171" s="66" t="inlineStr">
        <is>
          <t>Puertos, Terminales Portuarios, Transferencia de Carga Marítima</t>
        </is>
      </c>
      <c r="C171" s="66" t="inlineStr">
        <is>
          <t>Antofagasta</t>
        </is>
      </c>
      <c r="D171" s="66" t="inlineStr">
        <is>
          <t>comercial@atiport.cl</t>
        </is>
      </c>
      <c r="E171" s="66" t="inlineStr">
        <is>
          <t>(56) 55 243 2350</t>
        </is>
      </c>
      <c r="F171" s="66" t="n"/>
      <c r="G171" s="66" t="n"/>
      <c r="H171" s="66" t="n"/>
      <c r="I171" s="66" t="inlineStr">
        <is>
          <t>99.511.240-K</t>
        </is>
      </c>
      <c r="J171" s="66" t="n"/>
      <c r="K171" s="66" t="inlineStr">
        <is>
          <t>Ventas: MEDIANA (Estimado por Empleados) | Empleados: 162</t>
        </is>
      </c>
      <c r="L171" s="61" t="n"/>
      <c r="M171" s="61" t="n"/>
      <c r="N171" s="61" t="n"/>
      <c r="O171" s="61" t="n"/>
      <c r="P171" s="61" t="n"/>
      <c r="Q171" s="62" t="n"/>
      <c r="R171" s="61" t="n"/>
    </row>
    <row r="172" ht="15.75" customHeight="1" s="38">
      <c r="A172" s="66" t="inlineStr">
        <is>
          <t>ATI Trade</t>
        </is>
      </c>
      <c r="B172" s="66" t="inlineStr">
        <is>
          <t>Proveedor Destacado, Aceros para Perforación, Aditivos para Sondajes Mineros, Barras para Perforación, Capacitación y Entrenamiento en Perforación, Consultoría en Perforación e Hidrogeología, Equipos de Geología y Estudio de Suelos, Equipos para Perforación, Equipos para Perforación y Sondaje de Minas</t>
        </is>
      </c>
      <c r="C172" s="66" t="inlineStr">
        <is>
          <t>Santiago</t>
        </is>
      </c>
      <c r="D172" s="66" t="inlineStr">
        <is>
          <t>info@atitrade.cl</t>
        </is>
      </c>
      <c r="E172" s="66" t="inlineStr">
        <is>
          <t>(56) 2 2759 1292</t>
        </is>
      </c>
      <c r="F172" s="66" t="n"/>
      <c r="G172" s="66" t="n"/>
      <c r="H172" s="66" t="inlineStr">
        <is>
          <t>http://www.atitrade.cl</t>
        </is>
      </c>
      <c r="I172" s="66" t="inlineStr">
        <is>
          <t>76.271.682-8</t>
        </is>
      </c>
      <c r="J172" s="66" t="n"/>
      <c r="K172" s="66" t="inlineStr">
        <is>
          <t>Ventas: MEDIANA 1 (25.000 - 50.000 UF) | Empleados: 6</t>
        </is>
      </c>
      <c r="L172" s="61" t="n"/>
      <c r="M172" s="61" t="n"/>
      <c r="N172" s="61" t="n"/>
      <c r="O172" s="61" t="n"/>
      <c r="P172" s="61" t="n"/>
      <c r="Q172" s="62" t="n"/>
      <c r="R172" s="61" t="n"/>
    </row>
    <row r="173" ht="15.75" customHeight="1" s="38">
      <c r="A173" s="66" t="inlineStr">
        <is>
          <t>Atlas Copco</t>
        </is>
      </c>
      <c r="B173" s="66" t="inlineStr">
        <is>
          <t>Soluciones de Aire Comprimido</t>
        </is>
      </c>
      <c r="C173" s="66" t="inlineStr">
        <is>
          <t>Santiago</t>
        </is>
      </c>
      <c r="D173" s="66" t="inlineStr">
        <is>
          <t>atlascopco.chile@atlascopco.com</t>
        </is>
      </c>
      <c r="E173" s="66" t="inlineStr">
        <is>
          <t>(56) 2 2997 3500</t>
        </is>
      </c>
      <c r="F173" s="66" t="n"/>
      <c r="G173" s="66" t="n"/>
      <c r="H173" s="66" t="n"/>
      <c r="I173" s="66" t="inlineStr">
        <is>
          <t>76.783.709-7</t>
        </is>
      </c>
      <c r="J173" s="66" t="n"/>
      <c r="K173" s="66" t="inlineStr">
        <is>
          <t>Ventas: GRANDE (Estimado por Empleados) | Empleados: 402</t>
        </is>
      </c>
      <c r="L173" s="61" t="n"/>
      <c r="M173" s="61" t="n"/>
      <c r="N173" s="61" t="n"/>
      <c r="O173" s="61" t="n"/>
      <c r="P173" s="61" t="n"/>
      <c r="Q173" s="62" t="n"/>
      <c r="R173" s="61" t="n"/>
    </row>
    <row r="174" ht="15.75" customHeight="1" s="38">
      <c r="A174" s="59" t="inlineStr">
        <is>
          <t>Atlas Renewable Energy</t>
        </is>
      </c>
      <c r="B174" s="59" t="inlineStr">
        <is>
          <t>Plantas de Energía Solar</t>
        </is>
      </c>
      <c r="C174" s="59" t="inlineStr">
        <is>
          <t>Santiago</t>
        </is>
      </c>
      <c r="D174" s="59" t="inlineStr">
        <is>
          <t>asolar@atlasren.com</t>
        </is>
      </c>
      <c r="E174" s="59" t="inlineStr">
        <is>
          <t>(56) 2 2611 8300</t>
        </is>
      </c>
      <c r="F174" s="59" t="inlineStr">
        <is>
          <t>Francisca Latorre H. (Corporate IT Manager)</t>
        </is>
      </c>
      <c r="G174" s="59" t="inlineStr">
        <is>
          <t>flatorre@atlasrenewableenergy.com</t>
        </is>
      </c>
      <c r="H174" s="59" t="n"/>
      <c r="I174" s="59" t="inlineStr">
        <is>
          <t>76376627-6</t>
        </is>
      </c>
      <c r="J174" s="59" t="inlineStr">
        <is>
          <t>Investigación en Proceso</t>
        </is>
      </c>
      <c r="K174" s="59" t="inlineStr">
        <is>
          <t>Ventas: GRANDE 3 (600.000 - 1.000.000 UF) | Empleados: 0</t>
        </is>
      </c>
      <c r="L174" s="61" t="n"/>
      <c r="M174" s="61" t="n"/>
      <c r="N174" s="61" t="n"/>
      <c r="O174" s="61" t="n"/>
      <c r="P174" s="61" t="n"/>
      <c r="Q174" s="62" t="n"/>
      <c r="R174" s="61" t="n"/>
    </row>
    <row r="175" ht="15.75" customHeight="1" s="38">
      <c r="A175" s="66" t="inlineStr">
        <is>
          <t>ATM Consultores SpA</t>
        </is>
      </c>
      <c r="B175" s="66" t="inlineStr">
        <is>
          <t>Consultoría en Medioambiente</t>
        </is>
      </c>
      <c r="C175" s="66" t="inlineStr">
        <is>
          <t>Santiago</t>
        </is>
      </c>
      <c r="D175" s="66" t="inlineStr">
        <is>
          <t>gespejo@atmsa.cl</t>
        </is>
      </c>
      <c r="E175" s="66" t="inlineStr">
        <is>
          <t>(56) 2 2945 8900</t>
        </is>
      </c>
      <c r="F175" s="66" t="n"/>
      <c r="G175" s="66" t="n"/>
      <c r="H175" s="66" t="n"/>
      <c r="I175" s="66" t="inlineStr">
        <is>
          <t>76.111.348-8</t>
        </is>
      </c>
      <c r="J175" s="66" t="n"/>
      <c r="K175" s="66" t="inlineStr">
        <is>
          <t>Ventas: GRANDE 1 (100.000 - 200.000 UF) | Empleados: 73</t>
        </is>
      </c>
      <c r="L175" s="61" t="n"/>
      <c r="M175" s="61" t="n"/>
      <c r="N175" s="61" t="n"/>
      <c r="O175" s="61" t="n"/>
      <c r="P175" s="61" t="n"/>
      <c r="Q175" s="62" t="n"/>
      <c r="R175" s="61" t="n"/>
    </row>
    <row r="176" ht="15.75" customHeight="1" s="38">
      <c r="A176" s="66" t="inlineStr">
        <is>
          <t>Atomic Solutions</t>
        </is>
      </c>
      <c r="B176" s="66" t="inlineStr">
        <is>
          <t>Automatización Industrial, Procesos de Optimización</t>
        </is>
      </c>
      <c r="C176" s="66" t="inlineStr">
        <is>
          <t>Antofagasta</t>
        </is>
      </c>
      <c r="D176" s="66" t="inlineStr">
        <is>
          <t>contacto@atomicsolutions.cl</t>
        </is>
      </c>
      <c r="E176" s="66" t="inlineStr">
        <is>
          <t>(56) 9 9510 4288</t>
        </is>
      </c>
      <c r="F176" s="66" t="n"/>
      <c r="G176" s="66" t="n"/>
      <c r="H176" s="66" t="n"/>
      <c r="I176" s="66" t="inlineStr">
        <is>
          <t>77316006-6</t>
        </is>
      </c>
      <c r="J176" s="66" t="n"/>
      <c r="K176" s="66" t="inlineStr">
        <is>
          <t>Ventas: MICRO 3 (600 - 2.400 UF) | Empleados: 0</t>
        </is>
      </c>
      <c r="L176" s="61" t="n"/>
      <c r="M176" s="61" t="n"/>
      <c r="N176" s="61" t="n"/>
      <c r="O176" s="61" t="n"/>
      <c r="P176" s="61" t="n"/>
      <c r="Q176" s="62" t="n"/>
      <c r="R176" s="61" t="n"/>
    </row>
    <row r="177" ht="15.75" customHeight="1" s="38">
      <c r="A177" s="59" t="inlineStr">
        <is>
          <t>AtPac Doka</t>
        </is>
      </c>
      <c r="B177" s="59" t="inlineStr">
        <is>
          <t>Andamios</t>
        </is>
      </c>
      <c r="C177" s="59" t="inlineStr">
        <is>
          <t>Santiago</t>
        </is>
      </c>
      <c r="D177" s="59" t="inlineStr">
        <is>
          <t>rodrigo.sanchez@atpac-doka.com</t>
        </is>
      </c>
      <c r="E177" s="59" t="inlineStr">
        <is>
          <t>(56) 9 3394 1026</t>
        </is>
      </c>
      <c r="F177" s="59" t="inlineStr">
        <is>
          <t>Aldo Veas (Technical Manager LATAM)</t>
        </is>
      </c>
      <c r="G177" s="59" t="n"/>
      <c r="H177" s="59" t="n"/>
      <c r="I177" s="59" t="inlineStr">
        <is>
          <t>77.383.881-K</t>
        </is>
      </c>
      <c r="J177" s="59" t="inlineStr">
        <is>
          <t>Encofrados &amp; Seguridad Construcción</t>
        </is>
      </c>
      <c r="K177" s="59" t="inlineStr">
        <is>
          <t>Ventas: GRANDE 2 (200.000 - 600.000 UF) | Empleados: 43</t>
        </is>
      </c>
      <c r="L177" s="61" t="n"/>
      <c r="M177" s="61" t="n"/>
      <c r="N177" s="61" t="n"/>
      <c r="O177" s="61" t="n"/>
      <c r="P177" s="61" t="n"/>
      <c r="Q177" s="62" t="n"/>
      <c r="R177" s="61" t="n"/>
    </row>
    <row r="178" ht="15.75" customHeight="1" s="38">
      <c r="A178" s="66" t="inlineStr">
        <is>
          <t>ATS Maquinarias</t>
        </is>
      </c>
      <c r="B178" s="66" t="inlineStr">
        <is>
          <t>Plataformas Aéreas, Torres de Iluminación</t>
        </is>
      </c>
      <c r="C178" s="66" t="inlineStr">
        <is>
          <t>Santiago</t>
        </is>
      </c>
      <c r="D178" s="66" t="inlineStr">
        <is>
          <t>contacto@ats.cl</t>
        </is>
      </c>
      <c r="E178" s="66" t="inlineStr">
        <is>
          <t>(56) 9 7754 7967</t>
        </is>
      </c>
      <c r="F178" s="66" t="inlineStr">
        <is>
          <t>Gerente de TI / CIO (Director de Tecnología)</t>
        </is>
      </c>
      <c r="G178" s="66" t="n"/>
      <c r="H178" s="66" t="n"/>
      <c r="I178" s="66" t="inlineStr">
        <is>
          <t>99.555.350-3</t>
        </is>
      </c>
      <c r="J178" s="66" t="n"/>
      <c r="K178" s="66" t="inlineStr">
        <is>
          <t>Ventas: GRANDE 3 (600.000 - 1.000.000 UF) | Empleados: 38</t>
        </is>
      </c>
      <c r="L178" s="61" t="n"/>
      <c r="M178" s="61" t="n"/>
      <c r="N178" s="61" t="n"/>
      <c r="O178" s="61" t="n"/>
      <c r="P178" s="61" t="n"/>
      <c r="Q178" s="62" t="n"/>
      <c r="R178" s="61" t="n"/>
    </row>
    <row r="179" ht="15.75" customHeight="1" s="38">
      <c r="A179" s="66" t="inlineStr">
        <is>
          <t>ATT Conexiones S.A.</t>
        </is>
      </c>
      <c r="B179" s="66" t="inlineStr">
        <is>
          <t>Tubos de Polietileno de Alta Densidad (HDPE), Válvulas</t>
        </is>
      </c>
      <c r="C179" s="66" t="inlineStr">
        <is>
          <t>Santiago</t>
        </is>
      </c>
      <c r="D179" s="66" t="inlineStr">
        <is>
          <t>att@attconexiones.cl</t>
        </is>
      </c>
      <c r="E179" s="66" t="inlineStr">
        <is>
          <t>(56) 2 2957 4480</t>
        </is>
      </c>
      <c r="F179" s="66" t="n"/>
      <c r="G179" s="66" t="n"/>
      <c r="H179" s="66" t="n"/>
      <c r="I179" s="66" t="inlineStr">
        <is>
          <t>76.062.736-4</t>
        </is>
      </c>
      <c r="J179" s="66" t="n"/>
      <c r="K179" s="66" t="inlineStr">
        <is>
          <t>Ventas: MEDIANA 2 (50.000 - 100.000 UF) | Empleados: 22</t>
        </is>
      </c>
      <c r="L179" s="61" t="n"/>
      <c r="M179" s="61" t="n"/>
      <c r="N179" s="61" t="n"/>
      <c r="O179" s="61" t="n"/>
      <c r="P179" s="61" t="n"/>
      <c r="Q179" s="62" t="n"/>
      <c r="R179" s="61" t="n"/>
    </row>
    <row r="180" ht="15.75" customHeight="1" s="38">
      <c r="A180" s="66" t="inlineStr">
        <is>
          <t>Attex Ltda.</t>
        </is>
      </c>
      <c r="B180" s="66" t="inlineStr">
        <is>
          <t>Spools, Tubos de Acero</t>
        </is>
      </c>
      <c r="C180" s="66" t="inlineStr">
        <is>
          <t>Santiago</t>
        </is>
      </c>
      <c r="D180" s="66" t="inlineStr">
        <is>
          <t>ventas@attex.cl</t>
        </is>
      </c>
      <c r="E180" s="66" t="inlineStr">
        <is>
          <t>(56) 2 2924 1750</t>
        </is>
      </c>
      <c r="F180" s="66" t="inlineStr">
        <is>
          <t>Gerente de TI / CIO (Director de Tecnología)</t>
        </is>
      </c>
      <c r="G180" s="66" t="n"/>
      <c r="H180" s="66" t="n"/>
      <c r="I180" s="66" t="inlineStr">
        <is>
          <t>85.257.700-2</t>
        </is>
      </c>
      <c r="J180" s="66" t="n"/>
      <c r="K180" s="66" t="inlineStr">
        <is>
          <t>Ventas: GRANDE 3 (600.000 - 1.000.000 UF) | Empleados: 45</t>
        </is>
      </c>
      <c r="L180" s="61" t="n"/>
      <c r="M180" s="61" t="n"/>
      <c r="N180" s="61" t="n"/>
      <c r="O180" s="61" t="n"/>
      <c r="P180" s="61" t="n"/>
      <c r="Q180" s="62" t="n"/>
      <c r="R180" s="61" t="n"/>
    </row>
    <row r="181" ht="15.75" customHeight="1" s="38">
      <c r="A181" s="66" t="inlineStr">
        <is>
          <t>Auma Chile Ltda.</t>
        </is>
      </c>
      <c r="B181" s="66" t="inlineStr">
        <is>
          <t>Actuadores, Válvulas</t>
        </is>
      </c>
      <c r="C181" s="66" t="inlineStr">
        <is>
          <t>Buin</t>
        </is>
      </c>
      <c r="D181" s="66" t="inlineStr">
        <is>
          <t>lmcayazzo@auma-chile.cl</t>
        </is>
      </c>
      <c r="E181" s="66" t="inlineStr">
        <is>
          <t>(56) 2 2821 4108</t>
        </is>
      </c>
      <c r="F181" s="66" t="n"/>
      <c r="G181" s="66" t="n"/>
      <c r="H181" s="66" t="n"/>
      <c r="I181" s="66" t="inlineStr">
        <is>
          <t>77.718.180-7</t>
        </is>
      </c>
      <c r="J181" s="66" t="n"/>
      <c r="K181" s="66" t="inlineStr">
        <is>
          <t>Ventas: MICRO 1 (0.01 - 200 UF) | Empleados: 0</t>
        </is>
      </c>
      <c r="L181" s="61" t="n"/>
      <c r="M181" s="61" t="n"/>
      <c r="N181" s="61" t="n"/>
      <c r="O181" s="61" t="n"/>
      <c r="P181" s="61" t="n"/>
      <c r="Q181" s="62" t="n"/>
      <c r="R181" s="61" t="n"/>
    </row>
    <row r="182" ht="15.75" customHeight="1" s="38">
      <c r="A182" s="66" t="inlineStr">
        <is>
          <t>Auraer</t>
        </is>
      </c>
      <c r="B182" s="66" t="inlineStr">
        <is>
          <t>Energía Hidráulica, Energía Solar</t>
        </is>
      </c>
      <c r="C182" s="66" t="inlineStr">
        <is>
          <t>Santiago</t>
        </is>
      </c>
      <c r="D182" s="66" t="inlineStr">
        <is>
          <t>info@auraer.com</t>
        </is>
      </c>
      <c r="E182" s="66" t="inlineStr">
        <is>
          <t>(56) 9 6797 6907</t>
        </is>
      </c>
      <c r="F182" s="66" t="n"/>
      <c r="G182" s="66" t="n"/>
      <c r="H182" s="66" t="n"/>
      <c r="I182" s="66" t="inlineStr">
        <is>
          <t>76512642-8</t>
        </is>
      </c>
      <c r="J182" s="66" t="n"/>
      <c r="K182" s="66" t="inlineStr">
        <is>
          <t>Ventas: MICRO 3 (600 - 2.400 UF) | Empleados: 0</t>
        </is>
      </c>
      <c r="L182" s="61" t="n"/>
      <c r="M182" s="61" t="n"/>
      <c r="N182" s="61" t="n"/>
      <c r="O182" s="61" t="n"/>
      <c r="P182" s="61" t="n"/>
      <c r="Q182" s="62" t="n"/>
      <c r="R182" s="61" t="n"/>
    </row>
    <row r="183" ht="15.75" customHeight="1" s="38">
      <c r="A183" s="66" t="inlineStr">
        <is>
          <t>Ausenco Chile Ltda.</t>
        </is>
      </c>
      <c r="B183" s="66" t="inlineStr">
        <is>
          <t>Contratos EPC-EPCM, Servicios de Ingeniería y Procesos</t>
        </is>
      </c>
      <c r="C183" s="66" t="inlineStr">
        <is>
          <t>Santiago</t>
        </is>
      </c>
      <c r="D183" s="66" t="inlineStr">
        <is>
          <t>ausencochile@ausenco.com</t>
        </is>
      </c>
      <c r="E183" s="66" t="inlineStr">
        <is>
          <t>(56) 2 2937 0000</t>
        </is>
      </c>
      <c r="F183" s="66" t="n"/>
      <c r="G183" s="66" t="n"/>
      <c r="H183" s="66" t="n"/>
      <c r="I183" s="66" t="inlineStr">
        <is>
          <t>78.727.440-4</t>
        </is>
      </c>
      <c r="J183" s="66" t="n"/>
      <c r="K183" s="66" t="inlineStr">
        <is>
          <t>Ventas: GRANDE (Estimado por Empleados) | Empleados: 1066</t>
        </is>
      </c>
      <c r="L183" s="61" t="n"/>
      <c r="M183" s="61" t="n"/>
      <c r="N183" s="61" t="n"/>
      <c r="O183" s="61" t="n"/>
      <c r="P183" s="61" t="n"/>
      <c r="Q183" s="62" t="n"/>
      <c r="R183" s="61" t="n"/>
    </row>
    <row r="184" ht="15.75" customHeight="1" s="38">
      <c r="A184" s="66" t="inlineStr">
        <is>
          <t>Austin Ingenieros</t>
        </is>
      </c>
      <c r="B184" s="66" t="inlineStr">
        <is>
          <t>Retroexcavadoras, Tolvas</t>
        </is>
      </c>
      <c r="C184" s="66" t="inlineStr">
        <is>
          <t>Antofagasta</t>
        </is>
      </c>
      <c r="D184" s="66" t="inlineStr">
        <is>
          <t>ventas@austining.cl</t>
        </is>
      </c>
      <c r="E184" s="66" t="inlineStr">
        <is>
          <t>(56) 55 265 7420</t>
        </is>
      </c>
      <c r="F184" s="66" t="n"/>
      <c r="G184" s="66" t="n"/>
      <c r="H184" s="66" t="n"/>
      <c r="I184" s="66" t="inlineStr">
        <is>
          <t>76064849-3</t>
        </is>
      </c>
      <c r="J184" s="66" t="n"/>
      <c r="K184" s="66" t="inlineStr">
        <is>
          <t>Ventas: GRANDE (Estimado por Empleados) | Empleados: 214</t>
        </is>
      </c>
      <c r="L184" s="61" t="n"/>
      <c r="M184" s="61" t="n"/>
      <c r="N184" s="61" t="n"/>
      <c r="O184" s="61" t="n"/>
      <c r="P184" s="61" t="n"/>
      <c r="Q184" s="62" t="n"/>
      <c r="R184" s="61" t="n"/>
    </row>
    <row r="185" ht="15.75" customHeight="1" s="38">
      <c r="A185" s="66" t="inlineStr">
        <is>
          <t>Austin Powder Chile</t>
        </is>
      </c>
      <c r="B185" s="66" t="inlineStr">
        <is>
          <t>Detonantes Electrónicos, Servicios para Tronaduras</t>
        </is>
      </c>
      <c r="C185" s="66" t="inlineStr">
        <is>
          <t>Santiago</t>
        </is>
      </c>
      <c r="D185" s="66" t="inlineStr">
        <is>
          <t>apchile@austin.cl</t>
        </is>
      </c>
      <c r="E185" s="66" t="inlineStr">
        <is>
          <t>(56) 2 2374 0030</t>
        </is>
      </c>
      <c r="F185" s="66" t="inlineStr">
        <is>
          <t>Gerente de TI / CIO (Director de Tecnología)</t>
        </is>
      </c>
      <c r="G185" s="66" t="n"/>
      <c r="H185" s="66" t="n"/>
      <c r="I185" s="66" t="inlineStr">
        <is>
          <t>96.511.470-K</t>
        </is>
      </c>
      <c r="J185" s="66" t="n"/>
      <c r="K185" s="66" t="inlineStr">
        <is>
          <t>Ventas: GRANDE 3 (600.000 - 1.000.000 UF) | Empleados: 68</t>
        </is>
      </c>
      <c r="L185" s="61" t="n"/>
      <c r="M185" s="61" t="n"/>
      <c r="N185" s="61" t="n"/>
      <c r="O185" s="61" t="n"/>
      <c r="P185" s="61" t="n"/>
      <c r="Q185" s="62" t="n"/>
      <c r="R185" s="61" t="n"/>
    </row>
    <row r="186" ht="15.75" customHeight="1" s="38">
      <c r="A186" s="66" t="inlineStr">
        <is>
          <t>Austral Chemicals</t>
        </is>
      </c>
      <c r="B186" s="66" t="inlineStr">
        <is>
          <t>Proveedor Destacado, Biocidas, Resinas Epóxicas, Silicato de Sodio, Soluciones de Limpieza Industrial</t>
        </is>
      </c>
      <c r="C186" s="66" t="inlineStr">
        <is>
          <t>Santiago</t>
        </is>
      </c>
      <c r="D186" s="66" t="inlineStr">
        <is>
          <t>info@austral-chem.cl</t>
        </is>
      </c>
      <c r="E186" s="66" t="inlineStr">
        <is>
          <t>(56) 2 2663 5300</t>
        </is>
      </c>
      <c r="F186" s="66" t="n"/>
      <c r="G186" s="66" t="n"/>
      <c r="H186" s="66" t="inlineStr">
        <is>
          <t>http://www.austral-chem.cl</t>
        </is>
      </c>
      <c r="I186" s="66" t="inlineStr">
        <is>
          <t>90.000.997-8</t>
        </is>
      </c>
      <c r="J186" s="66" t="n"/>
      <c r="K186" s="66" t="inlineStr">
        <is>
          <t>Ventas: No en base SII | Empleados: S/I</t>
        </is>
      </c>
      <c r="L186" s="61" t="n"/>
      <c r="M186" s="61" t="n"/>
      <c r="N186" s="61" t="n"/>
      <c r="O186" s="61" t="n"/>
      <c r="P186" s="61" t="n"/>
      <c r="Q186" s="62" t="n"/>
      <c r="R186" s="61" t="n"/>
    </row>
    <row r="187" ht="15.75" customHeight="1" s="38">
      <c r="A187" s="66" t="inlineStr">
        <is>
          <t>Austral Mining Services S.A.</t>
        </is>
      </c>
      <c r="B187" s="66" t="inlineStr">
        <is>
          <t>Correas Transportadoras, Polines</t>
        </is>
      </c>
      <c r="C187" s="66" t="inlineStr">
        <is>
          <t>Santiago</t>
        </is>
      </c>
      <c r="D187" s="66" t="inlineStr">
        <is>
          <t>fernando.balart@ams-corp.co</t>
        </is>
      </c>
      <c r="E187" s="66" t="inlineStr">
        <is>
          <t>(56) 9 9469 4761</t>
        </is>
      </c>
      <c r="F187" s="66" t="n"/>
      <c r="G187" s="66" t="n"/>
      <c r="H187" s="66" t="n"/>
      <c r="I187" s="66" t="inlineStr">
        <is>
          <t>76555935-9</t>
        </is>
      </c>
      <c r="J187" s="66" t="n"/>
      <c r="K187" s="66" t="inlineStr">
        <is>
          <t>Ventas: GRANDE 1 (100.000 - 200.000 UF) | Empleados: 67</t>
        </is>
      </c>
      <c r="L187" s="61" t="n"/>
      <c r="M187" s="61" t="n"/>
      <c r="N187" s="61" t="n"/>
      <c r="O187" s="61" t="n"/>
      <c r="P187" s="61" t="n"/>
      <c r="Q187" s="62" t="n"/>
      <c r="R187" s="61" t="n"/>
    </row>
    <row r="188" ht="15.75" customHeight="1" s="38">
      <c r="A188" s="66" t="inlineStr">
        <is>
          <t>AustriaEnergy Chile SpA</t>
        </is>
      </c>
      <c r="B188" s="66" t="inlineStr">
        <is>
          <t>Desarrollo de Plantas de Energia Eólica e Hidrógeno Verde, Desarrollo de Plantas de Energía Fotovoltaica</t>
        </is>
      </c>
      <c r="C188" s="66" t="inlineStr">
        <is>
          <t>Santiago</t>
        </is>
      </c>
      <c r="D188" s="66" t="inlineStr">
        <is>
          <t>office.chile@austriaenergy.com</t>
        </is>
      </c>
      <c r="E188" s="66" t="inlineStr">
        <is>
          <t>(56) 2 2374 8610</t>
        </is>
      </c>
      <c r="F188" s="66" t="n"/>
      <c r="G188" s="66" t="n"/>
      <c r="H188" s="66" t="n"/>
      <c r="I188" s="66" t="inlineStr">
        <is>
          <t>76.267.568-4</t>
        </is>
      </c>
      <c r="J188" s="66" t="n"/>
      <c r="K188" s="66" t="inlineStr">
        <is>
          <t>Ventas: GRANDE 1 (100.000 - 200.000 UF) | Empleados: 18</t>
        </is>
      </c>
      <c r="L188" s="61" t="n"/>
      <c r="M188" s="61" t="n"/>
      <c r="N188" s="61" t="n"/>
      <c r="O188" s="61" t="n"/>
      <c r="P188" s="61" t="n"/>
      <c r="Q188" s="62" t="n"/>
      <c r="R188" s="61" t="n"/>
    </row>
    <row r="189" ht="15.75" customHeight="1" s="38">
      <c r="A189" s="66" t="inlineStr">
        <is>
          <t>Autana Equipos Ltda.</t>
        </is>
      </c>
      <c r="B189" s="66" t="inlineStr">
        <is>
          <t>Compresores, Equipos para Perforación</t>
        </is>
      </c>
      <c r="C189" s="66" t="inlineStr">
        <is>
          <t>Santiago</t>
        </is>
      </c>
      <c r="D189" s="66" t="inlineStr">
        <is>
          <t>info@autana.cl</t>
        </is>
      </c>
      <c r="E189" s="66" t="inlineStr">
        <is>
          <t>(56) 2 2246 9424</t>
        </is>
      </c>
      <c r="F189" s="66" t="n"/>
      <c r="G189" s="66" t="n"/>
      <c r="H189" s="66" t="n"/>
      <c r="I189" s="66" t="inlineStr">
        <is>
          <t>76.860.480-0</t>
        </is>
      </c>
      <c r="J189" s="66" t="n"/>
      <c r="K189" s="66" t="inlineStr">
        <is>
          <t>Ventas: GRANDE 1 (100.000 - 200.000 UF) | Empleados: 10</t>
        </is>
      </c>
      <c r="L189" s="61" t="n"/>
      <c r="M189" s="61" t="n"/>
      <c r="N189" s="61" t="n"/>
      <c r="O189" s="61" t="n"/>
      <c r="P189" s="61" t="n"/>
      <c r="Q189" s="62" t="n"/>
      <c r="R189" s="61" t="n"/>
    </row>
    <row r="190" ht="15.75" customHeight="1" s="38">
      <c r="A190" s="66" t="inlineStr">
        <is>
          <t>Autem Ingenieros</t>
        </is>
      </c>
      <c r="B190" s="66" t="inlineStr">
        <is>
          <t>Automatización Industrial</t>
        </is>
      </c>
      <c r="C190" s="66" t="inlineStr">
        <is>
          <t>Antofagasta</t>
        </is>
      </c>
      <c r="D190" s="66" t="inlineStr">
        <is>
          <t>contacto@autem.cl</t>
        </is>
      </c>
      <c r="E190" s="66" t="inlineStr">
        <is>
          <t>(56) 55 295 0233</t>
        </is>
      </c>
      <c r="F190" s="66" t="n"/>
      <c r="G190" s="66" t="n"/>
      <c r="H190" s="66" t="n"/>
      <c r="I190" s="66" t="inlineStr">
        <is>
          <t>77139338-1</t>
        </is>
      </c>
      <c r="J190" s="66" t="n"/>
      <c r="K190" s="66" t="inlineStr">
        <is>
          <t>Ventas: PEQUEÑA 3 (10.000 - 25.000 UF) | Empleados: 5</t>
        </is>
      </c>
      <c r="L190" s="61" t="n"/>
      <c r="M190" s="61" t="n"/>
      <c r="N190" s="61" t="n"/>
      <c r="O190" s="61" t="n"/>
      <c r="P190" s="61" t="n"/>
      <c r="Q190" s="62" t="n"/>
      <c r="R190" s="61" t="n"/>
    </row>
    <row r="191" ht="15.75" customHeight="1" s="38">
      <c r="A191" s="66" t="inlineStr">
        <is>
          <t>Auter Minería</t>
        </is>
      </c>
      <c r="B191" s="66" t="inlineStr">
        <is>
          <t>Equipos Eléctricos</t>
        </is>
      </c>
      <c r="C191" s="66" t="inlineStr">
        <is>
          <t>Santiago</t>
        </is>
      </c>
      <c r="D191" s="66" t="n"/>
      <c r="E191" s="66" t="inlineStr">
        <is>
          <t>(56) 2 2280 1801</t>
        </is>
      </c>
      <c r="F191" s="66" t="n"/>
      <c r="G191" s="66" t="n"/>
      <c r="H191" s="66" t="n"/>
      <c r="I191" s="66" t="inlineStr">
        <is>
          <t>76.102.225-3</t>
        </is>
      </c>
      <c r="J191" s="66" t="n"/>
      <c r="K191" s="66" t="inlineStr">
        <is>
          <t>Ventas: MICRO 2 (200 - 600 UF) | Empleados: 0</t>
        </is>
      </c>
      <c r="L191" s="61" t="n"/>
      <c r="M191" s="61" t="n"/>
      <c r="N191" s="61" t="n"/>
      <c r="O191" s="61" t="n"/>
      <c r="P191" s="61" t="n"/>
      <c r="Q191" s="62" t="n"/>
      <c r="R191" s="61" t="n"/>
    </row>
    <row r="192" ht="15.75" customHeight="1" s="38">
      <c r="A192" s="66" t="inlineStr">
        <is>
          <t>Automapp SpA</t>
        </is>
      </c>
      <c r="B192" s="66" t="inlineStr">
        <is>
          <t>Aerofotogrametría</t>
        </is>
      </c>
      <c r="C192" s="66" t="inlineStr">
        <is>
          <t>Santiago</t>
        </is>
      </c>
      <c r="D192" s="66" t="inlineStr">
        <is>
          <t>info@automapp.cloud</t>
        </is>
      </c>
      <c r="E192" s="66" t="inlineStr">
        <is>
          <t>(56) 2 3263 2086</t>
        </is>
      </c>
      <c r="F192" s="66" t="n"/>
      <c r="G192" s="66" t="n"/>
      <c r="H192" s="66" t="n"/>
      <c r="I192" s="66" t="inlineStr">
        <is>
          <t>76516123-1</t>
        </is>
      </c>
      <c r="J192" s="66" t="n"/>
      <c r="K192" s="66" t="inlineStr">
        <is>
          <t>Ventas: PEQUEÑA 2 (5.000 - 10.000 UF) | Empleados: 0</t>
        </is>
      </c>
      <c r="L192" s="61" t="n"/>
      <c r="M192" s="61" t="n"/>
      <c r="N192" s="61" t="n"/>
      <c r="O192" s="61" t="n"/>
      <c r="P192" s="61" t="n"/>
      <c r="Q192" s="62" t="n"/>
      <c r="R192" s="61" t="n"/>
    </row>
    <row r="193" ht="15.75" customHeight="1" s="38">
      <c r="A193" s="66" t="inlineStr">
        <is>
          <t>Automatismos PM7 Group SpA</t>
        </is>
      </c>
      <c r="B193" s="66" t="inlineStr">
        <is>
          <t>Automatización y Proyectos en Pesaje Industrial, Básculas Industriales, Básculas para Camiones, Proyectos e Ingeniería en Automatizacion Industrial, Robótica Industrial, Software para Control, Supervisión y Adquisición de Datos, Sostenibilidad y Energía</t>
        </is>
      </c>
      <c r="C193" s="66" t="inlineStr">
        <is>
          <t>Santiago</t>
        </is>
      </c>
      <c r="D193" s="66" t="inlineStr">
        <is>
          <t>gerencia@pm7group.net</t>
        </is>
      </c>
      <c r="E193" s="66" t="inlineStr">
        <is>
          <t>(56) 2 2437 0001</t>
        </is>
      </c>
      <c r="F193" s="66" t="n"/>
      <c r="G193" s="66" t="n"/>
      <c r="H193" s="66" t="n"/>
      <c r="I193" s="66" t="inlineStr">
        <is>
          <t>76.940.463-5</t>
        </is>
      </c>
      <c r="J193" s="66" t="n"/>
      <c r="K193" s="66" t="inlineStr">
        <is>
          <t>Ventas: MEDIANA 1 (25.000 - 50.000 UF) | Empleados: 17</t>
        </is>
      </c>
      <c r="L193" s="61" t="n"/>
      <c r="M193" s="61" t="n"/>
      <c r="N193" s="61" t="n"/>
      <c r="O193" s="61" t="n"/>
      <c r="P193" s="61" t="n"/>
      <c r="Q193" s="62" t="n"/>
      <c r="R193" s="61" t="n"/>
    </row>
    <row r="194" ht="15.75" customHeight="1" s="38">
      <c r="A194" s="66" t="inlineStr">
        <is>
          <t>Automotores Gildemeister S.A.</t>
        </is>
      </c>
      <c r="B194" s="66" t="inlineStr">
        <is>
          <t>Buses, Camiones</t>
        </is>
      </c>
      <c r="C194" s="66" t="inlineStr">
        <is>
          <t>Santiago</t>
        </is>
      </c>
      <c r="D194" s="66" t="n"/>
      <c r="E194" s="66" t="inlineStr">
        <is>
          <t>(56) 2 2596 4000</t>
        </is>
      </c>
      <c r="F194" s="66" t="n"/>
      <c r="G194" s="66" t="n"/>
      <c r="H194" s="66" t="n"/>
      <c r="I194" s="66" t="inlineStr">
        <is>
          <t>79.649.140-K</t>
        </is>
      </c>
      <c r="J194" s="66" t="n"/>
      <c r="K194" s="66" t="inlineStr">
        <is>
          <t>Ventas: GRANDE (Estimado por Empleados) | Empleados: 932</t>
        </is>
      </c>
      <c r="L194" s="61" t="n"/>
      <c r="M194" s="61" t="n"/>
      <c r="N194" s="61" t="n"/>
      <c r="O194" s="61" t="n"/>
      <c r="P194" s="61" t="n"/>
      <c r="Q194" s="62" t="n"/>
      <c r="R194" s="61" t="n"/>
    </row>
    <row r="195" ht="15.75" customHeight="1" s="38">
      <c r="A195" s="66" t="inlineStr">
        <is>
          <t>Automóvil Club de Chile</t>
        </is>
      </c>
      <c r="B195" s="66" t="inlineStr">
        <is>
          <t>Certificación de Competencias Laborales, Cursos de Conducción</t>
        </is>
      </c>
      <c r="C195" s="66" t="inlineStr">
        <is>
          <t>Santiago</t>
        </is>
      </c>
      <c r="D195" s="66" t="n"/>
      <c r="E195" s="66" t="inlineStr">
        <is>
          <t>600 464 40 40</t>
        </is>
      </c>
      <c r="F195" s="66" t="n"/>
      <c r="G195" s="66" t="n"/>
      <c r="H195" s="66" t="n"/>
      <c r="I195" s="66" t="inlineStr">
        <is>
          <t>81.464.600-9</t>
        </is>
      </c>
      <c r="J195" s="66" t="n"/>
      <c r="K195" s="66" t="inlineStr">
        <is>
          <t>Ventas: GRANDE 1 (100.000 - 200.000 UF) | Empleados: 6</t>
        </is>
      </c>
      <c r="L195" s="61" t="n"/>
      <c r="M195" s="61" t="n"/>
      <c r="N195" s="61" t="n"/>
      <c r="O195" s="61" t="n"/>
      <c r="P195" s="61" t="n"/>
      <c r="Q195" s="62" t="n"/>
      <c r="R195" s="61" t="n"/>
    </row>
    <row r="196" ht="15.75" customHeight="1" s="38">
      <c r="A196" s="66" t="inlineStr">
        <is>
          <t>Autoterm S.A.</t>
        </is>
      </c>
      <c r="B196" s="66" t="inlineStr">
        <is>
          <t>Equipos para Automatización y Control, Sistemas de Control y Gestión de Información</t>
        </is>
      </c>
      <c r="C196" s="66" t="inlineStr">
        <is>
          <t>Santiago</t>
        </is>
      </c>
      <c r="D196" s="66" t="inlineStr">
        <is>
          <t>administracion@autoterm.cl</t>
        </is>
      </c>
      <c r="E196" s="66" t="inlineStr">
        <is>
          <t>(56) 2 2799 9740</t>
        </is>
      </c>
      <c r="F196" s="66" t="n"/>
      <c r="G196" s="66" t="n"/>
      <c r="H196" s="66" t="n"/>
      <c r="I196" s="66" t="inlineStr">
        <is>
          <t>76.518.000-7</t>
        </is>
      </c>
      <c r="J196" s="66" t="n"/>
      <c r="K196" s="66" t="inlineStr">
        <is>
          <t>Ventas: MEDIANA 1 (25.000 - 50.000 UF) | Empleados: 24</t>
        </is>
      </c>
      <c r="L196" s="61" t="n"/>
      <c r="M196" s="61" t="n"/>
      <c r="N196" s="61" t="n"/>
      <c r="O196" s="61" t="n"/>
      <c r="P196" s="61" t="n"/>
      <c r="Q196" s="62" t="n"/>
      <c r="R196" s="61" t="n"/>
    </row>
    <row r="197" ht="15.75" customHeight="1" s="38">
      <c r="A197" s="66" t="inlineStr">
        <is>
          <t>Avantec S.A.</t>
        </is>
      </c>
      <c r="B197" s="66" t="inlineStr">
        <is>
          <t>Equipos Electrónicos</t>
        </is>
      </c>
      <c r="C197" s="66" t="inlineStr">
        <is>
          <t>Santiago</t>
        </is>
      </c>
      <c r="D197" s="66" t="inlineStr">
        <is>
          <t>consultas@avantec.cl</t>
        </is>
      </c>
      <c r="E197" s="66" t="inlineStr">
        <is>
          <t>(56) 2 2367 3200</t>
        </is>
      </c>
      <c r="F197" s="66" t="n"/>
      <c r="G197" s="66" t="n"/>
      <c r="H197" s="66" t="n"/>
      <c r="I197" s="66" t="inlineStr">
        <is>
          <t>78.209.000-3</t>
        </is>
      </c>
      <c r="J197" s="66" t="n"/>
      <c r="K197" s="66" t="inlineStr">
        <is>
          <t>Ventas: GRANDE 1 (100.000 - 200.000 UF) | Empleados: 22</t>
        </is>
      </c>
      <c r="L197" s="61" t="n"/>
      <c r="M197" s="61" t="n"/>
      <c r="N197" s="61" t="n"/>
      <c r="O197" s="61" t="n"/>
      <c r="P197" s="61" t="n"/>
      <c r="Q197" s="62" t="n"/>
      <c r="R197" s="61" t="n"/>
    </row>
    <row r="198" ht="15.75" customHeight="1" s="38">
      <c r="A198" s="66" t="inlineStr">
        <is>
          <t>AVC Valve Chile</t>
        </is>
      </c>
      <c r="B198" s="66" t="inlineStr">
        <is>
          <t>Automatización de Válvulas, Válvulas</t>
        </is>
      </c>
      <c r="C198" s="66" t="inlineStr">
        <is>
          <t>Santiago</t>
        </is>
      </c>
      <c r="D198" s="66" t="inlineStr">
        <is>
          <t>ventas@avcvalve.cl</t>
        </is>
      </c>
      <c r="E198" s="66" t="inlineStr">
        <is>
          <t>(56) 2 3231 4294</t>
        </is>
      </c>
      <c r="F198" s="66" t="n"/>
      <c r="G198" s="66" t="n"/>
      <c r="H198" s="66" t="n"/>
      <c r="I198" s="66" t="inlineStr">
        <is>
          <t>76765973-3</t>
        </is>
      </c>
      <c r="J198" s="66" t="n"/>
      <c r="K198" s="66" t="inlineStr">
        <is>
          <t>Ventas: PEQUEÑA 3 (10.000 - 25.000 UF) | Empleados: 1</t>
        </is>
      </c>
      <c r="L198" s="61" t="n"/>
      <c r="M198" s="61" t="n"/>
      <c r="N198" s="61" t="n"/>
      <c r="O198" s="61" t="n"/>
      <c r="P198" s="61" t="n"/>
      <c r="Q198" s="62" t="n"/>
      <c r="R198" s="61" t="n"/>
    </row>
    <row r="199" ht="15.75" customHeight="1" s="38">
      <c r="A199" s="66" t="inlineStr">
        <is>
          <t>Avery Dennison Chile S.A.</t>
        </is>
      </c>
      <c r="B199" s="66" t="inlineStr">
        <is>
          <t>Seguridad Industrial y Minera</t>
        </is>
      </c>
      <c r="C199" s="66" t="inlineStr">
        <is>
          <t>Santiago</t>
        </is>
      </c>
      <c r="D199" s="66" t="n"/>
      <c r="E199" s="66" t="inlineStr">
        <is>
          <t>(56) 2 2898 8063</t>
        </is>
      </c>
      <c r="F199" s="66" t="inlineStr">
        <is>
          <t>Gerente de TI / CIO (Director de Tecnología)</t>
        </is>
      </c>
      <c r="G199" s="66" t="n"/>
      <c r="H199" s="66" t="n"/>
      <c r="I199" s="66" t="inlineStr">
        <is>
          <t>96.721.090-0</t>
        </is>
      </c>
      <c r="J199" s="66" t="n"/>
      <c r="K199" s="66" t="inlineStr">
        <is>
          <t>Ventas: GRANDE 4 (Mas de 1.000.000 UF) | Empleados: 62</t>
        </is>
      </c>
      <c r="L199" s="61" t="n"/>
      <c r="M199" s="61" t="n"/>
      <c r="N199" s="61" t="n"/>
      <c r="O199" s="61" t="n"/>
      <c r="P199" s="61" t="n"/>
      <c r="Q199" s="62" t="n"/>
      <c r="R199" s="61" t="n"/>
    </row>
    <row r="200" ht="15.75" customHeight="1" s="38">
      <c r="A200" s="66" t="inlineStr">
        <is>
          <t>AVI SpA</t>
        </is>
      </c>
      <c r="B200" s="66" t="inlineStr">
        <is>
          <t>Electrónica de Potencia, Transformadores, Variadores de Frecuencia</t>
        </is>
      </c>
      <c r="C200" s="66" t="inlineStr">
        <is>
          <t>Santiago</t>
        </is>
      </c>
      <c r="D200" s="66" t="inlineStr">
        <is>
          <t>empresa.avi@avi-electronic.com</t>
        </is>
      </c>
      <c r="E200" s="66" t="inlineStr">
        <is>
          <t>(56) 2 2244 0308</t>
        </is>
      </c>
      <c r="F200" s="66" t="n"/>
      <c r="G200" s="66" t="n"/>
      <c r="H200" s="66" t="n"/>
      <c r="I200" s="66" t="inlineStr">
        <is>
          <t>96.638.630-4</t>
        </is>
      </c>
      <c r="J200" s="66" t="n"/>
      <c r="K200" s="66" t="inlineStr">
        <is>
          <t>Ventas: GRANDE 1 (100.000 - 200.000 UF) | Empleados: 20</t>
        </is>
      </c>
      <c r="L200" s="61" t="n"/>
      <c r="M200" s="61" t="n"/>
      <c r="N200" s="61" t="n"/>
      <c r="O200" s="61" t="n"/>
      <c r="P200" s="61" t="n"/>
      <c r="Q200" s="62" t="n"/>
      <c r="R200" s="61" t="n"/>
    </row>
    <row r="201" ht="15.75" customHeight="1" s="38">
      <c r="A201" s="66" t="inlineStr">
        <is>
          <t>Axinntus Ltda.</t>
        </is>
      </c>
      <c r="B201" s="66" t="inlineStr">
        <is>
          <t>Servicios de Limpieza Industrial</t>
        </is>
      </c>
      <c r="C201" s="66" t="inlineStr">
        <is>
          <t>Antofagasta</t>
        </is>
      </c>
      <c r="D201" s="66" t="inlineStr">
        <is>
          <t>comercial@axinntus.com</t>
        </is>
      </c>
      <c r="E201" s="66" t="inlineStr">
        <is>
          <t>(56) 32 220 2975</t>
        </is>
      </c>
      <c r="F201" s="66" t="inlineStr">
        <is>
          <t>Gerente de TI / CIO (Director de Tecnología)</t>
        </is>
      </c>
      <c r="G201" s="66" t="n"/>
      <c r="H201" s="66" t="n"/>
      <c r="I201" s="66" t="inlineStr">
        <is>
          <t>76.189.625-3</t>
        </is>
      </c>
      <c r="J201" s="66" t="n"/>
      <c r="K201" s="66" t="inlineStr">
        <is>
          <t>Ventas: GRANDE 4 (Mas de 1.000.000 UF) | Empleados: 988</t>
        </is>
      </c>
      <c r="L201" s="61" t="n"/>
      <c r="M201" s="61" t="n"/>
      <c r="N201" s="61" t="n"/>
      <c r="O201" s="61" t="n"/>
      <c r="P201" s="61" t="n"/>
      <c r="Q201" s="62" t="n"/>
      <c r="R201" s="61" t="n"/>
    </row>
    <row r="202" ht="15.75" customHeight="1" s="38">
      <c r="A202" s="66" t="inlineStr">
        <is>
          <t>Axis Mining Technology</t>
        </is>
      </c>
      <c r="B202" s="66" t="inlineStr">
        <is>
          <t>Equipos Magnéticos</t>
        </is>
      </c>
      <c r="C202" s="66" t="inlineStr">
        <is>
          <t>La Serena</t>
        </is>
      </c>
      <c r="D202" s="66" t="inlineStr">
        <is>
          <t>chile-support@axisminetech.com</t>
        </is>
      </c>
      <c r="E202" s="66" t="inlineStr">
        <is>
          <t>(56) 9 3428 3082</t>
        </is>
      </c>
      <c r="F202" s="66" t="n"/>
      <c r="G202" s="66" t="n"/>
      <c r="H202" s="66" t="n"/>
      <c r="I202" s="66" t="inlineStr">
        <is>
          <t>77078267-8</t>
        </is>
      </c>
      <c r="J202" s="66" t="n"/>
      <c r="K202" s="66" t="inlineStr">
        <is>
          <t>Ventas: MEDIANA 2 (50.000 - 100.000 UF) | Empleados: 0</t>
        </is>
      </c>
      <c r="L202" s="61" t="n"/>
      <c r="M202" s="61" t="n"/>
      <c r="N202" s="61" t="n"/>
      <c r="O202" s="61" t="n"/>
      <c r="P202" s="61" t="n"/>
      <c r="Q202" s="62" t="n"/>
      <c r="R202" s="61" t="n"/>
    </row>
    <row r="203" ht="15.75" customHeight="1" s="38">
      <c r="A203" s="66" t="inlineStr">
        <is>
          <t>Axter Coletanche</t>
        </is>
      </c>
      <c r="B203" s="66" t="inlineStr">
        <is>
          <t>Productos para Impermeabilización</t>
        </is>
      </c>
      <c r="C203" s="66" t="inlineStr">
        <is>
          <t>Santiago</t>
        </is>
      </c>
      <c r="D203" s="66" t="inlineStr">
        <is>
          <t>info@axter.es</t>
        </is>
      </c>
      <c r="E203" s="66" t="inlineStr">
        <is>
          <t>(56) 2 2236 9939</t>
        </is>
      </c>
      <c r="F203" s="66" t="n"/>
      <c r="G203" s="66" t="n"/>
      <c r="H203" s="66" t="n"/>
      <c r="I203" s="66" t="inlineStr">
        <is>
          <t>77.438.436-7</t>
        </is>
      </c>
      <c r="J203" s="66" t="n"/>
      <c r="K203" s="66" t="inlineStr">
        <is>
          <t>Ventas: MEDIANA 1 (25.000 - 50.000 UF) | Empleados: 3</t>
        </is>
      </c>
      <c r="L203" s="61" t="n"/>
      <c r="M203" s="61" t="n"/>
      <c r="N203" s="61" t="n"/>
      <c r="O203" s="61" t="n"/>
      <c r="P203" s="61" t="n"/>
      <c r="Q203" s="62" t="n"/>
      <c r="R203" s="61" t="n"/>
    </row>
    <row r="204" ht="15.75" customHeight="1" s="38">
      <c r="A204" s="66" t="inlineStr">
        <is>
          <t>Axxa Chemicals Ltda.</t>
        </is>
      </c>
      <c r="B204" s="66" t="inlineStr">
        <is>
          <t>Diluyentes, Dioxido de Titanio</t>
        </is>
      </c>
      <c r="C204" s="66" t="inlineStr">
        <is>
          <t>Santiago</t>
        </is>
      </c>
      <c r="D204" s="66" t="inlineStr">
        <is>
          <t>contacto@axxa.cl</t>
        </is>
      </c>
      <c r="E204" s="66" t="inlineStr">
        <is>
          <t>(56) 2 2747 1330</t>
        </is>
      </c>
      <c r="F204" s="66" t="n"/>
      <c r="G204" s="66" t="n"/>
      <c r="H204" s="66" t="n"/>
      <c r="I204" s="66" t="inlineStr">
        <is>
          <t>76.979.630-4</t>
        </is>
      </c>
      <c r="J204" s="66" t="n"/>
      <c r="K204" s="66" t="inlineStr">
        <is>
          <t>Ventas: PEQUEÑA (Estimado por Empleados) | Empleados: 48</t>
        </is>
      </c>
      <c r="L204" s="61" t="n"/>
      <c r="M204" s="61" t="n"/>
      <c r="N204" s="61" t="n"/>
      <c r="O204" s="61" t="n"/>
      <c r="P204" s="61" t="n"/>
      <c r="Q204" s="62" t="n"/>
      <c r="R204" s="61" t="n"/>
    </row>
    <row r="205" ht="15.75" customHeight="1" s="38">
      <c r="A205" s="66" t="inlineStr">
        <is>
          <t>Axys S.A.</t>
        </is>
      </c>
      <c r="B205" s="66" t="inlineStr">
        <is>
          <t>Sistema Integrado de Monitoreo y Control de Palas</t>
        </is>
      </c>
      <c r="C205" s="66" t="inlineStr">
        <is>
          <t>Santiago</t>
        </is>
      </c>
      <c r="D205" s="66" t="inlineStr">
        <is>
          <t>info@axys.cl</t>
        </is>
      </c>
      <c r="E205" s="66" t="inlineStr">
        <is>
          <t>(56) 2 2776 5357</t>
        </is>
      </c>
      <c r="F205" s="66" t="n"/>
      <c r="G205" s="66" t="n"/>
      <c r="H205" s="66" t="n"/>
      <c r="I205" s="66" t="inlineStr">
        <is>
          <t>99570450-1</t>
        </is>
      </c>
      <c r="J205" s="66" t="n"/>
      <c r="K205" s="66" t="inlineStr">
        <is>
          <t>Ventas: PEQUEÑA 3 (10.000 - 25.000 UF) | Empleados: 12</t>
        </is>
      </c>
      <c r="L205" s="61" t="n"/>
      <c r="M205" s="61" t="n"/>
      <c r="N205" s="61" t="n"/>
      <c r="O205" s="61" t="n"/>
      <c r="P205" s="61" t="n"/>
      <c r="Q205" s="62" t="n"/>
      <c r="R205" s="61" t="n"/>
    </row>
    <row r="206" ht="15.75" customHeight="1" s="38">
      <c r="A206" s="66" t="inlineStr">
        <is>
          <t>Ayagon S.A.</t>
        </is>
      </c>
      <c r="B206" s="66" t="inlineStr">
        <is>
          <t>Tubos de Acero, Válvulas</t>
        </is>
      </c>
      <c r="C206" s="66" t="inlineStr">
        <is>
          <t>Santiago</t>
        </is>
      </c>
      <c r="D206" s="66" t="inlineStr">
        <is>
          <t>tienda@ayagon.cl</t>
        </is>
      </c>
      <c r="E206" s="66" t="inlineStr">
        <is>
          <t>(56) 2 2611 3640</t>
        </is>
      </c>
      <c r="F206" s="66" t="n"/>
      <c r="G206" s="66" t="n"/>
      <c r="H206" s="66" t="n"/>
      <c r="I206" s="66" t="inlineStr">
        <is>
          <t>88.845.100-5</t>
        </is>
      </c>
      <c r="J206" s="66" t="n"/>
      <c r="K206" s="66" t="inlineStr">
        <is>
          <t>Ventas: MEDIANA 2 (50.000 - 100.000 UF) | Empleados: 27</t>
        </is>
      </c>
      <c r="L206" s="61" t="n"/>
      <c r="M206" s="61" t="n"/>
      <c r="N206" s="61" t="n"/>
      <c r="O206" s="61" t="n"/>
      <c r="P206" s="61" t="n"/>
      <c r="Q206" s="62" t="n"/>
      <c r="R206" s="61" t="n"/>
    </row>
    <row r="207" ht="15.75" customHeight="1" s="38">
      <c r="A207" s="66" t="inlineStr">
        <is>
          <t>Ayrsa S.A.</t>
        </is>
      </c>
      <c r="B207" s="66" t="inlineStr">
        <is>
          <t>Aislantes Térmicos, Recubrimiento de Tuberías</t>
        </is>
      </c>
      <c r="C207" s="66" t="inlineStr">
        <is>
          <t>Santiago</t>
        </is>
      </c>
      <c r="D207" s="66" t="inlineStr">
        <is>
          <t>csouyet@ayrsa.cl</t>
        </is>
      </c>
      <c r="E207" s="66" t="inlineStr">
        <is>
          <t>(56) 2 2738 5208</t>
        </is>
      </c>
      <c r="F207" s="66" t="n"/>
      <c r="G207" s="66" t="n"/>
      <c r="H207" s="66" t="n"/>
      <c r="I207" s="66" t="inlineStr">
        <is>
          <t>76.140.725-2</t>
        </is>
      </c>
      <c r="J207" s="66" t="n"/>
      <c r="K207" s="66" t="inlineStr">
        <is>
          <t>Ventas: GRANDE 1 (100.000 - 200.000 UF) | Empleados: 16</t>
        </is>
      </c>
      <c r="L207" s="61" t="n"/>
      <c r="M207" s="61" t="n"/>
      <c r="N207" s="61" t="n"/>
      <c r="O207" s="61" t="n"/>
      <c r="P207" s="61" t="n"/>
      <c r="Q207" s="62" t="n"/>
      <c r="R207" s="61" t="n"/>
    </row>
    <row r="208" ht="15.75" customHeight="1" s="38">
      <c r="A208" s="66" t="inlineStr">
        <is>
          <t>AZ Armaturen de Chile</t>
        </is>
      </c>
      <c r="B208" s="66" t="inlineStr">
        <is>
          <t>Válvulas, Válvulas de Cono</t>
        </is>
      </c>
      <c r="C208" s="66" t="inlineStr">
        <is>
          <t>Santiago</t>
        </is>
      </c>
      <c r="D208" s="66" t="inlineStr">
        <is>
          <t>admin@az-armaturen.cl</t>
        </is>
      </c>
      <c r="E208" s="66" t="inlineStr">
        <is>
          <t>(56) 9 3269 3242</t>
        </is>
      </c>
      <c r="F208" s="66" t="n"/>
      <c r="G208" s="66" t="n"/>
      <c r="H208" s="66" t="n"/>
      <c r="I208" s="66" t="inlineStr">
        <is>
          <t>76.553.667-7</t>
        </is>
      </c>
      <c r="J208" s="66" t="n"/>
      <c r="K208" s="66" t="inlineStr">
        <is>
          <t>Ventas: MEDIANA 1 (25.000 - 50.000 UF) | Empleados: 3</t>
        </is>
      </c>
      <c r="L208" s="61" t="n"/>
      <c r="M208" s="61" t="n"/>
      <c r="N208" s="61" t="n"/>
      <c r="O208" s="61" t="n"/>
      <c r="P208" s="61" t="n"/>
      <c r="Q208" s="62" t="n"/>
      <c r="R208" s="61" t="n"/>
    </row>
    <row r="209" ht="15.75" customHeight="1" s="38">
      <c r="A209" s="66" t="inlineStr">
        <is>
          <t>Aziwell Chile SpA</t>
        </is>
      </c>
      <c r="B209" s="66" t="inlineStr">
        <is>
          <t>Servicios de Perforación Direccional con Extracción de Núcleos</t>
        </is>
      </c>
      <c r="C209" s="66" t="inlineStr">
        <is>
          <t>Santiago</t>
        </is>
      </c>
      <c r="D209" s="66" t="inlineStr">
        <is>
          <t>info@aziwell.com</t>
        </is>
      </c>
      <c r="E209" s="66" t="inlineStr">
        <is>
          <t>(56) 9 3988 6400</t>
        </is>
      </c>
      <c r="F209" s="66" t="n"/>
      <c r="G209" s="66" t="n"/>
      <c r="H209" s="66" t="n"/>
      <c r="I209" s="66" t="inlineStr">
        <is>
          <t>77119491-5</t>
        </is>
      </c>
      <c r="J209" s="66" t="n"/>
      <c r="K209" s="66" t="inlineStr">
        <is>
          <t>Ventas: PEQUEÑA 2 (5.000 - 10.000 UF) | Empleados: 0</t>
        </is>
      </c>
      <c r="L209" s="61" t="n"/>
      <c r="M209" s="61" t="n"/>
      <c r="N209" s="61" t="n"/>
      <c r="O209" s="61" t="n"/>
      <c r="P209" s="61" t="n"/>
      <c r="Q209" s="62" t="n"/>
      <c r="R209" s="61" t="n"/>
    </row>
    <row r="210" ht="15.75" customHeight="1" s="38">
      <c r="A210" s="66" t="inlineStr">
        <is>
          <t>Azlan SpA</t>
        </is>
      </c>
      <c r="B210" s="66" t="inlineStr">
        <is>
          <t>Automatización, Proyectos de Telecomunicaciones</t>
        </is>
      </c>
      <c r="C210" s="66" t="inlineStr">
        <is>
          <t>Santiago</t>
        </is>
      </c>
      <c r="D210" s="66" t="inlineStr">
        <is>
          <t>contacto@azlan.cl</t>
        </is>
      </c>
      <c r="E210" s="66" t="inlineStr">
        <is>
          <t>(56) 2 3269 7270</t>
        </is>
      </c>
      <c r="F210" s="66" t="n"/>
      <c r="G210" s="66" t="n"/>
      <c r="H210" s="66" t="n"/>
      <c r="I210" s="66" t="inlineStr">
        <is>
          <t>76567345-3</t>
        </is>
      </c>
      <c r="J210" s="66" t="n"/>
      <c r="K210" s="66" t="inlineStr">
        <is>
          <t>Ventas: PEQUEÑA 3 (10.000 - 25.000 UF) | Empleados: 0</t>
        </is>
      </c>
      <c r="L210" s="61" t="n"/>
      <c r="M210" s="61" t="n"/>
      <c r="N210" s="61" t="n"/>
      <c r="O210" s="61" t="n"/>
      <c r="P210" s="61" t="n"/>
      <c r="Q210" s="62" t="n"/>
      <c r="R210" s="61" t="n"/>
    </row>
    <row r="211" ht="15.75" customHeight="1" s="38">
      <c r="A211" s="66" t="inlineStr">
        <is>
          <t>B y M Agencia Marítima S.A.</t>
        </is>
      </c>
      <c r="B211" s="66" t="inlineStr">
        <is>
          <t>Agencias Marítimas</t>
        </is>
      </c>
      <c r="C211" s="66" t="inlineStr">
        <is>
          <t>Santiago</t>
        </is>
      </c>
      <c r="D211" s="66" t="inlineStr">
        <is>
          <t>recepcion@bm-maritima.cl</t>
        </is>
      </c>
      <c r="E211" s="66" t="inlineStr">
        <is>
          <t>(56) 2 2347 2100</t>
        </is>
      </c>
      <c r="F211" s="66" t="inlineStr">
        <is>
          <t>Gerente de TI / CIO (Director de Tecnología)</t>
        </is>
      </c>
      <c r="G211" s="66" t="n"/>
      <c r="H211" s="66" t="n"/>
      <c r="I211" s="66" t="inlineStr">
        <is>
          <t>78.986.820-4</t>
        </is>
      </c>
      <c r="J211" s="66" t="n"/>
      <c r="K211" s="66" t="inlineStr">
        <is>
          <t>Ventas: GRANDE 3 (600.000 - 1.000.000 UF) | Empleados: 132</t>
        </is>
      </c>
      <c r="L211" s="61" t="n"/>
      <c r="M211" s="61" t="n"/>
      <c r="N211" s="61" t="n"/>
      <c r="O211" s="61" t="n"/>
      <c r="P211" s="61" t="n"/>
      <c r="Q211" s="62" t="n"/>
      <c r="R211" s="61" t="n"/>
    </row>
    <row r="212" ht="15.75" customHeight="1" s="38">
      <c r="A212" s="66" t="inlineStr">
        <is>
          <t>B-Solutions SpA</t>
        </is>
      </c>
      <c r="B212" s="66" t="inlineStr">
        <is>
          <t>Telecomunicaciones</t>
        </is>
      </c>
      <c r="C212" s="66" t="inlineStr">
        <is>
          <t>Rancagua</t>
        </is>
      </c>
      <c r="D212" s="66" t="inlineStr">
        <is>
          <t>ventas@b-solutionschile.com</t>
        </is>
      </c>
      <c r="E212" s="66" t="inlineStr">
        <is>
          <t>(56) 9 7872 0172</t>
        </is>
      </c>
      <c r="F212" s="66" t="n"/>
      <c r="G212" s="66" t="n"/>
      <c r="H212" s="66" t="n"/>
      <c r="I212" s="66" t="inlineStr">
        <is>
          <t>76993078-7</t>
        </is>
      </c>
      <c r="J212" s="66" t="n"/>
      <c r="K212" s="66" t="inlineStr">
        <is>
          <t>Ventas: MEDIANA 2 (50.000 - 100.000 UF) | Empleados: 7</t>
        </is>
      </c>
      <c r="L212" s="61" t="n"/>
      <c r="M212" s="61" t="n"/>
      <c r="N212" s="61" t="n"/>
      <c r="O212" s="61" t="n"/>
      <c r="P212" s="61" t="n"/>
      <c r="Q212" s="62" t="n"/>
      <c r="R212" s="61" t="n"/>
    </row>
    <row r="213" ht="15.75" customHeight="1" s="38">
      <c r="A213" s="66" t="inlineStr">
        <is>
          <t>B. Bosch S.A.</t>
        </is>
      </c>
      <c r="B213" s="66" t="inlineStr">
        <is>
          <t>Construcción de Líneas de Transmisión Eléctrica, Protección del Acero contra la Corrosión</t>
        </is>
      </c>
      <c r="C213" s="66" t="inlineStr">
        <is>
          <t>Santiago</t>
        </is>
      </c>
      <c r="D213" s="66" t="inlineStr">
        <is>
          <t>contacto@bbosch.cl</t>
        </is>
      </c>
      <c r="E213" s="66" t="inlineStr">
        <is>
          <t>(56) 2 2620 8700</t>
        </is>
      </c>
      <c r="F213" s="66" t="n"/>
      <c r="G213" s="66" t="n"/>
      <c r="H213" s="66" t="n"/>
      <c r="I213" s="66" t="inlineStr">
        <is>
          <t>84.716.400-K</t>
        </is>
      </c>
      <c r="J213" s="66" t="n"/>
      <c r="K213" s="66" t="inlineStr">
        <is>
          <t>Ventas: GRANDE (Estimado por Empleados) | Empleados: 2101</t>
        </is>
      </c>
      <c r="L213" s="61" t="n"/>
      <c r="M213" s="61" t="n"/>
      <c r="N213" s="61" t="n"/>
      <c r="O213" s="61" t="n"/>
      <c r="P213" s="61" t="n"/>
      <c r="Q213" s="62" t="n"/>
      <c r="R213" s="61" t="n"/>
    </row>
    <row r="214" ht="15.75" customHeight="1" s="38">
      <c r="A214" s="66" t="inlineStr">
        <is>
          <t>Backup Ingeniería</t>
        </is>
      </c>
      <c r="B214" s="66" t="inlineStr">
        <is>
          <t>Automatización, Electromecánica</t>
        </is>
      </c>
      <c r="C214" s="66" t="inlineStr">
        <is>
          <t>Santiago</t>
        </is>
      </c>
      <c r="D214" s="66" t="inlineStr">
        <is>
          <t>info@backupingenieria.cl</t>
        </is>
      </c>
      <c r="E214" s="66" t="inlineStr">
        <is>
          <t>(56) 2 2319 5628</t>
        </is>
      </c>
      <c r="F214" s="66" t="n"/>
      <c r="G214" s="66" t="n"/>
      <c r="H214" s="66" t="n"/>
      <c r="I214" s="66" t="inlineStr">
        <is>
          <t>76.011.456-1</t>
        </is>
      </c>
      <c r="J214" s="66" t="n"/>
      <c r="K214" s="66" t="inlineStr">
        <is>
          <t>Ventas: MEDIANA 2 (50.000 - 100.000 UF) | Empleados: 8</t>
        </is>
      </c>
      <c r="L214" s="61" t="n"/>
      <c r="M214" s="61" t="n"/>
      <c r="N214" s="61" t="n"/>
      <c r="O214" s="61" t="n"/>
      <c r="P214" s="61" t="n"/>
      <c r="Q214" s="62" t="n"/>
      <c r="R214" s="61" t="n"/>
    </row>
    <row r="215" ht="15.75" customHeight="1" s="38">
      <c r="A215" s="66" t="inlineStr">
        <is>
          <t>Bafco Austral Ltda.</t>
        </is>
      </c>
      <c r="B215" s="66" t="inlineStr">
        <is>
          <t>Vehículos Utilitarios para Minería Subterránea</t>
        </is>
      </c>
      <c r="C215" s="66" t="inlineStr">
        <is>
          <t>Santiago</t>
        </is>
      </c>
      <c r="D215" s="66" t="n"/>
      <c r="E215" s="66" t="inlineStr">
        <is>
          <t>(56) 2 2753 5000</t>
        </is>
      </c>
      <c r="F215" s="66" t="n"/>
      <c r="G215" s="66" t="n"/>
      <c r="H215" s="66" t="n"/>
      <c r="I215" s="66" t="inlineStr">
        <is>
          <t>76.470.320-0</t>
        </is>
      </c>
      <c r="J215" s="66" t="n"/>
      <c r="K215" s="66" t="inlineStr">
        <is>
          <t>Ventas: MEDIANA 2 (50.000 - 100.000 UF) | Empleados: 8</t>
        </is>
      </c>
      <c r="L215" s="61" t="n"/>
      <c r="M215" s="61" t="n"/>
      <c r="N215" s="61" t="n"/>
      <c r="O215" s="61" t="n"/>
      <c r="P215" s="61" t="n"/>
      <c r="Q215" s="62" t="n"/>
      <c r="R215" s="61" t="n"/>
    </row>
    <row r="216" ht="15.75" customHeight="1" s="38">
      <c r="A216" s="59" t="inlineStr">
        <is>
          <t>Bailac</t>
        </is>
      </c>
      <c r="B216" s="59" t="inlineStr">
        <is>
          <t>Aros y Llantas para Camiones, Reciclaje de Neumáticos OTR</t>
        </is>
      </c>
      <c r="C216" s="59" t="inlineStr">
        <is>
          <t>Santiago</t>
        </is>
      </c>
      <c r="D216" s="59" t="inlineStr">
        <is>
          <t>contacto@bailac.cl</t>
        </is>
      </c>
      <c r="E216" s="59" t="inlineStr">
        <is>
          <t>(56) 2 2915 9130</t>
        </is>
      </c>
      <c r="F216" s="59" t="inlineStr">
        <is>
          <t>Raimundo Bailac (GG)</t>
        </is>
      </c>
      <c r="G216" s="59" t="n"/>
      <c r="H216" s="59" t="n"/>
      <c r="I216" s="59" t="inlineStr">
        <is>
          <t>79.722.740-4</t>
        </is>
      </c>
      <c r="J216" s="59" t="inlineStr">
        <is>
          <t>Tecnología Gestión Neumáticos &amp; Economía Circular</t>
        </is>
      </c>
      <c r="K216" s="59" t="inlineStr">
        <is>
          <t>Ventas: GRANDE 2 (200.000 - 600.000 UF) | Empleados: 95</t>
        </is>
      </c>
      <c r="L216" s="61" t="n"/>
      <c r="M216" s="61" t="n"/>
      <c r="N216" s="61" t="n"/>
      <c r="O216" s="61" t="n"/>
      <c r="P216" s="61" t="n"/>
      <c r="Q216" s="62" t="n"/>
      <c r="R216" s="61" t="n"/>
    </row>
    <row r="217" ht="15.75" customHeight="1" s="38">
      <c r="A217" s="66" t="inlineStr">
        <is>
          <t>Bailac Capacita</t>
        </is>
      </c>
      <c r="B217" s="66" t="inlineStr">
        <is>
          <t>Capacitación en Mantenimiento de Equipos Móviles, Capacitación en Seguridad Operacional, Capacitación en Soldadura (Reparación de Equipos y END)</t>
        </is>
      </c>
      <c r="C217" s="66" t="inlineStr">
        <is>
          <t>Santiago</t>
        </is>
      </c>
      <c r="D217" s="66" t="inlineStr">
        <is>
          <t>apoyo@capacitacionbailac.cl</t>
        </is>
      </c>
      <c r="E217" s="66" t="inlineStr">
        <is>
          <t>(56) 9 4284 6607</t>
        </is>
      </c>
      <c r="F217" s="66" t="inlineStr">
        <is>
          <t>Raimundo Bailac (GG)</t>
        </is>
      </c>
      <c r="G217" s="66" t="n"/>
      <c r="H217" s="66" t="n"/>
      <c r="I217" s="66" t="inlineStr">
        <is>
          <t>76.217.882-6</t>
        </is>
      </c>
      <c r="J217" s="66" t="inlineStr">
        <is>
          <t>Tecnología Gestión Neumáticos &amp; Economía Circular</t>
        </is>
      </c>
      <c r="K217" s="66" t="inlineStr">
        <is>
          <t>Ventas: PEQUEÑA 3 (10.000 - 25.000 UF) | Empleados: 5</t>
        </is>
      </c>
      <c r="L217" s="61" t="n"/>
      <c r="M217" s="61" t="n"/>
      <c r="N217" s="61" t="n"/>
      <c r="O217" s="61" t="n"/>
      <c r="P217" s="61" t="n"/>
      <c r="Q217" s="62" t="n"/>
      <c r="R217" s="61" t="n"/>
    </row>
    <row r="218" ht="15.75" customHeight="1" s="38">
      <c r="A218" s="59" t="inlineStr">
        <is>
          <t>Bailac Thor Saan Ltda.</t>
        </is>
      </c>
      <c r="B218" s="59" t="inlineStr">
        <is>
          <t>Recauchaje de Neumáticos, Servicios de Reparación de Neumáticos Gigantes a la Minería</t>
        </is>
      </c>
      <c r="C218" s="59" t="inlineStr">
        <is>
          <t>Iquique</t>
        </is>
      </c>
      <c r="D218" s="59" t="inlineStr">
        <is>
          <t>ventas@bailacthor.com</t>
        </is>
      </c>
      <c r="E218" s="59" t="inlineStr">
        <is>
          <t>(56) 57 251 8300</t>
        </is>
      </c>
      <c r="F218" s="59" t="inlineStr">
        <is>
          <t>Raimundo Bailac (GG)</t>
        </is>
      </c>
      <c r="G218" s="59" t="n"/>
      <c r="H218" s="59" t="n"/>
      <c r="I218" s="59" t="inlineStr">
        <is>
          <t>78.080.330-4</t>
        </is>
      </c>
      <c r="J218" s="59" t="inlineStr">
        <is>
          <t>Tecnología Gestión Neumáticos &amp; Economía Circular</t>
        </is>
      </c>
      <c r="K218" s="59" t="inlineStr">
        <is>
          <t>Ventas: GRANDE 3 (600.000 - 1.000.000 UF) | Empleados: 156</t>
        </is>
      </c>
      <c r="L218" s="61" t="n"/>
      <c r="M218" s="61" t="n"/>
      <c r="N218" s="61" t="n"/>
      <c r="O218" s="61" t="n"/>
      <c r="P218" s="61" t="n"/>
      <c r="Q218" s="62" t="n"/>
      <c r="R218" s="61" t="n"/>
    </row>
    <row r="219" ht="15.75" customHeight="1" s="38">
      <c r="A219" s="66" t="inlineStr">
        <is>
          <t>Baker McKenzie, Servicios Legales SpA</t>
        </is>
      </c>
      <c r="B219" s="66" t="inlineStr">
        <is>
          <t>Asesorías Jurídicas en Minería, Servicios Legales</t>
        </is>
      </c>
      <c r="C219" s="66" t="inlineStr">
        <is>
          <t>Santiago</t>
        </is>
      </c>
      <c r="D219" s="66" t="inlineStr">
        <is>
          <t>antonio.ortuzar.jr@bakermckenzie.com</t>
        </is>
      </c>
      <c r="E219" s="66" t="inlineStr">
        <is>
          <t>(56) 2 2367 7000</t>
        </is>
      </c>
      <c r="F219" s="66" t="inlineStr">
        <is>
          <t>Gerente de TI / CIO (Director de Tecnología)</t>
        </is>
      </c>
      <c r="G219" s="66" t="n"/>
      <c r="H219" s="66" t="n"/>
      <c r="I219" s="66" t="inlineStr">
        <is>
          <t>76.451.566-8</t>
        </is>
      </c>
      <c r="J219" s="66" t="n"/>
      <c r="K219" s="66" t="inlineStr">
        <is>
          <t>Ventas: GRANDE 3 (600.000 - 1.000.000 UF) | Empleados: 56</t>
        </is>
      </c>
      <c r="L219" s="61" t="n"/>
      <c r="M219" s="61" t="n"/>
      <c r="N219" s="61" t="n"/>
      <c r="O219" s="61" t="n"/>
      <c r="P219" s="61" t="n"/>
      <c r="Q219" s="62" t="n"/>
      <c r="R219" s="61" t="n"/>
    </row>
    <row r="220" ht="15.75" customHeight="1" s="38">
      <c r="A220" s="66" t="inlineStr">
        <is>
          <t>Balanzas Cóndor S.A.</t>
        </is>
      </c>
      <c r="B220" s="66" t="inlineStr">
        <is>
          <t>Balanzas, Equipos para Pesar</t>
        </is>
      </c>
      <c r="C220" s="66" t="inlineStr">
        <is>
          <t>Santiago</t>
        </is>
      </c>
      <c r="D220" s="66" t="inlineStr">
        <is>
          <t>ventas@balanzascondorsa.cl</t>
        </is>
      </c>
      <c r="E220" s="66" t="inlineStr">
        <is>
          <t>(56) 9 8887 8003</t>
        </is>
      </c>
      <c r="F220" s="66" t="n"/>
      <c r="G220" s="66" t="n"/>
      <c r="H220" s="66" t="n"/>
      <c r="I220" s="66" t="inlineStr">
        <is>
          <t>76.071.896-3</t>
        </is>
      </c>
      <c r="J220" s="66" t="n"/>
      <c r="K220" s="66" t="inlineStr">
        <is>
          <t>Ventas: PEQUEÑA 2 (5.000 - 10.000 UF) | Empleados: 2</t>
        </is>
      </c>
      <c r="L220" s="61" t="n"/>
      <c r="M220" s="61" t="n"/>
      <c r="N220" s="61" t="n"/>
      <c r="O220" s="61" t="n"/>
      <c r="P220" s="61" t="n"/>
      <c r="Q220" s="62" t="n"/>
      <c r="R220" s="61" t="n"/>
    </row>
    <row r="221" ht="15.75" customHeight="1" s="38">
      <c r="A221" s="66" t="inlineStr">
        <is>
          <t>Banff Bombas</t>
        </is>
      </c>
      <c r="B221" s="66" t="inlineStr">
        <is>
          <t>Bombas Centrífugas, Bombas para Extracción, Bombeo de fluidos</t>
        </is>
      </c>
      <c r="C221" s="66" t="inlineStr">
        <is>
          <t>Santiago</t>
        </is>
      </c>
      <c r="D221" s="66" t="inlineStr">
        <is>
          <t>contacto.ventas@banffbombas.cl</t>
        </is>
      </c>
      <c r="E221" s="66" t="inlineStr">
        <is>
          <t>(56) 2 2392 6500</t>
        </is>
      </c>
      <c r="F221" s="66" t="n"/>
      <c r="G221" s="66" t="n"/>
      <c r="H221" s="66" t="n"/>
      <c r="I221" s="66" t="inlineStr">
        <is>
          <t>76.183.646-3</t>
        </is>
      </c>
      <c r="J221" s="66" t="n"/>
      <c r="K221" s="66" t="inlineStr">
        <is>
          <t>Ventas: GRANDE 1 (100.000 - 200.000 UF) | Empleados: 24</t>
        </is>
      </c>
      <c r="L221" s="61" t="n"/>
      <c r="M221" s="61" t="n"/>
      <c r="N221" s="61" t="n"/>
      <c r="O221" s="61" t="n"/>
      <c r="P221" s="61" t="n"/>
      <c r="Q221" s="62" t="n"/>
      <c r="R221" s="61" t="n"/>
    </row>
    <row r="222" ht="15.75" customHeight="1" s="38">
      <c r="A222" s="66" t="inlineStr">
        <is>
          <t>Bannister y Cía. Ltda.</t>
        </is>
      </c>
      <c r="B222" s="66" t="inlineStr">
        <is>
          <t>Equipos para Mantenimiento Predictivo</t>
        </is>
      </c>
      <c r="C222" s="66" t="inlineStr">
        <is>
          <t>Santiago</t>
        </is>
      </c>
      <c r="D222" s="66" t="inlineStr">
        <is>
          <t>ventas@bannister.cl</t>
        </is>
      </c>
      <c r="E222" s="66" t="inlineStr">
        <is>
          <t>(56) 2 2209 9510</t>
        </is>
      </c>
      <c r="F222" s="66" t="n"/>
      <c r="G222" s="66" t="n"/>
      <c r="H222" s="66" t="n"/>
      <c r="I222" s="66" t="inlineStr">
        <is>
          <t>78.613.300-9</t>
        </is>
      </c>
      <c r="J222" s="66" t="n"/>
      <c r="K222" s="66" t="inlineStr">
        <is>
          <t>Ventas: MEDIANA 2 (50.000 - 100.000 UF) | Empleados: 7</t>
        </is>
      </c>
      <c r="L222" s="61" t="n"/>
      <c r="M222" s="61" t="n"/>
      <c r="N222" s="61" t="n"/>
      <c r="O222" s="61" t="n"/>
      <c r="P222" s="61" t="n"/>
      <c r="Q222" s="62" t="n"/>
      <c r="R222" s="61" t="n"/>
    </row>
    <row r="223" ht="15.75" customHeight="1" s="38">
      <c r="A223" s="66" t="inlineStr">
        <is>
          <t>Bapri</t>
        </is>
      </c>
      <c r="B223" s="66" t="inlineStr">
        <is>
          <t>Planchas de Plástico, Plásticos</t>
        </is>
      </c>
      <c r="C223" s="66" t="inlineStr">
        <is>
          <t>Santiago</t>
        </is>
      </c>
      <c r="D223" s="66" t="inlineStr">
        <is>
          <t>comercial@bapri.cl</t>
        </is>
      </c>
      <c r="E223" s="66" t="inlineStr">
        <is>
          <t>(56) 2 2745 3673</t>
        </is>
      </c>
      <c r="F223" s="66" t="n"/>
      <c r="G223" s="66" t="n"/>
      <c r="H223" s="66" t="n"/>
      <c r="I223" s="66" t="inlineStr">
        <is>
          <t>80.919.500-7</t>
        </is>
      </c>
      <c r="J223" s="66" t="n"/>
      <c r="K223" s="66" t="inlineStr">
        <is>
          <t>Ventas: MICRO 1 (0.01 - 200 UF) | Empleados: 0</t>
        </is>
      </c>
      <c r="L223" s="61" t="n"/>
      <c r="M223" s="61" t="n"/>
      <c r="N223" s="61" t="n"/>
      <c r="O223" s="61" t="n"/>
      <c r="P223" s="61" t="n"/>
      <c r="Q223" s="62" t="n"/>
      <c r="R223" s="61" t="n"/>
    </row>
    <row r="224" ht="15.75" customHeight="1" s="38">
      <c r="A224" s="66" t="inlineStr">
        <is>
          <t>Barraca de Fierro Carlos Herrera A.</t>
        </is>
      </c>
      <c r="B224" s="66" t="inlineStr">
        <is>
          <t>Barracas de Acero</t>
        </is>
      </c>
      <c r="C224" s="66" t="inlineStr">
        <is>
          <t>Santiago</t>
        </is>
      </c>
      <c r="D224" s="66" t="inlineStr">
        <is>
          <t>contacto@carlosherrera.cl</t>
        </is>
      </c>
      <c r="E224" s="66" t="inlineStr">
        <is>
          <t>(56) 2 2550 0100</t>
        </is>
      </c>
      <c r="F224" s="66" t="n"/>
      <c r="G224" s="66" t="n"/>
      <c r="H224" s="66" t="n"/>
      <c r="I224" s="66" t="inlineStr">
        <is>
          <t>77.201.840-1</t>
        </is>
      </c>
      <c r="J224" s="66" t="n"/>
      <c r="K224" s="66" t="inlineStr">
        <is>
          <t>Ventas: GRANDE (Estimado por Empleados) | Empleados: 254</t>
        </is>
      </c>
      <c r="L224" s="61" t="n"/>
      <c r="M224" s="61" t="n"/>
      <c r="N224" s="61" t="n"/>
      <c r="O224" s="61" t="n"/>
      <c r="P224" s="61" t="n"/>
      <c r="Q224" s="62" t="n"/>
      <c r="R224" s="61" t="n"/>
    </row>
    <row r="225" ht="15.75" customHeight="1" s="38">
      <c r="A225" s="59" t="inlineStr">
        <is>
          <t>Barraca de Fierro San Joaquín SpA</t>
        </is>
      </c>
      <c r="B225" s="59" t="inlineStr">
        <is>
          <t>Barracas de Acero, Barracas de Fierros</t>
        </is>
      </c>
      <c r="C225" s="59" t="inlineStr">
        <is>
          <t>Santiago</t>
        </is>
      </c>
      <c r="D225" s="59" t="inlineStr">
        <is>
          <t>ventas@fsj.cl</t>
        </is>
      </c>
      <c r="E225" s="59" t="inlineStr">
        <is>
          <t>(56) 2 2551 6867</t>
        </is>
      </c>
      <c r="F225" s="59" t="inlineStr">
        <is>
          <t>Martín Vera (CIO/CTO)</t>
        </is>
      </c>
      <c r="G225" s="59" t="n"/>
      <c r="H225" s="59" t="n"/>
      <c r="I225" s="59" t="inlineStr">
        <is>
          <t>96.654.030-3</t>
        </is>
      </c>
      <c r="J225" s="59" t="inlineStr">
        <is>
          <t>Transformación Digital Ventas &amp; Inventario</t>
        </is>
      </c>
      <c r="K225" s="59" t="inlineStr">
        <is>
          <t>Ventas: GRANDE 2 (200.000 - 600.000 UF) | Empleados: 21</t>
        </is>
      </c>
      <c r="L225" s="61" t="n"/>
      <c r="M225" s="61" t="n"/>
      <c r="N225" s="61" t="n"/>
      <c r="O225" s="61" t="n"/>
      <c r="P225" s="61" t="n"/>
      <c r="Q225" s="62" t="n"/>
      <c r="R225" s="61" t="n"/>
    </row>
    <row r="226" ht="15.75" customHeight="1" s="38">
      <c r="A226" s="66" t="inlineStr">
        <is>
          <t>Barrick Chile</t>
        </is>
      </c>
      <c r="B226" s="66" t="inlineStr">
        <is>
          <t>Cátodos de Cobre</t>
        </is>
      </c>
      <c r="C226" s="66" t="inlineStr">
        <is>
          <t>Santiago</t>
        </is>
      </c>
      <c r="D226" s="66" t="inlineStr">
        <is>
          <t>comunicacionesbcl@barrick.com</t>
        </is>
      </c>
      <c r="E226" s="66" t="inlineStr">
        <is>
          <t>(56) 2 2340 2000</t>
        </is>
      </c>
      <c r="F226" s="66" t="n"/>
      <c r="G226" s="66" t="n"/>
      <c r="H226" s="66" t="n"/>
      <c r="I226" s="66" t="inlineStr">
        <is>
          <t>59.000.710-2</t>
        </is>
      </c>
      <c r="J226" s="66" t="n"/>
      <c r="K226" s="66" t="inlineStr">
        <is>
          <t>Ventas: No en base SII | Empleados: S/I</t>
        </is>
      </c>
      <c r="L226" s="61" t="n"/>
      <c r="M226" s="61" t="n"/>
      <c r="N226" s="61" t="n"/>
      <c r="O226" s="61" t="n"/>
      <c r="P226" s="61" t="n"/>
      <c r="Q226" s="62" t="n"/>
      <c r="R226" s="61" t="n"/>
    </row>
    <row r="227" ht="15.75" customHeight="1" s="38">
      <c r="A227" s="66" t="inlineStr">
        <is>
          <t>Barry, Grúas y Transportes</t>
        </is>
      </c>
      <c r="B227" s="66" t="inlineStr">
        <is>
          <t>Camiones con Grúas Pluma</t>
        </is>
      </c>
      <c r="C227" s="66" t="inlineStr">
        <is>
          <t>Santiago</t>
        </is>
      </c>
      <c r="D227" s="66" t="inlineStr">
        <is>
          <t>contacto@barry.cl</t>
        </is>
      </c>
      <c r="E227" s="66" t="inlineStr">
        <is>
          <t>(56) 2 2773 0362</t>
        </is>
      </c>
      <c r="F227" s="66" t="n"/>
      <c r="G227" s="66" t="n"/>
      <c r="H227" s="66" t="n"/>
      <c r="I227" s="66" t="inlineStr">
        <is>
          <t>5.476.243-7</t>
        </is>
      </c>
      <c r="J227" s="66" t="n"/>
      <c r="K227" s="66" t="inlineStr">
        <is>
          <t>Ventas: No en base SII | Empleados: S/I</t>
        </is>
      </c>
      <c r="L227" s="61" t="n"/>
      <c r="M227" s="61" t="n"/>
      <c r="N227" s="61" t="n"/>
      <c r="O227" s="61" t="n"/>
      <c r="P227" s="61" t="n"/>
      <c r="Q227" s="62" t="n"/>
      <c r="R227" s="61" t="n"/>
    </row>
    <row r="228" ht="15.75" customHeight="1" s="38">
      <c r="A228" s="59" t="inlineStr">
        <is>
          <t>Bartech</t>
        </is>
      </c>
      <c r="B228" s="59" t="inlineStr">
        <is>
          <t>Capturadores de Información, Control de Accesos</t>
        </is>
      </c>
      <c r="C228" s="59" t="inlineStr">
        <is>
          <t>Santiago</t>
        </is>
      </c>
      <c r="D228" s="59" t="inlineStr">
        <is>
          <t>ventas@bartech.cl</t>
        </is>
      </c>
      <c r="E228" s="59" t="inlineStr">
        <is>
          <t>(56) 2 2923 8600</t>
        </is>
      </c>
      <c r="F228" s="59" t="inlineStr">
        <is>
          <t>Raul Lara (Gerente Comercial y Desarrollo)</t>
        </is>
      </c>
      <c r="G228" s="59" t="inlineStr">
        <is>
          <t>raul.lara@bartech.cl</t>
        </is>
      </c>
      <c r="H228" s="59" t="n"/>
      <c r="I228" s="59" t="inlineStr">
        <is>
          <t>99.539.070-1</t>
        </is>
      </c>
      <c r="J228" s="59" t="inlineStr">
        <is>
          <t>Investigación en Proceso</t>
        </is>
      </c>
      <c r="K228" s="59" t="inlineStr">
        <is>
          <t>Ventas: GRANDE 3 (600.000 - 1.000.000 UF) | Empleados: 20</t>
        </is>
      </c>
      <c r="L228" s="61" t="n"/>
      <c r="M228" s="61" t="n"/>
      <c r="N228" s="61" t="n"/>
      <c r="O228" s="61" t="n"/>
      <c r="P228" s="61" t="n"/>
      <c r="Q228" s="62" t="n"/>
      <c r="R228" s="61" t="n"/>
    </row>
    <row r="229" ht="15.75" customHeight="1" s="38">
      <c r="A229" s="66" t="inlineStr">
        <is>
          <t>Basalto Drilling</t>
        </is>
      </c>
      <c r="B229" s="66" t="inlineStr">
        <is>
          <t>Servicios de Perforación, Sondajes Diamantinos</t>
        </is>
      </c>
      <c r="C229" s="66" t="inlineStr">
        <is>
          <t>Santiago</t>
        </is>
      </c>
      <c r="D229" s="66" t="inlineStr">
        <is>
          <t>info@basaltodrilling.cl</t>
        </is>
      </c>
      <c r="E229" s="66" t="inlineStr">
        <is>
          <t>(56) 2 3216 6092</t>
        </is>
      </c>
      <c r="F229" s="66" t="inlineStr">
        <is>
          <t>Gerente de TI / CIO (Director de Tecnología)</t>
        </is>
      </c>
      <c r="G229" s="66" t="n"/>
      <c r="H229" s="66" t="n"/>
      <c r="I229" s="66" t="inlineStr">
        <is>
          <t>76472652-9</t>
        </is>
      </c>
      <c r="J229" s="66" t="n"/>
      <c r="K229" s="66" t="inlineStr">
        <is>
          <t>Ventas: GRANDE 3 (600.000 - 1.000.000 UF) | Empleados: 170</t>
        </is>
      </c>
      <c r="L229" s="61" t="n"/>
      <c r="M229" s="61" t="n"/>
      <c r="N229" s="61" t="n"/>
      <c r="O229" s="61" t="n"/>
      <c r="P229" s="61" t="n"/>
      <c r="Q229" s="62" t="n"/>
      <c r="R229" s="61" t="n"/>
    </row>
    <row r="230" ht="15.75" customHeight="1" s="38">
      <c r="A230" s="66" t="inlineStr">
        <is>
          <t>Basaul Industrial</t>
        </is>
      </c>
      <c r="B230" s="66" t="inlineStr">
        <is>
          <t>Agitadores, Aplicaciones Industriales</t>
        </is>
      </c>
      <c r="C230" s="66" t="inlineStr">
        <is>
          <t>Antofagasta</t>
        </is>
      </c>
      <c r="D230" s="66" t="inlineStr">
        <is>
          <t>contacto@bindustrial.cl</t>
        </is>
      </c>
      <c r="E230" s="66" t="inlineStr">
        <is>
          <t>(56) 9 4011 6826</t>
        </is>
      </c>
      <c r="F230" s="66" t="n"/>
      <c r="G230" s="66" t="n"/>
      <c r="H230" s="66" t="n"/>
      <c r="I230" s="66" t="inlineStr">
        <is>
          <t>76745839-8</t>
        </is>
      </c>
      <c r="J230" s="66" t="n"/>
      <c r="K230" s="66" t="inlineStr">
        <is>
          <t>Ventas: PEQUEÑA 3 (10.000 - 25.000 UF) | Empleados: 7</t>
        </is>
      </c>
      <c r="L230" s="61" t="n"/>
      <c r="M230" s="61" t="n"/>
      <c r="N230" s="61" t="n"/>
      <c r="O230" s="61" t="n"/>
      <c r="P230" s="61" t="n"/>
      <c r="Q230" s="62" t="n"/>
      <c r="R230" s="61" t="n"/>
    </row>
    <row r="231" ht="15.75" customHeight="1" s="38">
      <c r="A231" s="59" t="inlineStr">
        <is>
          <t>BASF Chile S.A.</t>
        </is>
      </c>
      <c r="B231" s="59" t="inlineStr">
        <is>
          <t>Productos Químicos para la Minería</t>
        </is>
      </c>
      <c r="C231" s="59" t="inlineStr">
        <is>
          <t>Santiago</t>
        </is>
      </c>
      <c r="D231" s="59" t="n"/>
      <c r="E231" s="59" t="inlineStr">
        <is>
          <t>(56) 2 2640 7000</t>
        </is>
      </c>
      <c r="F231" s="59" t="inlineStr">
        <is>
          <t>Jonathan Rojas (Gerente Digitalización)</t>
        </is>
      </c>
      <c r="G231" s="59" t="n"/>
      <c r="H231" s="59" t="n"/>
      <c r="I231" s="59" t="inlineStr">
        <is>
          <t>80.043.600-1</t>
        </is>
      </c>
      <c r="J231" s="59" t="inlineStr">
        <is>
          <t>Transformación Digital Clusters Región Andes</t>
        </is>
      </c>
      <c r="K231" s="59" t="inlineStr">
        <is>
          <t>Ventas: GRANDE (Estimado por Empleados) | Empleados: 256</t>
        </is>
      </c>
      <c r="L231" s="61" t="n"/>
      <c r="M231" s="61" t="n"/>
      <c r="N231" s="61" t="n"/>
      <c r="O231" s="61" t="n"/>
      <c r="P231" s="61" t="n"/>
      <c r="Q231" s="62" t="n"/>
      <c r="R231" s="61" t="n"/>
    </row>
    <row r="232" ht="15.75" customHeight="1" s="38">
      <c r="A232" s="66" t="inlineStr">
        <is>
          <t>Bash Seguridad S.A.</t>
        </is>
      </c>
      <c r="B232" s="66" t="inlineStr">
        <is>
          <t>Equipos para Seguridad, Soluciones para Seguridad</t>
        </is>
      </c>
      <c r="C232" s="66" t="inlineStr">
        <is>
          <t>Santiago</t>
        </is>
      </c>
      <c r="D232" s="66" t="inlineStr">
        <is>
          <t>bash@bash.cl</t>
        </is>
      </c>
      <c r="E232" s="66" t="inlineStr">
        <is>
          <t>(56) 2 2620 3500</t>
        </is>
      </c>
      <c r="F232" s="66" t="n"/>
      <c r="G232" s="66" t="n"/>
      <c r="H232" s="66" t="n"/>
      <c r="I232" s="66" t="inlineStr">
        <is>
          <t>96.828.300-6</t>
        </is>
      </c>
      <c r="J232" s="66" t="n"/>
      <c r="K232" s="66" t="inlineStr">
        <is>
          <t>Ventas: PEQUEÑA 2 (5.000 - 10.000 UF) | Empleados: 0</t>
        </is>
      </c>
      <c r="L232" s="61" t="n"/>
      <c r="M232" s="61" t="n"/>
      <c r="N232" s="61" t="n"/>
      <c r="O232" s="61" t="n"/>
      <c r="P232" s="61" t="n"/>
      <c r="Q232" s="62" t="n"/>
      <c r="R232" s="61" t="n"/>
    </row>
    <row r="233" ht="15.75" customHeight="1" s="38">
      <c r="A233" s="66" t="inlineStr">
        <is>
          <t>Bata Industrials</t>
        </is>
      </c>
      <c r="B233" s="66" t="inlineStr">
        <is>
          <t>Calzado para Seguridad</t>
        </is>
      </c>
      <c r="C233" s="66" t="inlineStr">
        <is>
          <t>Santiago</t>
        </is>
      </c>
      <c r="D233" s="66" t="inlineStr">
        <is>
          <t>division.industrial@bata.com</t>
        </is>
      </c>
      <c r="E233" s="66" t="inlineStr">
        <is>
          <t>(56) 2 2560 4304</t>
        </is>
      </c>
      <c r="F233" s="66" t="n"/>
      <c r="G233" s="66" t="n"/>
      <c r="H233" s="66" t="n"/>
      <c r="I233" s="66" t="inlineStr">
        <is>
          <t>96.670.340-7</t>
        </is>
      </c>
      <c r="J233" s="66" t="n"/>
      <c r="K233" s="66" t="inlineStr">
        <is>
          <t>Ventas: GRANDE (Estimado por Empleados) | Empleados: 681</t>
        </is>
      </c>
      <c r="L233" s="61" t="n"/>
      <c r="M233" s="61" t="n"/>
      <c r="N233" s="61" t="n"/>
      <c r="O233" s="61" t="n"/>
      <c r="P233" s="61" t="n"/>
      <c r="Q233" s="62" t="n"/>
      <c r="R233" s="61" t="n"/>
    </row>
    <row r="234" ht="15.75" customHeight="1" s="38">
      <c r="A234" s="66" t="inlineStr">
        <is>
          <t>BBC Chartering Andino S.A.</t>
        </is>
      </c>
      <c r="B234" s="66" t="inlineStr">
        <is>
          <t>Transporte de Carga Pesada, Transporte Marítimo</t>
        </is>
      </c>
      <c r="C234" s="66" t="inlineStr">
        <is>
          <t>Santiago</t>
        </is>
      </c>
      <c r="D234" s="66" t="inlineStr">
        <is>
          <t>santiago@bbc-chartering.com</t>
        </is>
      </c>
      <c r="E234" s="66" t="inlineStr">
        <is>
          <t>(56) 2 2847 3900</t>
        </is>
      </c>
      <c r="F234" s="66" t="n"/>
      <c r="G234" s="66" t="n"/>
      <c r="H234" s="66" t="n"/>
      <c r="I234" s="66" t="inlineStr">
        <is>
          <t>76.086.851-5</t>
        </is>
      </c>
      <c r="J234" s="66" t="n"/>
      <c r="K234" s="66" t="inlineStr">
        <is>
          <t>Ventas: MEDIANA 1 (25.000 - 50.000 UF) | Empleados: 5</t>
        </is>
      </c>
      <c r="L234" s="61" t="n"/>
      <c r="M234" s="61" t="n"/>
      <c r="N234" s="61" t="n"/>
      <c r="O234" s="61" t="n"/>
      <c r="P234" s="61" t="n"/>
      <c r="Q234" s="62" t="n"/>
      <c r="R234" s="61" t="n"/>
    </row>
    <row r="235" ht="15.75" customHeight="1" s="38">
      <c r="A235" s="66" t="inlineStr">
        <is>
          <t>BC Bearing Chile S.A.</t>
        </is>
      </c>
      <c r="B235" s="66" t="inlineStr">
        <is>
          <t>Acoplamientos Flexibles, Poleas, Rodamientos</t>
        </is>
      </c>
      <c r="C235" s="66" t="inlineStr">
        <is>
          <t>Santiago</t>
        </is>
      </c>
      <c r="D235" s="66" t="inlineStr">
        <is>
          <t>contacto@bcbearing.cl</t>
        </is>
      </c>
      <c r="E235" s="66" t="inlineStr">
        <is>
          <t>(56) 2 2351 5332</t>
        </is>
      </c>
      <c r="F235" s="66" t="inlineStr">
        <is>
          <t>Gerente de TI / CIO (Director de Tecnología)</t>
        </is>
      </c>
      <c r="G235" s="66" t="n"/>
      <c r="H235" s="66" t="n"/>
      <c r="I235" s="66" t="inlineStr">
        <is>
          <t>96.678.530-6</t>
        </is>
      </c>
      <c r="J235" s="66" t="n"/>
      <c r="K235" s="66" t="inlineStr">
        <is>
          <t>Ventas: GRANDE 3 (600.000 - 1.000.000 UF) | Empleados: 51</t>
        </is>
      </c>
      <c r="L235" s="61" t="n"/>
      <c r="M235" s="61" t="n"/>
      <c r="N235" s="61" t="n"/>
      <c r="O235" s="61" t="n"/>
      <c r="P235" s="61" t="n"/>
      <c r="Q235" s="62" t="n"/>
      <c r="R235" s="61" t="n"/>
    </row>
    <row r="236" ht="15.75" customHeight="1" s="38">
      <c r="A236" s="66" t="inlineStr">
        <is>
          <t>Bctec</t>
        </is>
      </c>
      <c r="B236" s="66" t="inlineStr">
        <is>
          <t>Análisis de Big Data para Minería, Análisis de Riesgo para Minería Subterránea, Diseño y Análisis de Perforación y Tronaduras</t>
        </is>
      </c>
      <c r="C236" s="66" t="inlineStr">
        <is>
          <t>Santiago</t>
        </is>
      </c>
      <c r="D236" s="66" t="inlineStr">
        <is>
          <t>contacto@bctec.cl</t>
        </is>
      </c>
      <c r="E236" s="66" t="inlineStr">
        <is>
          <t>(56) 2 3245 1334</t>
        </is>
      </c>
      <c r="F236" s="66" t="n"/>
      <c r="G236" s="66" t="n"/>
      <c r="H236" s="66" t="n"/>
      <c r="I236" s="66" t="inlineStr">
        <is>
          <t>76.248.758-6</t>
        </is>
      </c>
      <c r="J236" s="66" t="n"/>
      <c r="K236" s="66" t="inlineStr">
        <is>
          <t>Ventas: MEDIANA 2 (50.000 - 100.000 UF) | Empleados: 19</t>
        </is>
      </c>
      <c r="L236" s="61" t="n"/>
      <c r="M236" s="61" t="n"/>
      <c r="N236" s="61" t="n"/>
      <c r="O236" s="61" t="n"/>
      <c r="P236" s="61" t="n"/>
      <c r="Q236" s="62" t="n"/>
      <c r="R236" s="61" t="n"/>
    </row>
    <row r="237" ht="15.75" customHeight="1" s="38">
      <c r="A237" s="59" t="inlineStr">
        <is>
          <t>Bechtel Chile Ltda.</t>
        </is>
      </c>
      <c r="B237" s="59" t="inlineStr">
        <is>
          <t>Construcción de Plantas Mineras</t>
        </is>
      </c>
      <c r="C237" s="59" t="inlineStr">
        <is>
          <t>Santiago</t>
        </is>
      </c>
      <c r="D237" s="59" t="n"/>
      <c r="E237" s="59" t="inlineStr">
        <is>
          <t>(56) 2 2675 1000</t>
        </is>
      </c>
      <c r="F237" s="59" t="inlineStr">
        <is>
          <t>Felipe Espinoza (Infrastructure Lead)</t>
        </is>
      </c>
      <c r="G237" s="59" t="n"/>
      <c r="H237" s="59" t="n"/>
      <c r="I237" s="59" t="inlineStr">
        <is>
          <t>95.207.000-2</t>
        </is>
      </c>
      <c r="J237" s="59" t="inlineStr">
        <is>
          <t>Sistemas IT Ingeniería Minería &amp; Infraestructura</t>
        </is>
      </c>
      <c r="K237" s="59" t="inlineStr">
        <is>
          <t>Ventas: GRANDE (Estimado por Empleados) | Empleados: 1820</t>
        </is>
      </c>
      <c r="L237" s="61" t="n"/>
      <c r="M237" s="61" t="n"/>
      <c r="N237" s="61" t="n"/>
      <c r="O237" s="61" t="n"/>
      <c r="P237" s="61" t="n"/>
      <c r="Q237" s="62" t="n"/>
      <c r="R237" s="61" t="n"/>
    </row>
    <row r="238" ht="15.75" customHeight="1" s="38">
      <c r="A238" s="66" t="inlineStr">
        <is>
          <t>Becker South America S.A.</t>
        </is>
      </c>
      <c r="B238" s="66" t="inlineStr">
        <is>
          <t>Distribución de Energía, Sistemas de Detección de Proximidad</t>
        </is>
      </c>
      <c r="C238" s="66" t="inlineStr">
        <is>
          <t>Santiago</t>
        </is>
      </c>
      <c r="D238" s="66" t="inlineStr">
        <is>
          <t>ventas.latam@becker-mining.com</t>
        </is>
      </c>
      <c r="E238" s="66" t="inlineStr">
        <is>
          <t>(56) 9 8515 0215</t>
        </is>
      </c>
      <c r="F238" s="66" t="n"/>
      <c r="G238" s="66" t="n"/>
      <c r="H238" s="66" t="n"/>
      <c r="I238" s="66" t="inlineStr">
        <is>
          <t>76.018.394-6</t>
        </is>
      </c>
      <c r="J238" s="66" t="n"/>
      <c r="K238" s="66" t="inlineStr">
        <is>
          <t>Ventas: MEDIANA 1 (25.000 - 50.000 UF) | Empleados: 2</t>
        </is>
      </c>
      <c r="L238" s="61" t="n"/>
      <c r="M238" s="61" t="n"/>
      <c r="N238" s="61" t="n"/>
      <c r="O238" s="61" t="n"/>
      <c r="P238" s="61" t="n"/>
      <c r="Q238" s="62" t="n"/>
      <c r="R238" s="61" t="n"/>
    </row>
    <row r="239" ht="15.75" customHeight="1" s="38">
      <c r="A239" s="59" t="inlineStr">
        <is>
          <t>Beiben Truck</t>
        </is>
      </c>
      <c r="B239" s="59" t="inlineStr">
        <is>
          <t>Bulldozers, Camiones Carreteros y Fuera de Carretera (OTR)</t>
        </is>
      </c>
      <c r="C239" s="59" t="inlineStr">
        <is>
          <t>Santiago</t>
        </is>
      </c>
      <c r="D239" s="59" t="inlineStr">
        <is>
          <t>info@beiben.cl</t>
        </is>
      </c>
      <c r="E239" s="59" t="inlineStr">
        <is>
          <t>(56) 2 2797 6200</t>
        </is>
      </c>
      <c r="F239" s="59" t="inlineStr">
        <is>
          <t>Philipp Kaufmann (CEO)</t>
        </is>
      </c>
      <c r="G239" s="59" t="n"/>
      <c r="H239" s="59" t="n"/>
      <c r="I239" s="59" t="inlineStr">
        <is>
          <t>76.077.627-0</t>
        </is>
      </c>
      <c r="J239" s="59" t="inlineStr">
        <is>
          <t>Camiones Autónomos para Minería</t>
        </is>
      </c>
      <c r="K239" s="59" t="inlineStr">
        <is>
          <t>Ventas: GRANDE 2 (200.000 - 600.000 UF) | Empleados: 13</t>
        </is>
      </c>
      <c r="L239" s="61" t="n"/>
      <c r="M239" s="61" t="n"/>
      <c r="N239" s="61" t="n"/>
      <c r="O239" s="61" t="n"/>
      <c r="P239" s="61" t="n"/>
      <c r="Q239" s="62" t="n"/>
      <c r="R239" s="61" t="n"/>
    </row>
    <row r="240" ht="15.75" customHeight="1" s="38">
      <c r="A240" s="66" t="inlineStr">
        <is>
          <t>Beka</t>
        </is>
      </c>
      <c r="B240" s="66" t="inlineStr">
        <is>
          <t>Plantas Dosificadoras para Hormigón</t>
        </is>
      </c>
      <c r="C240" s="66" t="inlineStr">
        <is>
          <t>Santiago</t>
        </is>
      </c>
      <c r="D240" s="66" t="inlineStr">
        <is>
          <t>contacto@beka-sa.com</t>
        </is>
      </c>
      <c r="E240" s="66" t="inlineStr">
        <is>
          <t>(56) 2 2753 6700</t>
        </is>
      </c>
      <c r="F240" s="66" t="inlineStr">
        <is>
          <t>Gerente de TI / CIO (Director de Tecnología)</t>
        </is>
      </c>
      <c r="G240" s="66" t="n"/>
      <c r="H240" s="66" t="n"/>
      <c r="I240" s="66" t="inlineStr">
        <is>
          <t>76.108.278-7</t>
        </is>
      </c>
      <c r="J240" s="66" t="n"/>
      <c r="K240" s="66" t="inlineStr">
        <is>
          <t>Ventas: GRANDE 3 (600.000 - 1.000.000 UF) | Empleados: 66</t>
        </is>
      </c>
      <c r="L240" s="61" t="n"/>
      <c r="M240" s="61" t="n"/>
      <c r="N240" s="61" t="n"/>
      <c r="O240" s="61" t="n"/>
      <c r="P240" s="61" t="n"/>
      <c r="Q240" s="62" t="n"/>
      <c r="R240" s="61" t="n"/>
    </row>
    <row r="241" ht="15.75" customHeight="1" s="38">
      <c r="A241" s="66" t="inlineStr">
        <is>
          <t>Belectric Chile</t>
        </is>
      </c>
      <c r="B241" s="66" t="inlineStr">
        <is>
          <t>Plantas de Energía Solar</t>
        </is>
      </c>
      <c r="C241" s="66" t="inlineStr">
        <is>
          <t>Santiago</t>
        </is>
      </c>
      <c r="D241" s="66" t="inlineStr">
        <is>
          <t>info@belectric.com</t>
        </is>
      </c>
      <c r="E241" s="66" t="inlineStr">
        <is>
          <t>(56) 2 2383 0250</t>
        </is>
      </c>
      <c r="F241" s="66" t="n"/>
      <c r="G241" s="66" t="n"/>
      <c r="H241" s="66" t="n"/>
      <c r="I241" s="66" t="inlineStr">
        <is>
          <t>76780608-6</t>
        </is>
      </c>
      <c r="J241" s="66" t="n"/>
      <c r="K241" s="66" t="inlineStr">
        <is>
          <t>Ventas: MEDIANA 2 (50.000 - 100.000 UF) | Empleados: 93</t>
        </is>
      </c>
      <c r="L241" s="61" t="n"/>
      <c r="M241" s="61" t="n"/>
      <c r="N241" s="61" t="n"/>
      <c r="O241" s="61" t="n"/>
      <c r="P241" s="61" t="n"/>
      <c r="Q241" s="62" t="n"/>
      <c r="R241" s="61" t="n"/>
    </row>
    <row r="242" ht="15.75" customHeight="1" s="38">
      <c r="A242" s="66" t="inlineStr">
        <is>
          <t>Berr &amp; Nally S.A.</t>
        </is>
      </c>
      <c r="B242" s="66" t="inlineStr">
        <is>
          <t>Alambres y Clavos</t>
        </is>
      </c>
      <c r="C242" s="66" t="inlineStr">
        <is>
          <t>Santiago</t>
        </is>
      </c>
      <c r="D242" s="66" t="inlineStr">
        <is>
          <t>berrynally@berrynally.cl</t>
        </is>
      </c>
      <c r="E242" s="66" t="inlineStr">
        <is>
          <t>(56) 2 2621 6231</t>
        </is>
      </c>
      <c r="F242" s="66" t="n"/>
      <c r="G242" s="66" t="n"/>
      <c r="H242" s="66" t="n"/>
      <c r="I242" s="66" t="inlineStr">
        <is>
          <t>91.905.000-4</t>
        </is>
      </c>
      <c r="J242" s="66" t="n"/>
      <c r="K242" s="66" t="inlineStr">
        <is>
          <t>Ventas: MEDIANA 1 (25.000 - 50.000 UF) | Empleados: 11</t>
        </is>
      </c>
      <c r="L242" s="61" t="n"/>
      <c r="M242" s="61" t="n"/>
      <c r="N242" s="61" t="n"/>
      <c r="O242" s="61" t="n"/>
      <c r="P242" s="61" t="n"/>
      <c r="Q242" s="62" t="n"/>
      <c r="R242" s="61" t="n"/>
    </row>
    <row r="243" ht="15.75" customHeight="1" s="38">
      <c r="A243" s="59" t="inlineStr">
        <is>
          <t>Bertech</t>
        </is>
      </c>
      <c r="B243" s="59" t="inlineStr">
        <is>
          <t>Productos Químicos para la Mantención de Equipos Mineros, Productos Químicos para la Minería, Revestimientos Industriales</t>
        </is>
      </c>
      <c r="C243" s="59" t="inlineStr">
        <is>
          <t>Santiago</t>
        </is>
      </c>
      <c r="D243" s="59" t="inlineStr">
        <is>
          <t>contacto@bertech.cl</t>
        </is>
      </c>
      <c r="E243" s="59" t="inlineStr">
        <is>
          <t>(56) 2 2246 3485</t>
        </is>
      </c>
      <c r="F243" s="59" t="inlineStr">
        <is>
          <t>Pedro Fernández Parraguez (IT Manager)</t>
        </is>
      </c>
      <c r="G243" s="59" t="n"/>
      <c r="H243" s="59" t="n"/>
      <c r="I243" s="59" t="inlineStr">
        <is>
          <t>76.054.686-0</t>
        </is>
      </c>
      <c r="J243" s="59" t="inlineStr">
        <is>
          <t>Transf. Digital Revestimientos Industriales</t>
        </is>
      </c>
      <c r="K243" s="59" t="inlineStr">
        <is>
          <t>Ventas: GRANDE 2 (200.000 - 600.000 UF) | Empleados: 152</t>
        </is>
      </c>
      <c r="L243" s="61" t="n"/>
      <c r="M243" s="61" t="n"/>
      <c r="N243" s="61" t="n"/>
      <c r="O243" s="61" t="n"/>
      <c r="P243" s="61" t="n"/>
      <c r="Q243" s="62" t="n"/>
      <c r="R243" s="61" t="n"/>
    </row>
    <row r="244" ht="15.75" customHeight="1" s="38">
      <c r="A244" s="66" t="inlineStr">
        <is>
          <t>Bertonati Vehículos Especiales</t>
        </is>
      </c>
      <c r="B244" s="66" t="inlineStr">
        <is>
          <t>Vehículos Especiales</t>
        </is>
      </c>
      <c r="C244" s="66" t="inlineStr">
        <is>
          <t>Santiago</t>
        </is>
      </c>
      <c r="D244" s="66" t="inlineStr">
        <is>
          <t>bertonati@bertonati.cl</t>
        </is>
      </c>
      <c r="E244" s="66" t="inlineStr">
        <is>
          <t>(56) 2 2462 5200</t>
        </is>
      </c>
      <c r="F244" s="66" t="n"/>
      <c r="G244" s="66" t="n"/>
      <c r="H244" s="66" t="n"/>
      <c r="I244" s="66" t="inlineStr">
        <is>
          <t>96.825.800-1</t>
        </is>
      </c>
      <c r="J244" s="66" t="n"/>
      <c r="K244" s="66" t="inlineStr">
        <is>
          <t>Ventas: MICRO 1 (0.01 - 200 UF) | Empleados: 79</t>
        </is>
      </c>
      <c r="L244" s="61" t="n"/>
      <c r="M244" s="61" t="n"/>
      <c r="N244" s="61" t="n"/>
      <c r="O244" s="61" t="n"/>
      <c r="P244" s="61" t="n"/>
      <c r="Q244" s="62" t="n"/>
      <c r="R244" s="61" t="n"/>
    </row>
    <row r="245" ht="15.75" customHeight="1" s="38">
      <c r="A245" s="66" t="inlineStr">
        <is>
          <t>Besalco Maquinarias S.A.</t>
        </is>
      </c>
      <c r="B245" s="66" t="inlineStr">
        <is>
          <t>Arriendo de Grúas</t>
        </is>
      </c>
      <c r="C245" s="66" t="inlineStr">
        <is>
          <t>Santiago</t>
        </is>
      </c>
      <c r="D245" s="66" t="inlineStr">
        <is>
          <t>maquinarias@besalco.cl</t>
        </is>
      </c>
      <c r="E245" s="66" t="inlineStr">
        <is>
          <t>(56) 2 2540 7400</t>
        </is>
      </c>
      <c r="F245" s="66" t="n"/>
      <c r="G245" s="66" t="n"/>
      <c r="H245" s="66" t="n"/>
      <c r="I245" s="66" t="inlineStr">
        <is>
          <t>79.633.220-4</t>
        </is>
      </c>
      <c r="J245" s="66" t="n"/>
      <c r="K245" s="66" t="inlineStr">
        <is>
          <t>Ventas: GRANDE (Estimado por Empleados) | Empleados: 2035</t>
        </is>
      </c>
      <c r="L245" s="61" t="n"/>
      <c r="M245" s="61" t="n"/>
      <c r="N245" s="61" t="n"/>
      <c r="O245" s="61" t="n"/>
      <c r="P245" s="61" t="n"/>
      <c r="Q245" s="62" t="n"/>
      <c r="R245" s="61" t="n"/>
    </row>
    <row r="246" ht="15.75" customHeight="1" s="38">
      <c r="A246" s="66" t="inlineStr">
        <is>
          <t>Besalco S.A.</t>
        </is>
      </c>
      <c r="B246" s="66" t="inlineStr">
        <is>
          <t>Construcción de Obras Civiles, Construcción de Obras para Minería Subterránea</t>
        </is>
      </c>
      <c r="C246" s="66" t="inlineStr">
        <is>
          <t>Santiago</t>
        </is>
      </c>
      <c r="D246" s="66" t="inlineStr">
        <is>
          <t>besalco@besalco.cl</t>
        </is>
      </c>
      <c r="E246" s="66" t="inlineStr">
        <is>
          <t>(56) 2 2338 0800</t>
        </is>
      </c>
      <c r="F246" s="66" t="n"/>
      <c r="G246" s="66" t="n"/>
      <c r="H246" s="66" t="n"/>
      <c r="I246" s="66" t="inlineStr">
        <is>
          <t>92.434.000-2</t>
        </is>
      </c>
      <c r="J246" s="66" t="n"/>
      <c r="K246" s="66" t="inlineStr">
        <is>
          <t>Ventas: GRANDE (Estimado por Empleados) | Empleados: 213</t>
        </is>
      </c>
      <c r="L246" s="61" t="n"/>
      <c r="M246" s="61" t="n"/>
      <c r="N246" s="61" t="n"/>
      <c r="O246" s="61" t="n"/>
      <c r="P246" s="61" t="n"/>
      <c r="Q246" s="62" t="n"/>
      <c r="R246" s="61" t="n"/>
    </row>
    <row r="247" ht="15.75" customHeight="1" s="38">
      <c r="A247" s="66" t="inlineStr">
        <is>
          <t>Betagas</t>
        </is>
      </c>
      <c r="B247" s="66" t="inlineStr">
        <is>
          <t>Aerosoles Anticorrosivos y Aflojadores</t>
        </is>
      </c>
      <c r="C247" s="66" t="inlineStr">
        <is>
          <t>Santiago</t>
        </is>
      </c>
      <c r="D247" s="66" t="inlineStr">
        <is>
          <t>ventas@betagas.cl</t>
        </is>
      </c>
      <c r="E247" s="66" t="inlineStr">
        <is>
          <t>(56) 2 2246 3834</t>
        </is>
      </c>
      <c r="F247" s="66" t="n"/>
      <c r="G247" s="66" t="n"/>
      <c r="H247" s="66" t="n"/>
      <c r="I247" s="66" t="inlineStr">
        <is>
          <t>76.888.377-7</t>
        </is>
      </c>
      <c r="J247" s="66" t="n"/>
      <c r="K247" s="66" t="inlineStr">
        <is>
          <t>Ventas: PEQUEÑA 1 (2.400 - 5.000 UF) | Empleados: 1</t>
        </is>
      </c>
      <c r="L247" s="61" t="n"/>
      <c r="M247" s="61" t="n"/>
      <c r="N247" s="61" t="n"/>
      <c r="O247" s="61" t="n"/>
      <c r="P247" s="61" t="n"/>
      <c r="Q247" s="62" t="n"/>
      <c r="R247" s="61" t="n"/>
    </row>
    <row r="248" ht="15.75" customHeight="1" s="38">
      <c r="A248" s="66" t="inlineStr">
        <is>
          <t>BetaPaint</t>
        </is>
      </c>
      <c r="B248" s="66" t="inlineStr">
        <is>
          <t>Control de Corrosión</t>
        </is>
      </c>
      <c r="C248" s="66" t="inlineStr">
        <is>
          <t>Santiago</t>
        </is>
      </c>
      <c r="D248" s="66" t="inlineStr">
        <is>
          <t>contacto@betapaint.cl</t>
        </is>
      </c>
      <c r="E248" s="66" t="inlineStr">
        <is>
          <t>(56) 2 2246 3834</t>
        </is>
      </c>
      <c r="F248" s="66" t="n"/>
      <c r="G248" s="66" t="n"/>
      <c r="H248" s="66" t="n"/>
      <c r="I248" s="66" t="inlineStr">
        <is>
          <t>76.280.546-4</t>
        </is>
      </c>
      <c r="J248" s="66" t="n"/>
      <c r="K248" s="66" t="inlineStr">
        <is>
          <t>Ventas: MEDIANA 2 (50.000 - 100.000 UF) | Empleados: 22</t>
        </is>
      </c>
      <c r="L248" s="61" t="n"/>
      <c r="M248" s="61" t="n"/>
      <c r="N248" s="61" t="n"/>
      <c r="O248" s="61" t="n"/>
      <c r="P248" s="61" t="n"/>
      <c r="Q248" s="62" t="n"/>
      <c r="R248" s="61" t="n"/>
    </row>
    <row r="249" ht="15.75" customHeight="1" s="38">
      <c r="A249" s="66" t="inlineStr">
        <is>
          <t>Beyond Technologies Chile S.A.</t>
        </is>
      </c>
      <c r="B249" s="66" t="inlineStr">
        <is>
          <t>Proyectos de Tecnología, Software</t>
        </is>
      </c>
      <c r="C249" s="66" t="inlineStr">
        <is>
          <t>Santiago</t>
        </is>
      </c>
      <c r="D249" s="66" t="inlineStr">
        <is>
          <t>ventas@beyond.cl</t>
        </is>
      </c>
      <c r="E249" s="66" t="inlineStr">
        <is>
          <t>(56) 2 2236 4017</t>
        </is>
      </c>
      <c r="F249" s="66" t="n"/>
      <c r="G249" s="66" t="n"/>
      <c r="H249" s="66" t="n"/>
      <c r="I249" s="66" t="inlineStr">
        <is>
          <t>96.935.400-4</t>
        </is>
      </c>
      <c r="J249" s="66" t="n"/>
      <c r="K249" s="66" t="inlineStr">
        <is>
          <t>Ventas: MEDIANA 2 (50.000 - 100.000 UF) | Empleados: 6</t>
        </is>
      </c>
      <c r="L249" s="61" t="n"/>
      <c r="M249" s="61" t="n"/>
      <c r="N249" s="61" t="n"/>
      <c r="O249" s="61" t="n"/>
      <c r="P249" s="61" t="n"/>
      <c r="Q249" s="62" t="n"/>
      <c r="R249" s="61" t="n"/>
    </row>
    <row r="250" ht="15.75" customHeight="1" s="38">
      <c r="A250" s="66" t="inlineStr">
        <is>
          <t>Bezanilla y Cía. Ltda.</t>
        </is>
      </c>
      <c r="B250" s="66" t="inlineStr">
        <is>
          <t>Proyectos de Ingeniería</t>
        </is>
      </c>
      <c r="C250" s="66" t="inlineStr">
        <is>
          <t>Santiago</t>
        </is>
      </c>
      <c r="D250" s="66" t="inlineStr">
        <is>
          <t>suministros@bezanilla.com</t>
        </is>
      </c>
      <c r="E250" s="66" t="inlineStr">
        <is>
          <t>(56) 2 2411 3900</t>
        </is>
      </c>
      <c r="F250" s="66" t="n"/>
      <c r="G250" s="66" t="n"/>
      <c r="H250" s="66" t="n"/>
      <c r="I250" s="66" t="inlineStr">
        <is>
          <t>79.961.110-4</t>
        </is>
      </c>
      <c r="J250" s="66" t="n"/>
      <c r="K250" s="66" t="inlineStr">
        <is>
          <t>Ventas: GRANDE 1 (100.000 - 200.000 UF) | Empleados: 11</t>
        </is>
      </c>
      <c r="L250" s="61" t="n"/>
      <c r="M250" s="61" t="n"/>
      <c r="N250" s="61" t="n"/>
      <c r="O250" s="61" t="n"/>
      <c r="P250" s="61" t="n"/>
      <c r="Q250" s="62" t="n"/>
      <c r="R250" s="61" t="n"/>
    </row>
    <row r="251" ht="15.75" customHeight="1" s="38">
      <c r="A251" s="66" t="inlineStr">
        <is>
          <t>BFS Chile</t>
        </is>
      </c>
      <c r="B251" s="66" t="inlineStr">
        <is>
          <t>Proveedor Destacado, Dataloggers, Equipos Contra Incendio, Equipos de Monitoreo y Telegestión, Plantas de Tratamiento de Agua, Sistemas de Filtración, Válvulas de Control, Válvulas de Corte y Similares, Válvulas de Venteo</t>
        </is>
      </c>
      <c r="C251" s="66" t="inlineStr">
        <is>
          <t>Santiago</t>
        </is>
      </c>
      <c r="D251" s="66" t="inlineStr">
        <is>
          <t>ingenieria@bfschile.com</t>
        </is>
      </c>
      <c r="E251" s="66" t="inlineStr">
        <is>
          <t>(56) 2 2489 5100</t>
        </is>
      </c>
      <c r="F251" s="66" t="inlineStr">
        <is>
          <t>Gerente de TI / CIO (Director de Tecnología)</t>
        </is>
      </c>
      <c r="G251" s="66" t="n"/>
      <c r="H251" s="66" t="inlineStr">
        <is>
          <t>http://www.bfschile.com</t>
        </is>
      </c>
      <c r="I251" s="66" t="inlineStr">
        <is>
          <t>96.808.700-2</t>
        </is>
      </c>
      <c r="J251" s="66" t="n"/>
      <c r="K251" s="66" t="inlineStr">
        <is>
          <t>Ventas: GRANDE 3 (600.000 - 1.000.000 UF) | Empleados: 91</t>
        </is>
      </c>
      <c r="L251" s="61" t="n"/>
      <c r="M251" s="61" t="n"/>
      <c r="N251" s="61" t="n"/>
      <c r="O251" s="61" t="n"/>
      <c r="P251" s="61" t="n"/>
      <c r="Q251" s="62" t="n"/>
      <c r="R251" s="61" t="n"/>
    </row>
    <row r="252" ht="15.75" customHeight="1" s="38">
      <c r="A252" s="66" t="inlineStr">
        <is>
          <t>Bifox</t>
        </is>
      </c>
      <c r="B252" s="66" t="inlineStr">
        <is>
          <t>Roca Fosfórica</t>
        </is>
      </c>
      <c r="C252" s="66" t="inlineStr">
        <is>
          <t>Santiago</t>
        </is>
      </c>
      <c r="D252" s="66" t="inlineStr">
        <is>
          <t>gerencia@bifox.xl</t>
        </is>
      </c>
      <c r="E252" s="66" t="inlineStr">
        <is>
          <t>(56) 2 2589 2730</t>
        </is>
      </c>
      <c r="F252" s="66" t="n"/>
      <c r="G252" s="66" t="n"/>
      <c r="H252" s="66" t="n"/>
      <c r="I252" s="66" t="inlineStr">
        <is>
          <t>79.879.230-K</t>
        </is>
      </c>
      <c r="J252" s="66" t="n"/>
      <c r="K252" s="66" t="inlineStr">
        <is>
          <t>Ventas: MICRO 1 (0.01 - 200 UF) | Empleados: 0</t>
        </is>
      </c>
      <c r="L252" s="61" t="n"/>
      <c r="M252" s="61" t="n"/>
      <c r="N252" s="61" t="n"/>
      <c r="O252" s="61" t="n"/>
      <c r="P252" s="61" t="n"/>
      <c r="Q252" s="62" t="n"/>
      <c r="R252" s="61" t="n"/>
    </row>
    <row r="253" ht="15.75" customHeight="1" s="38">
      <c r="A253" s="59" t="inlineStr">
        <is>
          <t>Biggi (Chile) S.A.</t>
        </is>
      </c>
      <c r="B253" s="59" t="inlineStr">
        <is>
          <t>Cocinas Industriales, Equipos para Preparar Alimentos</t>
        </is>
      </c>
      <c r="C253" s="59" t="inlineStr">
        <is>
          <t>Santiago</t>
        </is>
      </c>
      <c r="D253" s="59" t="inlineStr">
        <is>
          <t>info@biggi.cl</t>
        </is>
      </c>
      <c r="E253" s="59" t="inlineStr">
        <is>
          <t>(56) 2 2412 6200</t>
        </is>
      </c>
      <c r="F253" s="59" t="inlineStr">
        <is>
          <t>Sergio Biggi (Gerente General)</t>
        </is>
      </c>
      <c r="G253" s="59" t="n"/>
      <c r="H253" s="59" t="n"/>
      <c r="I253" s="59" t="inlineStr">
        <is>
          <t>91.462.001-5</t>
        </is>
      </c>
      <c r="J253" s="59" t="inlineStr">
        <is>
          <t>IoT Equipamiento Cocinas Industriales</t>
        </is>
      </c>
      <c r="K253" s="59" t="inlineStr">
        <is>
          <t>Ventas: GRANDE 2 (200.000 - 600.000 UF) | Empleados: 6</t>
        </is>
      </c>
      <c r="L253" s="61" t="n"/>
      <c r="M253" s="61" t="n"/>
      <c r="N253" s="61" t="n"/>
      <c r="O253" s="61" t="n"/>
      <c r="P253" s="61" t="n"/>
      <c r="Q253" s="62" t="n"/>
      <c r="R253" s="61" t="n"/>
    </row>
    <row r="254" ht="15.75" customHeight="1" s="38">
      <c r="A254" s="66" t="inlineStr">
        <is>
          <t>Bignotti Hermanos S.A.</t>
        </is>
      </c>
      <c r="B254" s="66" t="inlineStr">
        <is>
          <t>Equipos para Refinerías Electrolíticas</t>
        </is>
      </c>
      <c r="C254" s="66" t="inlineStr">
        <is>
          <t>Santiago</t>
        </is>
      </c>
      <c r="D254" s="66" t="inlineStr">
        <is>
          <t>venta@bignottihnos.cl</t>
        </is>
      </c>
      <c r="E254" s="66" t="inlineStr">
        <is>
          <t>(56) 2 2836 4400</t>
        </is>
      </c>
      <c r="F254" s="66" t="inlineStr">
        <is>
          <t>Gerente de TI / CIO (Director de Tecnología)</t>
        </is>
      </c>
      <c r="G254" s="66" t="n"/>
      <c r="H254" s="66" t="n"/>
      <c r="I254" s="66" t="inlineStr">
        <is>
          <t>80.113.000-3</t>
        </is>
      </c>
      <c r="J254" s="66" t="n"/>
      <c r="K254" s="66" t="inlineStr">
        <is>
          <t>Ventas: GRANDE 3 (600.000 - 1.000.000 UF) | Empleados: 103</t>
        </is>
      </c>
      <c r="L254" s="61" t="n"/>
      <c r="M254" s="61" t="n"/>
      <c r="N254" s="61" t="n"/>
      <c r="O254" s="61" t="n"/>
      <c r="P254" s="61" t="n"/>
      <c r="Q254" s="62" t="n"/>
      <c r="R254" s="61" t="n"/>
    </row>
    <row r="255" ht="15.75" customHeight="1" s="38">
      <c r="A255" s="59" t="inlineStr">
        <is>
          <t>Bimex Ltda.</t>
        </is>
      </c>
      <c r="B255" s="59" t="inlineStr">
        <is>
          <t>Equipos Eléctricos</t>
        </is>
      </c>
      <c r="C255" s="59" t="inlineStr">
        <is>
          <t>Santiago</t>
        </is>
      </c>
      <c r="D255" s="59" t="inlineStr">
        <is>
          <t>bimex@bimex.cl</t>
        </is>
      </c>
      <c r="E255" s="59" t="inlineStr">
        <is>
          <t>(56) 2 2306 2200</t>
        </is>
      </c>
      <c r="F255" s="59" t="inlineStr">
        <is>
          <t>Alberto Harrison (General Manager)</t>
        </is>
      </c>
      <c r="G255" s="59" t="n"/>
      <c r="H255" s="59" t="n"/>
      <c r="I255" s="59" t="inlineStr">
        <is>
          <t>78.836.730-9</t>
        </is>
      </c>
      <c r="J255" s="59" t="inlineStr">
        <is>
          <t>Modernización Sistemas LIS Laboratorio</t>
        </is>
      </c>
      <c r="K255" s="59" t="inlineStr">
        <is>
          <t>Ventas: GRANDE 2 (200.000 - 600.000 UF) | Empleados: 9</t>
        </is>
      </c>
      <c r="L255" s="61" t="n"/>
      <c r="M255" s="61" t="n"/>
      <c r="N255" s="61" t="n"/>
      <c r="O255" s="61" t="n"/>
      <c r="P255" s="61" t="n"/>
      <c r="Q255" s="62" t="n"/>
      <c r="R255" s="61" t="n"/>
    </row>
    <row r="256" ht="15.75" customHeight="1" s="38">
      <c r="A256" s="66" t="inlineStr">
        <is>
          <t>Bio Pollux</t>
        </is>
      </c>
      <c r="B256" s="66" t="inlineStr">
        <is>
          <t>Supresión de Polvo</t>
        </is>
      </c>
      <c r="C256" s="66" t="inlineStr">
        <is>
          <t>La Serena</t>
        </is>
      </c>
      <c r="D256" s="66" t="inlineStr">
        <is>
          <t>alira@biopollux.cl</t>
        </is>
      </c>
      <c r="E256" s="66" t="inlineStr">
        <is>
          <t>(56) 9 6651 3331</t>
        </is>
      </c>
      <c r="F256" s="66" t="n"/>
      <c r="G256" s="66" t="n"/>
      <c r="H256" s="66" t="n"/>
      <c r="I256" s="66" t="inlineStr">
        <is>
          <t>76.301.947-0</t>
        </is>
      </c>
      <c r="J256" s="66" t="n"/>
      <c r="K256" s="66" t="inlineStr">
        <is>
          <t>Ventas: MICRO 1 (0.01 - 200 UF) | Empleados: 0</t>
        </is>
      </c>
      <c r="L256" s="61" t="n"/>
      <c r="M256" s="61" t="n"/>
      <c r="N256" s="61" t="n"/>
      <c r="O256" s="61" t="n"/>
      <c r="P256" s="61" t="n"/>
      <c r="Q256" s="62" t="n"/>
      <c r="R256" s="61" t="n"/>
    </row>
    <row r="257" ht="15.75" customHeight="1" s="38">
      <c r="A257" s="66" t="inlineStr">
        <is>
          <t>Bio Pollux SpA</t>
        </is>
      </c>
      <c r="B257" s="66" t="inlineStr">
        <is>
          <t>Supresión de Polvo</t>
        </is>
      </c>
      <c r="C257" s="66" t="inlineStr">
        <is>
          <t>La Serena</t>
        </is>
      </c>
      <c r="D257" s="66" t="inlineStr">
        <is>
          <t>alira@biopollux.cl</t>
        </is>
      </c>
      <c r="E257" s="66" t="inlineStr">
        <is>
          <t>(56) 9 6651 3331</t>
        </is>
      </c>
      <c r="F257" s="66" t="n"/>
      <c r="G257" s="66" t="n"/>
      <c r="H257" s="66" t="n"/>
      <c r="I257" s="66" t="inlineStr">
        <is>
          <t>77.155.358-3</t>
        </is>
      </c>
      <c r="J257" s="66" t="n"/>
      <c r="K257" s="66" t="inlineStr">
        <is>
          <t>Ventas: PEQUEÑA 2 (5.000 - 10.000 UF) | Empleados: 2</t>
        </is>
      </c>
      <c r="L257" s="61" t="n"/>
      <c r="M257" s="61" t="n"/>
      <c r="N257" s="61" t="n"/>
      <c r="O257" s="61" t="n"/>
      <c r="P257" s="61" t="n"/>
      <c r="Q257" s="62" t="n"/>
      <c r="R257" s="61" t="n"/>
    </row>
    <row r="258" ht="15.75" customHeight="1" s="38">
      <c r="A258" s="59" t="inlineStr">
        <is>
          <t>Biofiltro</t>
        </is>
      </c>
      <c r="B258" s="59" t="inlineStr">
        <is>
          <t>Plantas de Tratamiento de Aguas Servidas</t>
        </is>
      </c>
      <c r="C258" s="59" t="inlineStr">
        <is>
          <t>Santiago</t>
        </is>
      </c>
      <c r="D258" s="59" t="inlineStr">
        <is>
          <t>info@biofiltro.cl</t>
        </is>
      </c>
      <c r="E258" s="59" t="inlineStr">
        <is>
          <t>(56) 2 3224 3648</t>
        </is>
      </c>
      <c r="F258" s="59" t="inlineStr">
        <is>
          <t>Ignacio Jofré Valenzuela (Subgerente Proyectos)</t>
        </is>
      </c>
      <c r="G258" s="59" t="n"/>
      <c r="H258" s="59" t="n"/>
      <c r="I258" s="59" t="inlineStr">
        <is>
          <t>76.337.422-K</t>
        </is>
      </c>
      <c r="J258" s="59" t="inlineStr">
        <is>
          <t>Automatización Tratamiento Riles (Sistema BIDA)</t>
        </is>
      </c>
      <c r="K258" s="59" t="inlineStr">
        <is>
          <t>Ventas: GRANDE 2 (200.000 - 600.000 UF) | Empleados: 86</t>
        </is>
      </c>
      <c r="L258" s="61" t="n"/>
      <c r="M258" s="61" t="n"/>
      <c r="N258" s="61" t="n"/>
      <c r="O258" s="61" t="n"/>
      <c r="P258" s="61" t="n"/>
      <c r="Q258" s="62" t="n"/>
      <c r="R258" s="61" t="n"/>
    </row>
    <row r="259" ht="15.75" customHeight="1" s="38">
      <c r="A259" s="66" t="inlineStr">
        <is>
          <t>Biohídrica, Biotecnologías del Agua Ltda.</t>
        </is>
      </c>
      <c r="B259" s="66" t="inlineStr">
        <is>
          <t>Soluciones para Biolixiviación</t>
        </is>
      </c>
      <c r="C259" s="66" t="inlineStr">
        <is>
          <t>Santiago</t>
        </is>
      </c>
      <c r="D259" s="66" t="inlineStr">
        <is>
          <t>biohidrica@biohidrica.cl</t>
        </is>
      </c>
      <c r="E259" s="66" t="inlineStr">
        <is>
          <t>(56) 2 2239 3822</t>
        </is>
      </c>
      <c r="F259" s="66" t="n"/>
      <c r="G259" s="66" t="n"/>
      <c r="H259" s="66" t="n"/>
      <c r="I259" s="66" t="inlineStr">
        <is>
          <t>78.365.180-7</t>
        </is>
      </c>
      <c r="J259" s="66" t="n"/>
      <c r="K259" s="66" t="inlineStr">
        <is>
          <t>Ventas: MICRO 3 (600 - 2.400 UF) | Empleados: 1</t>
        </is>
      </c>
      <c r="L259" s="61" t="n"/>
      <c r="M259" s="61" t="n"/>
      <c r="N259" s="61" t="n"/>
      <c r="O259" s="61" t="n"/>
      <c r="P259" s="61" t="n"/>
      <c r="Q259" s="62" t="n"/>
      <c r="R259" s="61" t="n"/>
    </row>
    <row r="260" ht="15.75" customHeight="1" s="38">
      <c r="A260" s="66" t="inlineStr">
        <is>
          <t>Bios SpA</t>
        </is>
      </c>
      <c r="B260" s="66" t="inlineStr">
        <is>
          <t>Desarrollo de Proyectos</t>
        </is>
      </c>
      <c r="C260" s="66" t="inlineStr">
        <is>
          <t>Santiago</t>
        </is>
      </c>
      <c r="D260" s="66" t="inlineStr">
        <is>
          <t>contacto@biosmi.cl</t>
        </is>
      </c>
      <c r="E260" s="66" t="inlineStr">
        <is>
          <t>(56) 2 2571 9500</t>
        </is>
      </c>
      <c r="F260" s="66" t="n"/>
      <c r="G260" s="66" t="n"/>
      <c r="H260" s="66" t="n"/>
      <c r="I260" s="66" t="inlineStr">
        <is>
          <t>77114898-0</t>
        </is>
      </c>
      <c r="J260" s="66" t="n"/>
      <c r="K260" s="66" t="inlineStr">
        <is>
          <t>Ventas: GRANDE 1 (100.000 - 200.000 UF) | Empleados: 86</t>
        </is>
      </c>
      <c r="L260" s="61" t="n"/>
      <c r="M260" s="61" t="n"/>
      <c r="N260" s="61" t="n"/>
      <c r="O260" s="61" t="n"/>
      <c r="P260" s="61" t="n"/>
      <c r="Q260" s="62" t="n"/>
      <c r="R260" s="61" t="n"/>
    </row>
    <row r="261" ht="15.75" customHeight="1" s="38">
      <c r="A261" s="59" t="inlineStr">
        <is>
          <t>Biotec Chile S.A.</t>
        </is>
      </c>
      <c r="B261" s="59" t="inlineStr">
        <is>
          <t>Detergentes</t>
        </is>
      </c>
      <c r="C261" s="59" t="inlineStr">
        <is>
          <t>Santiago</t>
        </is>
      </c>
      <c r="D261" s="59" t="inlineStr">
        <is>
          <t>fradrigan@biotec.cl</t>
        </is>
      </c>
      <c r="E261" s="59" t="inlineStr">
        <is>
          <t>(56) 2 2963 4500</t>
        </is>
      </c>
      <c r="F261" s="59" t="inlineStr">
        <is>
          <t>Fabián Deramond (Gerente TI y Transf. Digital)</t>
        </is>
      </c>
      <c r="G261" s="59" t="inlineStr">
        <is>
          <t>f.deramond@biotec.cl</t>
        </is>
      </c>
      <c r="H261" s="59" t="n"/>
      <c r="I261" s="59" t="inlineStr">
        <is>
          <t>96.025.000-1</t>
        </is>
      </c>
      <c r="J261" s="59" t="inlineStr">
        <is>
          <t>Investigación en Proceso</t>
        </is>
      </c>
      <c r="K261" s="59" t="inlineStr">
        <is>
          <t>Ventas: GRANDE 3 (600.000 - 1.000.000 UF) | Empleados: 77</t>
        </is>
      </c>
      <c r="L261" s="61" t="n"/>
      <c r="M261" s="61" t="n"/>
      <c r="N261" s="61" t="n"/>
      <c r="O261" s="61" t="n"/>
      <c r="P261" s="61" t="n"/>
      <c r="Q261" s="62" t="n"/>
      <c r="R261" s="61" t="n"/>
    </row>
    <row r="262" ht="15.75" customHeight="1" s="38">
      <c r="A262" s="66" t="inlineStr">
        <is>
          <t>Bitumix S.A.</t>
        </is>
      </c>
      <c r="B262" s="66" t="inlineStr">
        <is>
          <t>Proveedor Destacado, Aridos, Asfaltos, Construcción de Caminos, Construcción de Obras Civiles, Construcción de Obras de Infraestructura, Construcción de Obras para Minería Subterránea, Construcción de Obras Viales, Proyectos de Ingeniería, Proyectos de Ingeniería y Construcción</t>
        </is>
      </c>
      <c r="C262" s="66" t="inlineStr">
        <is>
          <t>Santiago</t>
        </is>
      </c>
      <c r="D262" s="66" t="inlineStr">
        <is>
          <t>bitumix@bitumix.cl</t>
        </is>
      </c>
      <c r="E262" s="66" t="inlineStr">
        <is>
          <t>(56) 2 2680 3000</t>
        </is>
      </c>
      <c r="F262" s="66" t="n"/>
      <c r="G262" s="66" t="n"/>
      <c r="H262" s="66" t="inlineStr">
        <is>
          <t>http://www.bitumix.cl</t>
        </is>
      </c>
      <c r="I262" s="66" t="inlineStr">
        <is>
          <t>84.060.600-7</t>
        </is>
      </c>
      <c r="J262" s="66" t="n"/>
      <c r="K262" s="66" t="inlineStr">
        <is>
          <t>Ventas: GRANDE (Estimado por Empleados) | Empleados: 3611</t>
        </is>
      </c>
      <c r="L262" s="61" t="n"/>
      <c r="M262" s="61" t="n"/>
      <c r="N262" s="61" t="n"/>
      <c r="O262" s="61" t="n"/>
      <c r="P262" s="61" t="n"/>
      <c r="Q262" s="62" t="n"/>
      <c r="R262" s="61" t="n"/>
    </row>
    <row r="263" ht="15.75" customHeight="1" s="38">
      <c r="A263" s="66" t="inlineStr">
        <is>
          <t>Blackay</t>
        </is>
      </c>
      <c r="B263" s="66" t="inlineStr">
        <is>
          <t>Dispositivos para Control de Conducción de Vehículos, Visualización y Análisis de Datos Mediante Dashboards y KPIs para la Gestión de Transporte</t>
        </is>
      </c>
      <c r="C263" s="66" t="inlineStr">
        <is>
          <t>Santiago</t>
        </is>
      </c>
      <c r="D263" s="66" t="inlineStr">
        <is>
          <t>contacto@blackay.com</t>
        </is>
      </c>
      <c r="E263" s="66" t="inlineStr">
        <is>
          <t>(56) 2 2981 1174</t>
        </is>
      </c>
      <c r="F263" s="66" t="n"/>
      <c r="G263" s="66" t="n"/>
      <c r="H263" s="66" t="n"/>
      <c r="I263" s="66" t="inlineStr">
        <is>
          <t>76.649.990-2</t>
        </is>
      </c>
      <c r="J263" s="66" t="n"/>
      <c r="K263" s="66" t="inlineStr">
        <is>
          <t>Ventas: GRANDE 1 (100.000 - 200.000 UF) | Empleados: 19</t>
        </is>
      </c>
      <c r="L263" s="61" t="n"/>
      <c r="M263" s="61" t="n"/>
      <c r="N263" s="61" t="n"/>
      <c r="O263" s="61" t="n"/>
      <c r="P263" s="61" t="n"/>
      <c r="Q263" s="62" t="n"/>
      <c r="R263" s="61" t="n"/>
    </row>
    <row r="264" ht="15.75" customHeight="1" s="38">
      <c r="A264" s="66" t="inlineStr">
        <is>
          <t>BlackGPS</t>
        </is>
      </c>
      <c r="B264" s="66" t="inlineStr">
        <is>
          <t>Proveedor Destacado, Central de Monitoreo 24/7 con Protocolos de Alertas, Control de Combustible, Control de Fatiga, Somnolencia y Distracciones del Conductor, Copiloto Electrónico en Cabina para Alertar al Conductor de Riesgos en la Ruta, Detección de Conductas de Riesgo de Conducción por Dispositivos en Cabina, Ranking de Conductores, Rent a Car, Sistema con Advertencias Visuales y Audibles del Entorno del Conductor, Video Vigilancia</t>
        </is>
      </c>
      <c r="C264" s="66" t="inlineStr">
        <is>
          <t>Santiago</t>
        </is>
      </c>
      <c r="D264" s="66" t="inlineStr">
        <is>
          <t>felipe.campillo@blackgps.cl</t>
        </is>
      </c>
      <c r="E264" s="66" t="inlineStr">
        <is>
          <t>(56) 9 9875 7125</t>
        </is>
      </c>
      <c r="F264" s="66" t="n"/>
      <c r="G264" s="66" t="n"/>
      <c r="H264" s="66" t="inlineStr">
        <is>
          <t>http://www.blackgps.com</t>
        </is>
      </c>
      <c r="I264" s="66" t="inlineStr">
        <is>
          <t>78-108.447-6</t>
        </is>
      </c>
      <c r="J264" s="66" t="n"/>
      <c r="K264" s="66" t="inlineStr">
        <is>
          <t>Ventas: No en base SII | Empleados: S/I</t>
        </is>
      </c>
      <c r="L264" s="61" t="n"/>
      <c r="M264" s="61" t="n"/>
      <c r="N264" s="61" t="n"/>
      <c r="O264" s="61" t="n"/>
      <c r="P264" s="61" t="n"/>
      <c r="Q264" s="62" t="n"/>
      <c r="R264" s="61" t="n"/>
    </row>
    <row r="265" ht="15.75" customHeight="1" s="38">
      <c r="A265" s="66" t="inlineStr">
        <is>
          <t>Blastpaint SpA</t>
        </is>
      </c>
      <c r="B265" s="66" t="inlineStr">
        <is>
          <t>Abrasivos</t>
        </is>
      </c>
      <c r="C265" s="66" t="inlineStr">
        <is>
          <t>Santiago</t>
        </is>
      </c>
      <c r="D265" s="66" t="inlineStr">
        <is>
          <t>claudiogonzalez@blastpaint.cl</t>
        </is>
      </c>
      <c r="E265" s="66" t="inlineStr">
        <is>
          <t>(56) 9 8289 2603</t>
        </is>
      </c>
      <c r="F265" s="66" t="n"/>
      <c r="G265" s="66" t="n"/>
      <c r="H265" s="66" t="n"/>
      <c r="I265" s="66" t="inlineStr">
        <is>
          <t>76811647-4</t>
        </is>
      </c>
      <c r="J265" s="66" t="n"/>
      <c r="K265" s="66" t="inlineStr">
        <is>
          <t>Ventas: MEDIANA 1 (25.000 - 50.000 UF) | Empleados: 2</t>
        </is>
      </c>
      <c r="L265" s="61" t="n"/>
      <c r="M265" s="61" t="n"/>
      <c r="N265" s="61" t="n"/>
      <c r="O265" s="61" t="n"/>
      <c r="P265" s="61" t="n"/>
      <c r="Q265" s="62" t="n"/>
      <c r="R265" s="61" t="n"/>
    </row>
    <row r="266" ht="15.75" customHeight="1" s="38">
      <c r="A266" s="66" t="inlineStr">
        <is>
          <t>Block y Cía. S.A.C.I.</t>
        </is>
      </c>
      <c r="B266" s="66" t="inlineStr">
        <is>
          <t>Aceros Especiales, Aceros Inoxidables</t>
        </is>
      </c>
      <c r="C266" s="66" t="inlineStr">
        <is>
          <t>Santiago</t>
        </is>
      </c>
      <c r="D266" s="66" t="inlineStr">
        <is>
          <t>ventas@block.cl</t>
        </is>
      </c>
      <c r="E266" s="66" t="inlineStr">
        <is>
          <t>(56) 2 3221 0360</t>
        </is>
      </c>
      <c r="F266" s="66" t="n"/>
      <c r="G266" s="66" t="n"/>
      <c r="H266" s="66" t="n"/>
      <c r="I266" s="66" t="inlineStr">
        <is>
          <t>92.224.000-0</t>
        </is>
      </c>
      <c r="J266" s="66" t="n"/>
      <c r="K266" s="66" t="inlineStr">
        <is>
          <t>Ventas: MEDIANA 2 (50.000 - 100.000 UF) | Empleados: 12</t>
        </is>
      </c>
      <c r="L266" s="61" t="n"/>
      <c r="M266" s="61" t="n"/>
      <c r="N266" s="61" t="n"/>
      <c r="O266" s="61" t="n"/>
      <c r="P266" s="61" t="n"/>
      <c r="Q266" s="62" t="n"/>
      <c r="R266" s="61" t="n"/>
    </row>
    <row r="267" ht="15.75" customHeight="1" s="38">
      <c r="A267" s="66" t="inlineStr">
        <is>
          <t>Blumaq</t>
        </is>
      </c>
      <c r="B267" s="66" t="inlineStr">
        <is>
          <t>Repuestos para Maquinaria Minera</t>
        </is>
      </c>
      <c r="C267" s="66" t="inlineStr">
        <is>
          <t>Santiago</t>
        </is>
      </c>
      <c r="D267" s="66" t="inlineStr">
        <is>
          <t>chile@blumaq.com</t>
        </is>
      </c>
      <c r="E267" s="66" t="inlineStr">
        <is>
          <t>(56) 2 2739 1257</t>
        </is>
      </c>
      <c r="F267" s="66" t="n"/>
      <c r="G267" s="66" t="n"/>
      <c r="H267" s="66" t="n"/>
      <c r="I267" s="66" t="inlineStr">
        <is>
          <t>96.929.950-K</t>
        </is>
      </c>
      <c r="J267" s="66" t="n"/>
      <c r="K267" s="66" t="inlineStr">
        <is>
          <t>Ventas: MEDIANA 2 (50.000 - 100.000 UF) | Empleados: 10</t>
        </is>
      </c>
      <c r="L267" s="61" t="n"/>
      <c r="M267" s="61" t="n"/>
      <c r="N267" s="61" t="n"/>
      <c r="O267" s="61" t="n"/>
      <c r="P267" s="61" t="n"/>
      <c r="Q267" s="62" t="n"/>
      <c r="R267" s="61" t="n"/>
    </row>
    <row r="268" ht="15.75" customHeight="1" s="38">
      <c r="A268" s="66" t="inlineStr">
        <is>
          <t>Blumel Ingeniería</t>
        </is>
      </c>
      <c r="B268" s="66" t="inlineStr">
        <is>
          <t>Auditoría Contractual</t>
        </is>
      </c>
      <c r="C268" s="66" t="inlineStr">
        <is>
          <t>Santiago</t>
        </is>
      </c>
      <c r="D268" s="66" t="inlineStr">
        <is>
          <t>info@blumeling.cl</t>
        </is>
      </c>
      <c r="E268" s="66" t="inlineStr">
        <is>
          <t>(56) 2 3230 9923</t>
        </is>
      </c>
      <c r="F268" s="66" t="n"/>
      <c r="G268" s="66" t="n"/>
      <c r="H268" s="66" t="n"/>
      <c r="I268" s="66" t="inlineStr">
        <is>
          <t>76.179.261-K</t>
        </is>
      </c>
      <c r="J268" s="66" t="n"/>
      <c r="K268" s="66" t="inlineStr">
        <is>
          <t>Ventas: GRANDE 1 (100.000 - 200.000 UF) | Empleados: 21</t>
        </is>
      </c>
      <c r="L268" s="61" t="n"/>
      <c r="M268" s="61" t="n"/>
      <c r="N268" s="61" t="n"/>
      <c r="O268" s="61" t="n"/>
      <c r="P268" s="61" t="n"/>
      <c r="Q268" s="62" t="n"/>
      <c r="R268" s="61" t="n"/>
    </row>
    <row r="269" ht="15.75" customHeight="1" s="38">
      <c r="A269" s="66" t="inlineStr">
        <is>
          <t>Blumos Ltda.</t>
        </is>
      </c>
      <c r="B269" s="66" t="inlineStr">
        <is>
          <t>Tratamiento de Aguas</t>
        </is>
      </c>
      <c r="C269" s="66" t="inlineStr">
        <is>
          <t>Santiago</t>
        </is>
      </c>
      <c r="D269" s="66" t="inlineStr">
        <is>
          <t>contacto@blumos.cl</t>
        </is>
      </c>
      <c r="E269" s="66" t="inlineStr">
        <is>
          <t>(56) 2 2947 3300</t>
        </is>
      </c>
      <c r="F269" s="66" t="inlineStr">
        <is>
          <t>Gerente de TI / CIO (Director de Tecnología)</t>
        </is>
      </c>
      <c r="G269" s="66" t="n"/>
      <c r="H269" s="66" t="n"/>
      <c r="I269" s="66" t="inlineStr">
        <is>
          <t>82.705.900-5</t>
        </is>
      </c>
      <c r="J269" s="66" t="n"/>
      <c r="K269" s="66" t="inlineStr">
        <is>
          <t>Ventas: GRANDE 4 (Mas de 1.000.000 UF) | Empleados: 112</t>
        </is>
      </c>
      <c r="L269" s="61" t="n"/>
      <c r="M269" s="61" t="n"/>
      <c r="N269" s="61" t="n"/>
      <c r="O269" s="61" t="n"/>
      <c r="P269" s="61" t="n"/>
      <c r="Q269" s="62" t="n"/>
      <c r="R269" s="61" t="n"/>
    </row>
    <row r="270" ht="15.75" customHeight="1" s="38">
      <c r="A270" s="66" t="inlineStr">
        <is>
          <t>Boart Longyear Chile Ltda.</t>
        </is>
      </c>
      <c r="B270" s="66" t="inlineStr">
        <is>
          <t>Productos para Perforación, Servicios de Perforación</t>
        </is>
      </c>
      <c r="C270" s="66" t="inlineStr">
        <is>
          <t>Santiago</t>
        </is>
      </c>
      <c r="D270" s="66" t="inlineStr">
        <is>
          <t>infochile@boartlongyear.com</t>
        </is>
      </c>
      <c r="E270" s="66" t="inlineStr">
        <is>
          <t>(56) 2 2595 3300</t>
        </is>
      </c>
      <c r="F270" s="66" t="n"/>
      <c r="G270" s="66" t="n"/>
      <c r="H270" s="66" t="n"/>
      <c r="I270" s="66" t="inlineStr">
        <is>
          <t>76.753.520-1</t>
        </is>
      </c>
      <c r="J270" s="66" t="n"/>
      <c r="K270" s="66" t="inlineStr">
        <is>
          <t>Ventas: GRANDE (Estimado por Empleados) | Empleados: 1202</t>
        </is>
      </c>
      <c r="L270" s="61" t="n"/>
      <c r="M270" s="61" t="n"/>
      <c r="N270" s="61" t="n"/>
      <c r="O270" s="61" t="n"/>
      <c r="P270" s="61" t="n"/>
      <c r="Q270" s="62" t="n"/>
      <c r="R270" s="61" t="n"/>
    </row>
    <row r="271" ht="15.75" customHeight="1" s="38">
      <c r="A271" s="66" t="inlineStr">
        <is>
          <t>Bodegal Ltda.</t>
        </is>
      </c>
      <c r="B271" s="66" t="inlineStr">
        <is>
          <t>Arriendo de Bodegas</t>
        </is>
      </c>
      <c r="C271" s="66" t="inlineStr">
        <is>
          <t>Santiago</t>
        </is>
      </c>
      <c r="D271" s="66" t="n"/>
      <c r="E271" s="66" t="inlineStr">
        <is>
          <t>(56) 2 2510 8000</t>
        </is>
      </c>
      <c r="F271" s="66" t="n"/>
      <c r="G271" s="66" t="n"/>
      <c r="H271" s="66" t="n"/>
      <c r="I271" s="66" t="inlineStr">
        <is>
          <t>79.781.170-K</t>
        </is>
      </c>
      <c r="J271" s="66" t="n"/>
      <c r="K271" s="66" t="inlineStr">
        <is>
          <t>Ventas: GRANDE 1 (100.000 - 200.000 UF) | Empleados: 56</t>
        </is>
      </c>
      <c r="L271" s="61" t="n"/>
      <c r="M271" s="61" t="n"/>
      <c r="N271" s="61" t="n"/>
      <c r="O271" s="61" t="n"/>
      <c r="P271" s="61" t="n"/>
      <c r="Q271" s="62" t="n"/>
      <c r="R271" s="61" t="n"/>
    </row>
    <row r="272" ht="15.75" customHeight="1" s="38">
      <c r="A272" s="66" t="inlineStr">
        <is>
          <t>Bodegas San Francisco, BSF</t>
        </is>
      </c>
      <c r="B272" s="66" t="inlineStr">
        <is>
          <t>Arriendo de Bodegas</t>
        </is>
      </c>
      <c r="C272" s="66" t="inlineStr">
        <is>
          <t>Santiago</t>
        </is>
      </c>
      <c r="D272" s="66" t="n"/>
      <c r="E272" s="66" t="inlineStr">
        <is>
          <t>(56) 2 2747 0000</t>
        </is>
      </c>
      <c r="F272" s="66" t="n"/>
      <c r="G272" s="66" t="n"/>
      <c r="H272" s="66" t="n"/>
      <c r="I272" s="66" t="inlineStr">
        <is>
          <t>76.098.820-0</t>
        </is>
      </c>
      <c r="J272" s="66" t="n"/>
      <c r="K272" s="66" t="inlineStr">
        <is>
          <t>Ventas: DATO NO DECLARADO EN SII | Empleados: 0</t>
        </is>
      </c>
      <c r="L272" s="61" t="n"/>
      <c r="M272" s="61" t="n"/>
      <c r="N272" s="61" t="n"/>
      <c r="O272" s="61" t="n"/>
      <c r="P272" s="61" t="n"/>
      <c r="Q272" s="62" t="n"/>
      <c r="R272" s="61" t="n"/>
    </row>
    <row r="273" ht="15.75" customHeight="1" s="38">
      <c r="A273" s="66" t="inlineStr">
        <is>
          <t>Bombas Chile</t>
        </is>
      </c>
      <c r="B273" s="66" t="inlineStr">
        <is>
          <t>Bombas, Bombas Sumergibles</t>
        </is>
      </c>
      <c r="C273" s="66" t="inlineStr">
        <is>
          <t>Santiago</t>
        </is>
      </c>
      <c r="D273" s="66" t="inlineStr">
        <is>
          <t>ventas@bombaschile.cl</t>
        </is>
      </c>
      <c r="E273" s="66" t="inlineStr">
        <is>
          <t>(56) 2 2898 8350</t>
        </is>
      </c>
      <c r="F273" s="66" t="n"/>
      <c r="G273" s="66" t="n"/>
      <c r="H273" s="66" t="n"/>
      <c r="I273" s="66" t="inlineStr">
        <is>
          <t>77.044.370-9</t>
        </is>
      </c>
      <c r="J273" s="66" t="n"/>
      <c r="K273" s="66" t="inlineStr">
        <is>
          <t>Ventas: GRANDE 1 (100.000 - 200.000 UF) | Empleados: 28</t>
        </is>
      </c>
      <c r="L273" s="61" t="n"/>
      <c r="M273" s="61" t="n"/>
      <c r="N273" s="61" t="n"/>
      <c r="O273" s="61" t="n"/>
      <c r="P273" s="61" t="n"/>
      <c r="Q273" s="62" t="n"/>
      <c r="R273" s="61" t="n"/>
    </row>
    <row r="274" ht="15.75" customHeight="1" s="38">
      <c r="A274" s="59" t="inlineStr">
        <is>
          <t>Bombas de Pozo Ltda.</t>
        </is>
      </c>
      <c r="B274" s="59" t="inlineStr">
        <is>
          <t>Proveedor Destacado, Accesorios para Perforación, Asesorías, Bombas para Pozos Profundos, Bombas Sumergibles, Bombas Sumergibles para Pozos Profundos, Cables Sumergibles, Cañerías con Hilo, Coplas y Abrazaderas, Reparación de Equipos Hidráulicos, Servicio Técnico, Tableros Eléctricos, Tuberías Flexibles para Pozos Profundos</t>
        </is>
      </c>
      <c r="C274" s="59" t="inlineStr">
        <is>
          <t>Santiago</t>
        </is>
      </c>
      <c r="D274" s="59" t="inlineStr">
        <is>
          <t>ventas@bombasdepozo.cl</t>
        </is>
      </c>
      <c r="E274" s="59" t="inlineStr">
        <is>
          <t>(56) 2 2842 0700</t>
        </is>
      </c>
      <c r="F274" s="59" t="inlineStr">
        <is>
          <t>Mauricio Illanes (Socio Técnico)</t>
        </is>
      </c>
      <c r="G274" s="59" t="inlineStr">
        <is>
          <t>m.illanes@bombasdepozo.cl</t>
        </is>
      </c>
      <c r="H274" s="59" t="inlineStr">
        <is>
          <t>http://www.bombasdepozo.cl</t>
        </is>
      </c>
      <c r="I274" s="59" t="inlineStr">
        <is>
          <t>78.176.700-K</t>
        </is>
      </c>
      <c r="J274" s="59" t="inlineStr">
        <is>
          <t>Investigación en Proceso</t>
        </is>
      </c>
      <c r="K274" s="59" t="inlineStr">
        <is>
          <t>Ventas: GRANDE 3 (600.000 - 1.000.000 UF) | Empleados: 36</t>
        </is>
      </c>
      <c r="L274" s="61" t="n"/>
      <c r="M274" s="61" t="n"/>
      <c r="N274" s="61" t="n"/>
      <c r="O274" s="61" t="n"/>
      <c r="P274" s="61" t="n"/>
      <c r="Q274" s="62" t="n"/>
      <c r="R274" s="61" t="n"/>
    </row>
    <row r="275" ht="15.75" customHeight="1" s="38">
      <c r="A275" s="66" t="inlineStr">
        <is>
          <t>Bombas Grundfos Chile S.A.</t>
        </is>
      </c>
      <c r="B275" s="66" t="inlineStr">
        <is>
          <t>Bombas, Bombas Sumergibles</t>
        </is>
      </c>
      <c r="C275" s="66" t="inlineStr">
        <is>
          <t>Santiago</t>
        </is>
      </c>
      <c r="D275" s="66" t="inlineStr">
        <is>
          <t>chile@grundfos.com</t>
        </is>
      </c>
      <c r="E275" s="66" t="inlineStr">
        <is>
          <t>(56) 2 2678 0000</t>
        </is>
      </c>
      <c r="F275" s="66" t="n"/>
      <c r="G275" s="66" t="n"/>
      <c r="H275" s="66" t="n"/>
      <c r="I275" s="66" t="inlineStr">
        <is>
          <t>76.221.370-2</t>
        </is>
      </c>
      <c r="J275" s="66" t="n"/>
      <c r="K275" s="66" t="inlineStr">
        <is>
          <t>Ventas: GRANDE 3 (600.000 - 1.000.000 UF) | Empleados: 40</t>
        </is>
      </c>
      <c r="L275" s="61" t="n"/>
      <c r="M275" s="61" t="n"/>
      <c r="N275" s="61" t="n"/>
      <c r="O275" s="61" t="n"/>
      <c r="P275" s="61" t="n"/>
      <c r="Q275" s="62" t="n"/>
      <c r="R275" s="61" t="n"/>
    </row>
    <row r="276" ht="15.75" customHeight="1" s="38">
      <c r="A276" s="66" t="inlineStr">
        <is>
          <t>Bonilla y Cía. Ltda.</t>
        </is>
      </c>
      <c r="B276" s="66" t="inlineStr">
        <is>
          <t>Revestimientos de Metales, Tratamiento de Metales</t>
        </is>
      </c>
      <c r="C276" s="66" t="inlineStr">
        <is>
          <t>Santiago</t>
        </is>
      </c>
      <c r="D276" s="66" t="n"/>
      <c r="E276" s="66" t="inlineStr">
        <is>
          <t>(56) 2 2274 8879</t>
        </is>
      </c>
      <c r="F276" s="66" t="n"/>
      <c r="G276" s="66" t="n"/>
      <c r="H276" s="66" t="n"/>
      <c r="I276" s="66" t="inlineStr">
        <is>
          <t>79.718.690-2</t>
        </is>
      </c>
      <c r="J276" s="66" t="n"/>
      <c r="K276" s="66" t="inlineStr">
        <is>
          <t>Ventas: GRANDE 3 (600.000 - 1.000.000 UF) | Empleados: 83</t>
        </is>
      </c>
      <c r="L276" s="61" t="n"/>
      <c r="M276" s="61" t="n"/>
      <c r="N276" s="61" t="n"/>
      <c r="O276" s="61" t="n"/>
      <c r="P276" s="61" t="n"/>
      <c r="Q276" s="62" t="n"/>
      <c r="R276" s="61" t="n"/>
    </row>
    <row r="277" ht="15.75" customHeight="1" s="38">
      <c r="A277" s="66" t="inlineStr">
        <is>
          <t>Boretek</t>
        </is>
      </c>
      <c r="B277" s="66" t="inlineStr">
        <is>
          <t>Accesorios para Perforación, Cubre Bordes de Cátodos</t>
        </is>
      </c>
      <c r="C277" s="66" t="inlineStr">
        <is>
          <t>Santiago</t>
        </is>
      </c>
      <c r="D277" s="66" t="inlineStr">
        <is>
          <t>contact@boretek.net</t>
        </is>
      </c>
      <c r="E277" s="66" t="inlineStr">
        <is>
          <t>(56) 9 5709 4606</t>
        </is>
      </c>
      <c r="F277" s="66" t="n"/>
      <c r="G277" s="66" t="n"/>
      <c r="H277" s="66" t="n"/>
      <c r="I277" s="66" t="inlineStr">
        <is>
          <t>76662622-K</t>
        </is>
      </c>
      <c r="J277" s="66" t="n"/>
      <c r="K277" s="66" t="inlineStr">
        <is>
          <t>Ventas: MICRO 1 (0.01 - 200 UF) | Empleados: 0</t>
        </is>
      </c>
      <c r="L277" s="61" t="n"/>
      <c r="M277" s="61" t="n"/>
      <c r="N277" s="61" t="n"/>
      <c r="O277" s="61" t="n"/>
      <c r="P277" s="61" t="n"/>
      <c r="Q277" s="62" t="n"/>
      <c r="R277" s="61" t="n"/>
    </row>
    <row r="278" ht="15.75" customHeight="1" s="38">
      <c r="A278" s="66" t="inlineStr">
        <is>
          <t>Bormax SpA</t>
        </is>
      </c>
      <c r="B278" s="66" t="inlineStr">
        <is>
          <t>Automatización, Automatización de Procesos</t>
        </is>
      </c>
      <c r="C278" s="66" t="inlineStr">
        <is>
          <t>Santiago</t>
        </is>
      </c>
      <c r="D278" s="66" t="n"/>
      <c r="E278" s="66" t="inlineStr">
        <is>
          <t>(56) 2 2665 2987</t>
        </is>
      </c>
      <c r="F278" s="66" t="n"/>
      <c r="G278" s="66" t="n"/>
      <c r="H278" s="66" t="n"/>
      <c r="I278" s="66" t="inlineStr">
        <is>
          <t>96.619.270-4</t>
        </is>
      </c>
      <c r="J278" s="66" t="n"/>
      <c r="K278" s="66" t="inlineStr">
        <is>
          <t>Ventas: GRANDE 3 (600.000 - 1.000.000 UF) | Empleados: 297</t>
        </is>
      </c>
      <c r="L278" s="61" t="n"/>
      <c r="M278" s="61" t="n"/>
      <c r="N278" s="61" t="n"/>
      <c r="O278" s="61" t="n"/>
      <c r="P278" s="61" t="n"/>
      <c r="Q278" s="62" t="n"/>
      <c r="R278" s="61" t="n"/>
    </row>
    <row r="279" ht="15.75" customHeight="1" s="38">
      <c r="A279" s="66" t="inlineStr">
        <is>
          <t>Borybor</t>
        </is>
      </c>
      <c r="B279" s="66" t="inlineStr">
        <is>
          <t>Soldaduras Especiales</t>
        </is>
      </c>
      <c r="C279" s="66" t="inlineStr">
        <is>
          <t>Santiago</t>
        </is>
      </c>
      <c r="D279" s="66" t="inlineStr">
        <is>
          <t>borybor@borybor.cl</t>
        </is>
      </c>
      <c r="E279" s="66" t="inlineStr">
        <is>
          <t>(56) 2 2963 3400</t>
        </is>
      </c>
      <c r="F279" s="66" t="n"/>
      <c r="G279" s="66" t="n"/>
      <c r="H279" s="66" t="n"/>
      <c r="I279" s="66" t="inlineStr">
        <is>
          <t>77.124.120-4</t>
        </is>
      </c>
      <c r="J279" s="66" t="n"/>
      <c r="K279" s="66" t="inlineStr">
        <is>
          <t>Ventas: GRANDE 1 (100.000 - 200.000 UF) | Empleados: 58</t>
        </is>
      </c>
      <c r="L279" s="61" t="n"/>
      <c r="M279" s="61" t="n"/>
      <c r="N279" s="61" t="n"/>
      <c r="O279" s="61" t="n"/>
      <c r="P279" s="61" t="n"/>
      <c r="Q279" s="62" t="n"/>
      <c r="R279" s="61" t="n"/>
    </row>
    <row r="280" ht="15.75" customHeight="1" s="38">
      <c r="A280" s="59" t="inlineStr">
        <is>
          <t>Bosch Rexroth Chile</t>
        </is>
      </c>
      <c r="B280" s="59" t="inlineStr">
        <is>
          <t>Bulldozers, Cargadoras Retroexcavadoras</t>
        </is>
      </c>
      <c r="C280" s="59" t="inlineStr">
        <is>
          <t>Santiago</t>
        </is>
      </c>
      <c r="D280" s="59" t="inlineStr">
        <is>
          <t>info@boschrexroth.cl</t>
        </is>
      </c>
      <c r="E280" s="59" t="inlineStr">
        <is>
          <t>(56) 2 2487 3700</t>
        </is>
      </c>
      <c r="F280" s="59" t="inlineStr">
        <is>
          <t>Oscar Torres (Jefe Proyectos TI)</t>
        </is>
      </c>
      <c r="G280" s="59" t="inlineStr">
        <is>
          <t>oscar.torres@boschrexroth.cl</t>
        </is>
      </c>
      <c r="H280" s="59" t="n"/>
      <c r="I280" s="59" t="inlineStr">
        <is>
          <t>76.365.959-3</t>
        </is>
      </c>
      <c r="J280" s="59" t="inlineStr">
        <is>
          <t>Monitoreo Predictivo</t>
        </is>
      </c>
      <c r="K280" s="59" t="inlineStr">
        <is>
          <t>Ventas: GRANDE 4 (Mas de 1.000.000 UF) | Empleados: 79</t>
        </is>
      </c>
      <c r="L280" s="61" t="n"/>
      <c r="M280" s="61" t="n"/>
      <c r="N280" s="61" t="n"/>
      <c r="O280" s="61" t="n"/>
      <c r="P280" s="61" t="n"/>
      <c r="Q280" s="62" t="n"/>
      <c r="R280" s="61" t="n"/>
    </row>
    <row r="281" ht="15.75" customHeight="1" s="38">
      <c r="A281" s="66" t="inlineStr">
        <is>
          <t>Bosquestudio SpA</t>
        </is>
      </c>
      <c r="B281" s="66" t="inlineStr">
        <is>
          <t>Proveedor Destacado, Diseño y Branding, Producciones Audiovisuales, Soluciones Digitales</t>
        </is>
      </c>
      <c r="C281" s="66" t="inlineStr">
        <is>
          <t>Santiago</t>
        </is>
      </c>
      <c r="D281" s="66" t="inlineStr">
        <is>
          <t>dayse@bosquestudio.cl</t>
        </is>
      </c>
      <c r="E281" s="66" t="inlineStr">
        <is>
          <t>(56) 9 7797 9056</t>
        </is>
      </c>
      <c r="F281" s="66" t="n"/>
      <c r="G281" s="66" t="n"/>
      <c r="H281" s="66" t="inlineStr">
        <is>
          <t>http://www.bosquestudio.cl</t>
        </is>
      </c>
      <c r="I281" s="66" t="inlineStr">
        <is>
          <t>77.917.018-7</t>
        </is>
      </c>
      <c r="J281" s="66" t="n"/>
      <c r="K281" s="66" t="inlineStr">
        <is>
          <t>Ventas: PEQUEÑA 1 (2.400 - 5.000 UF) | Empleados: 0</t>
        </is>
      </c>
      <c r="L281" s="61" t="n"/>
      <c r="M281" s="61" t="n"/>
      <c r="N281" s="61" t="n"/>
      <c r="O281" s="61" t="n"/>
      <c r="P281" s="61" t="n"/>
      <c r="Q281" s="62" t="n"/>
      <c r="R281" s="61" t="n"/>
    </row>
    <row r="282" ht="15.75" customHeight="1" s="38">
      <c r="A282" s="59" t="inlineStr">
        <is>
          <t>Bottai S.A.</t>
        </is>
      </c>
      <c r="B282" s="59" t="inlineStr">
        <is>
          <t>Prefabricados de Concreto y Hormigón, Tubos de Concreto y Hormigón</t>
        </is>
      </c>
      <c r="C282" s="59" t="inlineStr">
        <is>
          <t>Santiago</t>
        </is>
      </c>
      <c r="D282" s="59" t="inlineStr">
        <is>
          <t>ventas@bottai.cl</t>
        </is>
      </c>
      <c r="E282" s="59" t="inlineStr">
        <is>
          <t>(56) 2 2413 1200</t>
        </is>
      </c>
      <c r="F282" s="59" t="inlineStr">
        <is>
          <t>Rodrigo Gimenez Fernandez (Gerente Comercial)</t>
        </is>
      </c>
      <c r="G282" s="59" t="inlineStr">
        <is>
          <t>r.gimenez@bottai.cl</t>
        </is>
      </c>
      <c r="H282" s="59" t="n"/>
      <c r="I282" s="59" t="inlineStr">
        <is>
          <t>80.125.100-5</t>
        </is>
      </c>
      <c r="J282" s="59" t="inlineStr">
        <is>
          <t>Investigación en Proceso</t>
        </is>
      </c>
      <c r="K282" s="59" t="inlineStr">
        <is>
          <t>Ventas: GRANDE 3 (600.000 - 1.000.000 UF) | Empleados: 384</t>
        </is>
      </c>
      <c r="L282" s="61" t="n"/>
      <c r="M282" s="61" t="n"/>
      <c r="N282" s="61" t="n"/>
      <c r="O282" s="61" t="n"/>
      <c r="P282" s="61" t="n"/>
      <c r="Q282" s="62" t="n"/>
      <c r="R282" s="61" t="n"/>
    </row>
    <row r="283" ht="15.75" customHeight="1" s="38">
      <c r="A283" s="66" t="inlineStr">
        <is>
          <t>Box Solution</t>
        </is>
      </c>
      <c r="B283" s="66" t="inlineStr">
        <is>
          <t>Representaciones para la Minería</t>
        </is>
      </c>
      <c r="C283" s="66" t="inlineStr">
        <is>
          <t>Antofagasta</t>
        </is>
      </c>
      <c r="D283" s="66" t="inlineStr">
        <is>
          <t>contacto@boxsolution.cl</t>
        </is>
      </c>
      <c r="E283" s="66" t="inlineStr">
        <is>
          <t>(56) 55 277 2730</t>
        </is>
      </c>
      <c r="F283" s="66" t="n"/>
      <c r="G283" s="66" t="n"/>
      <c r="H283" s="66" t="n"/>
      <c r="I283" s="66" t="inlineStr">
        <is>
          <t>77.593.260-0</t>
        </is>
      </c>
      <c r="J283" s="66" t="n"/>
      <c r="K283" s="66" t="inlineStr">
        <is>
          <t>Ventas: GRANDE 2 (200.000 - 600.000 UF) | Empleados: 46</t>
        </is>
      </c>
      <c r="L283" s="61" t="n"/>
      <c r="M283" s="61" t="n"/>
      <c r="N283" s="61" t="n"/>
      <c r="O283" s="61" t="n"/>
      <c r="P283" s="61" t="n"/>
      <c r="Q283" s="62" t="n"/>
      <c r="R283" s="61" t="n"/>
    </row>
    <row r="284" ht="15.75" customHeight="1" s="38">
      <c r="A284" s="66" t="inlineStr">
        <is>
          <t>Boyden Chile S.A.</t>
        </is>
      </c>
      <c r="B284" s="66" t="inlineStr">
        <is>
          <t>Consultoría, Selección y Reclutamiento de Ejecutivos y Personal</t>
        </is>
      </c>
      <c r="C284" s="66" t="inlineStr">
        <is>
          <t>Santiago</t>
        </is>
      </c>
      <c r="D284" s="66" t="inlineStr">
        <is>
          <t>santiago@boyden.com</t>
        </is>
      </c>
      <c r="E284" s="66" t="inlineStr">
        <is>
          <t>(56) 2 2751 0360</t>
        </is>
      </c>
      <c r="F284" s="66" t="n"/>
      <c r="G284" s="66" t="n"/>
      <c r="H284" s="66" t="n"/>
      <c r="I284" s="66" t="inlineStr">
        <is>
          <t>78.493.760-7</t>
        </is>
      </c>
      <c r="J284" s="66" t="n"/>
      <c r="K284" s="66" t="inlineStr">
        <is>
          <t>Ventas: MEDIANA 1 (25.000 - 50.000 UF) | Empleados: 3</t>
        </is>
      </c>
      <c r="L284" s="61" t="n"/>
      <c r="M284" s="61" t="n"/>
      <c r="N284" s="61" t="n"/>
      <c r="O284" s="61" t="n"/>
      <c r="P284" s="61" t="n"/>
      <c r="Q284" s="62" t="n"/>
      <c r="R284" s="61" t="n"/>
    </row>
    <row r="285" ht="15.75" customHeight="1" s="38">
      <c r="A285" s="59" t="inlineStr">
        <is>
          <t>Bradken Chile</t>
        </is>
      </c>
      <c r="B285" s="59" t="inlineStr">
        <is>
          <t>Revestimientos para Molinos</t>
        </is>
      </c>
      <c r="C285" s="59" t="inlineStr">
        <is>
          <t>Santiago</t>
        </is>
      </c>
      <c r="D285" s="59" t="inlineStr">
        <is>
          <t>bradken@bradken.com</t>
        </is>
      </c>
      <c r="E285" s="59" t="n"/>
      <c r="F285" s="59" t="inlineStr">
        <is>
          <t>Juan Carlos Rojas (IT Manager)</t>
        </is>
      </c>
      <c r="G285" s="59" t="inlineStr">
        <is>
          <t>j.rojas@bradken.com</t>
        </is>
      </c>
      <c r="H285" s="59" t="n"/>
      <c r="I285" s="59" t="inlineStr">
        <is>
          <t>76980920-1</t>
        </is>
      </c>
      <c r="J285" s="59" t="inlineStr">
        <is>
          <t>Investigación en Proceso</t>
        </is>
      </c>
      <c r="K285" s="59" t="inlineStr">
        <is>
          <t>Ventas: GRANDE 3 (600.000 - 1.000.000 UF) | Empleados: 28</t>
        </is>
      </c>
      <c r="L285" s="61" t="n"/>
      <c r="M285" s="61" t="n"/>
      <c r="N285" s="61" t="n"/>
      <c r="O285" s="61" t="n"/>
      <c r="P285" s="61" t="n"/>
      <c r="Q285" s="62" t="n"/>
      <c r="R285" s="61" t="n"/>
    </row>
    <row r="286" ht="15.75" customHeight="1" s="38">
      <c r="A286" s="66" t="inlineStr">
        <is>
          <t>Brainmetrics Consultora SpA</t>
        </is>
      </c>
      <c r="B286" s="66" t="inlineStr">
        <is>
          <t>Diseño de Experiencias de Realidad Virtual Inmersiva Personalizada para la Prevención de la Violencia de Género</t>
        </is>
      </c>
      <c r="C286" s="66" t="inlineStr">
        <is>
          <t>Santiago</t>
        </is>
      </c>
      <c r="D286" s="66" t="inlineStr">
        <is>
          <t>info@virtualbrain.cl</t>
        </is>
      </c>
      <c r="E286" s="66" t="inlineStr">
        <is>
          <t>(56) 9 7897 6860</t>
        </is>
      </c>
      <c r="F286" s="66" t="n"/>
      <c r="G286" s="66" t="n"/>
      <c r="H286" s="66" t="n"/>
      <c r="I286" s="66" t="inlineStr">
        <is>
          <t>76.425.576-3</t>
        </is>
      </c>
      <c r="J286" s="66" t="n"/>
      <c r="K286" s="66" t="inlineStr">
        <is>
          <t>Ventas: MICRO 2 (200 - 600 UF) | Empleados: 0</t>
        </is>
      </c>
      <c r="L286" s="61" t="n"/>
      <c r="M286" s="61" t="n"/>
      <c r="N286" s="61" t="n"/>
      <c r="O286" s="61" t="n"/>
      <c r="P286" s="61" t="n"/>
      <c r="Q286" s="62" t="n"/>
      <c r="R286" s="61" t="n"/>
    </row>
    <row r="287" ht="15.75" customHeight="1" s="38">
      <c r="A287" s="66" t="inlineStr">
        <is>
          <t>Brasandes SpA</t>
        </is>
      </c>
      <c r="B287" s="66" t="inlineStr">
        <is>
          <t>Torres para Enfriamiento, Tratamientos Térmicos</t>
        </is>
      </c>
      <c r="C287" s="66" t="inlineStr">
        <is>
          <t>Santiago</t>
        </is>
      </c>
      <c r="D287" s="66" t="inlineStr">
        <is>
          <t>info@brasandes.cl</t>
        </is>
      </c>
      <c r="E287" s="66" t="inlineStr">
        <is>
          <t>(56) 2 2871 6440</t>
        </is>
      </c>
      <c r="F287" s="66" t="n"/>
      <c r="G287" s="66" t="n"/>
      <c r="H287" s="66" t="n"/>
      <c r="I287" s="66" t="inlineStr">
        <is>
          <t>76.668.610-9</t>
        </is>
      </c>
      <c r="J287" s="66" t="n"/>
      <c r="K287" s="66" t="inlineStr">
        <is>
          <t>Ventas: MICRO 3 (600 - 2.400 UF) | Empleados: 0</t>
        </is>
      </c>
      <c r="L287" s="61" t="n"/>
      <c r="M287" s="61" t="n"/>
      <c r="N287" s="61" t="n"/>
      <c r="O287" s="61" t="n"/>
      <c r="P287" s="61" t="n"/>
      <c r="Q287" s="62" t="n"/>
      <c r="R287" s="61" t="n"/>
    </row>
    <row r="288" ht="15.75" customHeight="1" s="38">
      <c r="A288" s="66" t="inlineStr">
        <is>
          <t>Bravo Energy Chile S.A.</t>
        </is>
      </c>
      <c r="B288" s="66" t="inlineStr">
        <is>
          <t>Consultoría en Medioambiente, Tratamiento de Residuos Industriales</t>
        </is>
      </c>
      <c r="C288" s="66" t="inlineStr">
        <is>
          <t>Santiago</t>
        </is>
      </c>
      <c r="D288" s="66" t="inlineStr">
        <is>
          <t>ventas@bravoenergy.cl</t>
        </is>
      </c>
      <c r="E288" s="66" t="inlineStr">
        <is>
          <t>(56) 9 6831 3848</t>
        </is>
      </c>
      <c r="F288" s="66" t="n"/>
      <c r="G288" s="66" t="n"/>
      <c r="H288" s="66" t="n"/>
      <c r="I288" s="66" t="inlineStr">
        <is>
          <t>96.726.150-3</t>
        </is>
      </c>
      <c r="J288" s="66" t="n"/>
      <c r="K288" s="66" t="inlineStr">
        <is>
          <t>Ventas: No en base SII | Empleados: S/I</t>
        </is>
      </c>
      <c r="L288" s="61" t="n"/>
      <c r="M288" s="61" t="n"/>
      <c r="N288" s="61" t="n"/>
      <c r="O288" s="61" t="n"/>
      <c r="P288" s="61" t="n"/>
      <c r="Q288" s="62" t="n"/>
      <c r="R288" s="61" t="n"/>
    </row>
    <row r="289" ht="15.75" customHeight="1" s="38">
      <c r="A289" s="66" t="inlineStr">
        <is>
          <t>Bray Controls S.A.</t>
        </is>
      </c>
      <c r="B289" s="66" t="inlineStr">
        <is>
          <t>Automatización y Control, Válvulas</t>
        </is>
      </c>
      <c r="C289" s="66" t="inlineStr">
        <is>
          <t>Santiago</t>
        </is>
      </c>
      <c r="D289" s="66" t="inlineStr">
        <is>
          <t>sales.chile@bray.com</t>
        </is>
      </c>
      <c r="E289" s="66" t="inlineStr">
        <is>
          <t>(56) 2 2739 2966</t>
        </is>
      </c>
      <c r="F289" s="66" t="n"/>
      <c r="G289" s="66" t="n"/>
      <c r="H289" s="66" t="n"/>
      <c r="I289" s="66" t="inlineStr">
        <is>
          <t>76.394.490-5</t>
        </is>
      </c>
      <c r="J289" s="66" t="n"/>
      <c r="K289" s="66" t="inlineStr">
        <is>
          <t>Ventas: GRANDE 3 (600.000 - 1.000.000 UF) | Empleados: 75</t>
        </is>
      </c>
      <c r="L289" s="61" t="n"/>
      <c r="M289" s="61" t="n"/>
      <c r="N289" s="61" t="n"/>
      <c r="O289" s="61" t="n"/>
      <c r="P289" s="61" t="n"/>
      <c r="Q289" s="62" t="n"/>
      <c r="R289" s="61" t="n"/>
    </row>
    <row r="290" ht="15.75" customHeight="1" s="38">
      <c r="A290" s="66" t="inlineStr">
        <is>
          <t>Brenntag Chile Ltda.</t>
        </is>
      </c>
      <c r="B290" s="66" t="inlineStr">
        <is>
          <t>Productos Químicos para la Minería</t>
        </is>
      </c>
      <c r="C290" s="66" t="inlineStr">
        <is>
          <t>Santiago</t>
        </is>
      </c>
      <c r="D290" s="66" t="inlineStr">
        <is>
          <t>ccarvajal@brenntagla.com</t>
        </is>
      </c>
      <c r="E290" s="66" t="inlineStr">
        <is>
          <t>(56) 2 2440 2400</t>
        </is>
      </c>
      <c r="F290" s="66" t="n"/>
      <c r="G290" s="66" t="n"/>
      <c r="H290" s="66" t="n"/>
      <c r="I290" s="66" t="inlineStr">
        <is>
          <t>85.040.900-5</t>
        </is>
      </c>
      <c r="J290" s="66" t="n"/>
      <c r="K290" s="66" t="inlineStr">
        <is>
          <t>Ventas: MEDIANA (Estimado por Empleados) | Empleados: 85</t>
        </is>
      </c>
      <c r="L290" s="61" t="n"/>
      <c r="M290" s="61" t="n"/>
      <c r="N290" s="61" t="n"/>
      <c r="O290" s="61" t="n"/>
      <c r="P290" s="61" t="n"/>
      <c r="Q290" s="62" t="n"/>
      <c r="R290" s="61" t="n"/>
    </row>
    <row r="291" ht="15.75" customHeight="1" s="38">
      <c r="A291" s="66" t="inlineStr">
        <is>
          <t>Bridon Bekaert</t>
        </is>
      </c>
      <c r="B291" s="66" t="inlineStr">
        <is>
          <t>Accesorios para Cables y Cadenas, Cables de Acero</t>
        </is>
      </c>
      <c r="C291" s="66" t="inlineStr">
        <is>
          <t>Santiago</t>
        </is>
      </c>
      <c r="D291" s="66" t="n"/>
      <c r="E291" s="66" t="inlineStr">
        <is>
          <t>(56) 2 2565 8195</t>
        </is>
      </c>
      <c r="F291" s="66" t="n"/>
      <c r="G291" s="66" t="n"/>
      <c r="H291" s="66" t="n"/>
      <c r="I291" s="66" t="inlineStr">
        <is>
          <t>76.412.909-1</t>
        </is>
      </c>
      <c r="J291" s="66" t="n"/>
      <c r="K291" s="66" t="inlineStr">
        <is>
          <t>Ventas: MEDIANA (Estimado por Empleados) | Empleados: 198</t>
        </is>
      </c>
      <c r="L291" s="61" t="n"/>
      <c r="M291" s="61" t="n"/>
      <c r="N291" s="61" t="n"/>
      <c r="O291" s="61" t="n"/>
      <c r="P291" s="61" t="n"/>
      <c r="Q291" s="62" t="n"/>
      <c r="R291" s="61" t="n"/>
    </row>
    <row r="292" ht="15.75" customHeight="1" s="38">
      <c r="A292" s="66" t="inlineStr">
        <is>
          <t>Brisa S.A.</t>
        </is>
      </c>
      <c r="B292" s="66" t="inlineStr">
        <is>
          <t>Tratamiento de Residuos Industriales</t>
        </is>
      </c>
      <c r="C292" s="66" t="inlineStr">
        <is>
          <t>Santiago</t>
        </is>
      </c>
      <c r="D292" s="66" t="inlineStr">
        <is>
          <t>info@brisa.cl</t>
        </is>
      </c>
      <c r="E292" s="66" t="inlineStr">
        <is>
          <t>(56) 2 2379 6170</t>
        </is>
      </c>
      <c r="F292" s="66" t="n"/>
      <c r="G292" s="66" t="n"/>
      <c r="H292" s="66" t="n"/>
      <c r="I292" s="66" t="inlineStr">
        <is>
          <t>96.920.180-1</t>
        </is>
      </c>
      <c r="J292" s="66" t="n"/>
      <c r="K292" s="66" t="inlineStr">
        <is>
          <t>Ventas: PEQUEÑA 3 (10.000 - 25.000 UF) | Empleados: 14</t>
        </is>
      </c>
      <c r="L292" s="61" t="n"/>
      <c r="M292" s="61" t="n"/>
      <c r="N292" s="61" t="n"/>
      <c r="O292" s="61" t="n"/>
      <c r="P292" s="61" t="n"/>
      <c r="Q292" s="62" t="n"/>
      <c r="R292" s="61" t="n"/>
    </row>
    <row r="293" ht="15.75" customHeight="1" s="38">
      <c r="A293" s="66" t="inlineStr">
        <is>
          <t>BRM Consultores</t>
        </is>
      </c>
      <c r="B293" s="66" t="inlineStr">
        <is>
          <t>Servicios de Consultoría, Servicios Informáticos</t>
        </is>
      </c>
      <c r="C293" s="66" t="inlineStr">
        <is>
          <t>Iquique</t>
        </is>
      </c>
      <c r="D293" s="66" t="inlineStr">
        <is>
          <t>proyectos@brmconsultores.cl</t>
        </is>
      </c>
      <c r="E293" s="66" t="inlineStr">
        <is>
          <t>(56) 9 9919 9560</t>
        </is>
      </c>
      <c r="F293" s="66" t="n"/>
      <c r="G293" s="66" t="n"/>
      <c r="H293" s="66" t="n"/>
      <c r="I293" s="66" t="inlineStr">
        <is>
          <t>76748185-3</t>
        </is>
      </c>
      <c r="J293" s="66" t="n"/>
      <c r="K293" s="66" t="inlineStr">
        <is>
          <t>Ventas: PEQUEÑA 2 (5.000 - 10.000 UF) | Empleados: 8</t>
        </is>
      </c>
      <c r="L293" s="61" t="n"/>
      <c r="M293" s="61" t="n"/>
      <c r="N293" s="61" t="n"/>
      <c r="O293" s="61" t="n"/>
      <c r="P293" s="61" t="n"/>
      <c r="Q293" s="62" t="n"/>
      <c r="R293" s="61" t="n"/>
    </row>
    <row r="294" ht="15.75" customHeight="1" s="38">
      <c r="A294" s="59" t="inlineStr">
        <is>
          <t>Budge Chile SpA</t>
        </is>
      </c>
      <c r="B294" s="59" t="inlineStr">
        <is>
          <t>Transmisiones Mecánicas</t>
        </is>
      </c>
      <c r="C294" s="59" t="inlineStr">
        <is>
          <t>Iquique</t>
        </is>
      </c>
      <c r="D294" s="59" t="inlineStr">
        <is>
          <t>ventas@budge.cl</t>
        </is>
      </c>
      <c r="E294" s="59" t="inlineStr">
        <is>
          <t>(56) 2 2885 4224</t>
        </is>
      </c>
      <c r="F294" s="59" t="inlineStr">
        <is>
          <t>Rodrigo Elizondo (CEO Chile)</t>
        </is>
      </c>
      <c r="G294" s="59" t="n"/>
      <c r="H294" s="59" t="n"/>
      <c r="I294" s="59" t="inlineStr">
        <is>
          <t>76.869.432-K</t>
        </is>
      </c>
      <c r="J294" s="59" t="inlineStr">
        <is>
          <t>Modernización Grid &amp; Software Energía</t>
        </is>
      </c>
      <c r="K294" s="59" t="inlineStr">
        <is>
          <t>Ventas: GRANDE 1 (100.000 - 200.000 UF) | Empleados: 3</t>
        </is>
      </c>
      <c r="L294" s="61" t="n"/>
      <c r="M294" s="61" t="n"/>
      <c r="N294" s="61" t="n"/>
      <c r="O294" s="61" t="n"/>
      <c r="P294" s="61" t="n"/>
      <c r="Q294" s="62" t="n"/>
      <c r="R294" s="61" t="n"/>
    </row>
    <row r="295" ht="15.75" customHeight="1" s="38">
      <c r="A295" s="66" t="inlineStr">
        <is>
          <t>Buffer Chile</t>
        </is>
      </c>
      <c r="B295" s="66" t="inlineStr">
        <is>
          <t>Administración de Contratos, Project Management</t>
        </is>
      </c>
      <c r="C295" s="66" t="inlineStr">
        <is>
          <t>Santiago</t>
        </is>
      </c>
      <c r="D295" s="66" t="inlineStr">
        <is>
          <t>contacto@bufferchile.cl</t>
        </is>
      </c>
      <c r="E295" s="66" t="inlineStr">
        <is>
          <t>(56) 2 2231 1970</t>
        </is>
      </c>
      <c r="F295" s="66" t="n"/>
      <c r="G295" s="66" t="n"/>
      <c r="H295" s="66" t="n"/>
      <c r="I295" s="66" t="inlineStr">
        <is>
          <t>76.190.907-K</t>
        </is>
      </c>
      <c r="J295" s="66" t="n"/>
      <c r="K295" s="66" t="inlineStr">
        <is>
          <t>Ventas: GRANDE 3 (600.000 - 1.000.000 UF) | Empleados: 504</t>
        </is>
      </c>
      <c r="L295" s="61" t="n"/>
      <c r="M295" s="61" t="n"/>
      <c r="N295" s="61" t="n"/>
      <c r="O295" s="61" t="n"/>
      <c r="P295" s="61" t="n"/>
      <c r="Q295" s="62" t="n"/>
      <c r="R295" s="61" t="n"/>
    </row>
    <row r="296" ht="15.75" customHeight="1" s="38">
      <c r="A296" s="66" t="inlineStr">
        <is>
          <t>Bulkin Tech SpA</t>
        </is>
      </c>
      <c r="B296" s="66" t="inlineStr">
        <is>
          <t>Control Instrumental</t>
        </is>
      </c>
      <c r="C296" s="66" t="inlineStr">
        <is>
          <t>Concepción</t>
        </is>
      </c>
      <c r="D296" s="66" t="inlineStr">
        <is>
          <t>jp@bulkintech.cl</t>
        </is>
      </c>
      <c r="E296" s="66" t="inlineStr">
        <is>
          <t>(56) 9 9091 6595</t>
        </is>
      </c>
      <c r="F296" s="66" t="n"/>
      <c r="G296" s="66" t="n"/>
      <c r="H296" s="66" t="n"/>
      <c r="I296" s="66" t="inlineStr">
        <is>
          <t>77195363-8</t>
        </is>
      </c>
      <c r="J296" s="66" t="n"/>
      <c r="K296" s="66" t="inlineStr">
        <is>
          <t>Ventas: MICRO 3 (600 - 2.400 UF) | Empleados: 0</t>
        </is>
      </c>
      <c r="L296" s="61" t="n"/>
      <c r="M296" s="61" t="n"/>
      <c r="N296" s="61" t="n"/>
      <c r="O296" s="61" t="n"/>
      <c r="P296" s="61" t="n"/>
      <c r="Q296" s="62" t="n"/>
      <c r="R296" s="61" t="n"/>
    </row>
    <row r="297" ht="15.75" customHeight="1" s="38">
      <c r="A297" s="66" t="inlineStr">
        <is>
          <t>Bureau Veritas</t>
        </is>
      </c>
      <c r="B297" s="66" t="inlineStr">
        <is>
          <t>Servicios de Pruebas, Inspección y Certificación (TIC)</t>
        </is>
      </c>
      <c r="C297" s="66" t="inlineStr">
        <is>
          <t>Santiago</t>
        </is>
      </c>
      <c r="D297" s="66" t="inlineStr">
        <is>
          <t>consultas@bureauveritas.com</t>
        </is>
      </c>
      <c r="E297" s="66" t="inlineStr">
        <is>
          <t>(56) 2 2350 2100</t>
        </is>
      </c>
      <c r="F297" s="66" t="n"/>
      <c r="G297" s="66" t="n"/>
      <c r="H297" s="66" t="n"/>
      <c r="I297" s="66" t="inlineStr">
        <is>
          <t>96663470-7</t>
        </is>
      </c>
      <c r="J297" s="66" t="n"/>
      <c r="K297" s="66" t="inlineStr">
        <is>
          <t>Ventas: GRANDE (Estimado por Empleados) | Empleados: 2598</t>
        </is>
      </c>
      <c r="L297" s="61" t="n"/>
      <c r="M297" s="61" t="n"/>
      <c r="N297" s="61" t="n"/>
      <c r="O297" s="61" t="n"/>
      <c r="P297" s="61" t="n"/>
      <c r="Q297" s="62" t="n"/>
      <c r="R297" s="61" t="n"/>
    </row>
    <row r="298" ht="15.75" customHeight="1" s="38">
      <c r="A298" s="66" t="inlineStr">
        <is>
          <t>Burón SpA</t>
        </is>
      </c>
      <c r="B298" s="66" t="inlineStr">
        <is>
          <t>Purificadores de Aire</t>
        </is>
      </c>
      <c r="C298" s="66" t="inlineStr">
        <is>
          <t>Santiago</t>
        </is>
      </c>
      <c r="D298" s="66" t="inlineStr">
        <is>
          <t>buron@buron.cl</t>
        </is>
      </c>
      <c r="E298" s="66" t="inlineStr">
        <is>
          <t>(56) 2 2215 8400</t>
        </is>
      </c>
      <c r="F298" s="66" t="n"/>
      <c r="G298" s="66" t="n"/>
      <c r="H298" s="66" t="n"/>
      <c r="I298" s="66" t="inlineStr">
        <is>
          <t>96.969.470-0</t>
        </is>
      </c>
      <c r="J298" s="66" t="n"/>
      <c r="K298" s="66" t="inlineStr">
        <is>
          <t>Ventas: MEDIANA 1 (25.000 - 50.000 UF) | Empleados: 16</t>
        </is>
      </c>
      <c r="L298" s="61" t="n"/>
      <c r="M298" s="61" t="n"/>
      <c r="N298" s="61" t="n"/>
      <c r="O298" s="61" t="n"/>
      <c r="P298" s="61" t="n"/>
      <c r="Q298" s="62" t="n"/>
      <c r="R298" s="61" t="n"/>
    </row>
    <row r="299" ht="15.75" customHeight="1" s="38">
      <c r="A299" s="66" t="inlineStr">
        <is>
          <t>Burô S.A.</t>
        </is>
      </c>
      <c r="B299" s="66" t="inlineStr">
        <is>
          <t>Capacitación de Personal, Selección y Reclutamiento de Ejecutivos y Personal</t>
        </is>
      </c>
      <c r="C299" s="66" t="inlineStr">
        <is>
          <t>Santiago</t>
        </is>
      </c>
      <c r="D299" s="66" t="inlineStr">
        <is>
          <t>cega@buro.cl</t>
        </is>
      </c>
      <c r="E299" s="66" t="inlineStr">
        <is>
          <t>(56) 2 2729 6500</t>
        </is>
      </c>
      <c r="F299" s="66" t="n"/>
      <c r="G299" s="66" t="n"/>
      <c r="H299" s="66" t="n"/>
      <c r="I299" s="66" t="inlineStr">
        <is>
          <t>79.750.620-6</t>
        </is>
      </c>
      <c r="J299" s="66" t="n"/>
      <c r="K299" s="66" t="inlineStr">
        <is>
          <t>Ventas: GRANDE 1 (100.000 - 200.000 UF) | Empleados: 186</t>
        </is>
      </c>
      <c r="L299" s="61" t="n"/>
      <c r="M299" s="61" t="n"/>
      <c r="N299" s="61" t="n"/>
      <c r="O299" s="61" t="n"/>
      <c r="P299" s="61" t="n"/>
      <c r="Q299" s="62" t="n"/>
      <c r="R299" s="61" t="n"/>
    </row>
    <row r="300" ht="15.75" customHeight="1" s="38">
      <c r="A300" s="66" t="inlineStr">
        <is>
          <t>Busanc Ltda.</t>
        </is>
      </c>
      <c r="B300" s="66" t="inlineStr">
        <is>
          <t>Productos de Goma, Revestimientos para Molinos</t>
        </is>
      </c>
      <c r="C300" s="66" t="inlineStr">
        <is>
          <t>Santiago</t>
        </is>
      </c>
      <c r="D300" s="66" t="inlineStr">
        <is>
          <t>ventas@busanc.cl</t>
        </is>
      </c>
      <c r="E300" s="66" t="inlineStr">
        <is>
          <t>(56) 2 2854 2422</t>
        </is>
      </c>
      <c r="F300" s="66" t="n"/>
      <c r="G300" s="66" t="n"/>
      <c r="H300" s="66" t="n"/>
      <c r="I300" s="66" t="inlineStr">
        <is>
          <t>84.411.700-0</t>
        </is>
      </c>
      <c r="J300" s="66" t="n"/>
      <c r="K300" s="66" t="inlineStr">
        <is>
          <t>Ventas: GRANDE 3 (600.000 - 1.000.000 UF) | Empleados: 128</t>
        </is>
      </c>
      <c r="L300" s="61" t="n"/>
      <c r="M300" s="61" t="n"/>
      <c r="N300" s="61" t="n"/>
      <c r="O300" s="61" t="n"/>
      <c r="P300" s="61" t="n"/>
      <c r="Q300" s="62" t="n"/>
      <c r="R300" s="61" t="n"/>
    </row>
    <row r="301" ht="15.75" customHeight="1" s="38">
      <c r="A301" s="66" t="inlineStr">
        <is>
          <t>Busch Chile S.A.</t>
        </is>
      </c>
      <c r="B301" s="66" t="inlineStr">
        <is>
          <t>Bombas para Vacío, Sopladores</t>
        </is>
      </c>
      <c r="C301" s="66" t="inlineStr">
        <is>
          <t>Santiago</t>
        </is>
      </c>
      <c r="D301" s="66" t="inlineStr">
        <is>
          <t>info@busch.cl</t>
        </is>
      </c>
      <c r="E301" s="66" t="inlineStr">
        <is>
          <t>(56) 9 6123 8268</t>
        </is>
      </c>
      <c r="F301" s="66" t="n"/>
      <c r="G301" s="66" t="n"/>
      <c r="H301" s="66" t="n"/>
      <c r="I301" s="66" t="inlineStr">
        <is>
          <t>76.774.170-7</t>
        </is>
      </c>
      <c r="J301" s="66" t="n"/>
      <c r="K301" s="66" t="inlineStr">
        <is>
          <t>Ventas: GRANDE 1 (100.000 - 200.000 UF) | Empleados: 15</t>
        </is>
      </c>
      <c r="L301" s="61" t="n"/>
      <c r="M301" s="61" t="n"/>
      <c r="N301" s="61" t="n"/>
      <c r="O301" s="61" t="n"/>
      <c r="P301" s="61" t="n"/>
      <c r="Q301" s="62" t="n"/>
      <c r="R301" s="61" t="n"/>
    </row>
    <row r="302" ht="15.75" customHeight="1" s="38">
      <c r="A302" s="66" t="inlineStr">
        <is>
          <t>Buses JM</t>
        </is>
      </c>
      <c r="B302" s="66" t="inlineStr">
        <is>
          <t>Transporte de Pasajeros en Buses Interurbanos, Transporte de Personal</t>
        </is>
      </c>
      <c r="C302" s="66" t="inlineStr">
        <is>
          <t>Los Andes</t>
        </is>
      </c>
      <c r="D302" s="66" t="inlineStr">
        <is>
          <t>dlazcano@busesjm.com</t>
        </is>
      </c>
      <c r="E302" s="66" t="inlineStr">
        <is>
          <t>(56) 34 242 4943</t>
        </is>
      </c>
      <c r="F302" s="66" t="n"/>
      <c r="G302" s="66" t="n"/>
      <c r="H302" s="66" t="n"/>
      <c r="I302" s="66" t="inlineStr">
        <is>
          <t>78.052.770-1</t>
        </is>
      </c>
      <c r="J302" s="66" t="n"/>
      <c r="K302" s="66" t="inlineStr">
        <is>
          <t>Ventas: No en base SII | Empleados: S/I</t>
        </is>
      </c>
      <c r="L302" s="61" t="n"/>
      <c r="M302" s="61" t="n"/>
      <c r="N302" s="61" t="n"/>
      <c r="O302" s="61" t="n"/>
      <c r="P302" s="61" t="n"/>
      <c r="Q302" s="62" t="n"/>
      <c r="R302" s="61" t="n"/>
    </row>
    <row r="303" ht="15.75" customHeight="1" s="38">
      <c r="A303" s="66" t="inlineStr">
        <is>
          <t>ByD Chile</t>
        </is>
      </c>
      <c r="B303" s="66" t="inlineStr">
        <is>
          <t>Buses Eléctricos, Transporte Ferroviario</t>
        </is>
      </c>
      <c r="C303" s="66" t="inlineStr">
        <is>
          <t>Santiago</t>
        </is>
      </c>
      <c r="D303" s="66" t="inlineStr">
        <is>
          <t>magdalena.cid@byd.com</t>
        </is>
      </c>
      <c r="E303" s="66" t="inlineStr">
        <is>
          <t>(56) 9 5420 0366</t>
        </is>
      </c>
      <c r="F303" s="66" t="n"/>
      <c r="G303" s="66" t="n"/>
      <c r="H303" s="66" t="n"/>
      <c r="I303" s="66" t="inlineStr">
        <is>
          <t>76312995-0</t>
        </is>
      </c>
      <c r="J303" s="66" t="n"/>
      <c r="K303" s="66" t="inlineStr">
        <is>
          <t>Ventas: MICRO 1 (0.01 - 200 UF) | Empleados: 0</t>
        </is>
      </c>
      <c r="L303" s="61" t="n"/>
      <c r="M303" s="61" t="n"/>
      <c r="N303" s="61" t="n"/>
      <c r="O303" s="61" t="n"/>
      <c r="P303" s="61" t="n"/>
      <c r="Q303" s="62" t="n"/>
      <c r="R303" s="61" t="n"/>
    </row>
    <row r="304" ht="15.75" customHeight="1" s="38">
      <c r="A304" s="66" t="inlineStr">
        <is>
          <t>C-Metrix S.A.</t>
        </is>
      </c>
      <c r="B304" s="66" t="inlineStr">
        <is>
          <t>Consultoría en Informática, Software</t>
        </is>
      </c>
      <c r="C304" s="66" t="inlineStr">
        <is>
          <t>Santiago</t>
        </is>
      </c>
      <c r="D304" s="66" t="inlineStr">
        <is>
          <t>contacto@cmetrix.la</t>
        </is>
      </c>
      <c r="E304" s="66" t="inlineStr">
        <is>
          <t>(56) 2 2889 9100</t>
        </is>
      </c>
      <c r="F304" s="66" t="n"/>
      <c r="G304" s="66" t="n"/>
      <c r="H304" s="66" t="n"/>
      <c r="I304" s="66" t="inlineStr">
        <is>
          <t>96.969.290-2</t>
        </is>
      </c>
      <c r="J304" s="66" t="n"/>
      <c r="K304" s="66" t="inlineStr">
        <is>
          <t>Ventas: MEDIANA 2 (50.000 - 100.000 UF) | Empleados: 8</t>
        </is>
      </c>
      <c r="L304" s="61" t="n"/>
      <c r="M304" s="61" t="n"/>
      <c r="N304" s="61" t="n"/>
      <c r="O304" s="61" t="n"/>
      <c r="P304" s="61" t="n"/>
      <c r="Q304" s="62" t="n"/>
      <c r="R304" s="61" t="n"/>
    </row>
    <row r="305" ht="15.75" customHeight="1" s="38">
      <c r="A305" s="66" t="inlineStr">
        <is>
          <t>C.A.R.S.</t>
        </is>
      </c>
      <c r="B305" s="66" t="inlineStr">
        <is>
          <t>Cadenas Transportadoras de Acero, Resortes Espirales</t>
        </is>
      </c>
      <c r="C305" s="66" t="inlineStr">
        <is>
          <t>Santiago</t>
        </is>
      </c>
      <c r="D305" s="66" t="n"/>
      <c r="E305" s="66" t="inlineStr">
        <is>
          <t>(56) 2 2857 1183</t>
        </is>
      </c>
      <c r="F305" s="66" t="n"/>
      <c r="G305" s="66" t="n"/>
      <c r="H305" s="66" t="n"/>
      <c r="I305" s="66" t="inlineStr">
        <is>
          <t>76832031-4</t>
        </is>
      </c>
      <c r="J305" s="66" t="n"/>
      <c r="K305" s="66" t="inlineStr">
        <is>
          <t>Ventas: MEDIANA 1 (25.000 - 50.000 UF) | Empleados: 1</t>
        </is>
      </c>
      <c r="L305" s="61" t="n"/>
      <c r="M305" s="61" t="n"/>
      <c r="N305" s="61" t="n"/>
      <c r="O305" s="61" t="n"/>
      <c r="P305" s="61" t="n"/>
      <c r="Q305" s="62" t="n"/>
      <c r="R305" s="61" t="n"/>
    </row>
    <row r="306" ht="15.75" customHeight="1" s="38">
      <c r="A306" s="66" t="inlineStr">
        <is>
          <t>C.C. Jensen S.L. Ltda.</t>
        </is>
      </c>
      <c r="B306" s="66" t="inlineStr">
        <is>
          <t>Análisis de Aceites, Equipos para Microfiltrado de Aceite y Combustible</t>
        </is>
      </c>
      <c r="C306" s="66" t="inlineStr">
        <is>
          <t>Santiago</t>
        </is>
      </c>
      <c r="D306" s="66" t="inlineStr">
        <is>
          <t>bgm@cjc.dk</t>
        </is>
      </c>
      <c r="E306" s="66" t="inlineStr">
        <is>
          <t>(56) 9 9787 0284</t>
        </is>
      </c>
      <c r="F306" s="66" t="n"/>
      <c r="G306" s="66" t="n"/>
      <c r="H306" s="66" t="n"/>
      <c r="I306" s="66" t="inlineStr">
        <is>
          <t>77.994.460-3</t>
        </is>
      </c>
      <c r="J306" s="66" t="n"/>
      <c r="K306" s="66" t="inlineStr">
        <is>
          <t>Ventas: GRANDE 2 (200.000 - 600.000 UF) | Empleados: 27</t>
        </is>
      </c>
      <c r="L306" s="61" t="n"/>
      <c r="M306" s="61" t="n"/>
      <c r="N306" s="61" t="n"/>
      <c r="O306" s="61" t="n"/>
      <c r="P306" s="61" t="n"/>
      <c r="Q306" s="62" t="n"/>
      <c r="R306" s="61" t="n"/>
    </row>
    <row r="307" ht="15.75" customHeight="1" s="38">
      <c r="A307" s="66" t="inlineStr">
        <is>
          <t>Cadetech S.A.</t>
        </is>
      </c>
      <c r="B307" s="66" t="inlineStr">
        <is>
          <t>Análisis Estructural, Servicios de Análisis de Vibraciones</t>
        </is>
      </c>
      <c r="C307" s="66" t="inlineStr">
        <is>
          <t>Concepción</t>
        </is>
      </c>
      <c r="D307" s="66" t="inlineStr">
        <is>
          <t>info@cadetech.cl</t>
        </is>
      </c>
      <c r="E307" s="66" t="inlineStr">
        <is>
          <t>(56) 41 262 1500</t>
        </is>
      </c>
      <c r="F307" s="66" t="n"/>
      <c r="G307" s="66" t="n"/>
      <c r="H307" s="66" t="n"/>
      <c r="I307" s="66" t="inlineStr">
        <is>
          <t>96.973.190-8</t>
        </is>
      </c>
      <c r="J307" s="66" t="n"/>
      <c r="K307" s="66" t="inlineStr">
        <is>
          <t>Ventas: GRANDE 3 (600.000 - 1.000.000 UF) | Empleados: 127</t>
        </is>
      </c>
      <c r="L307" s="61" t="n"/>
      <c r="M307" s="61" t="n"/>
      <c r="N307" s="61" t="n"/>
      <c r="O307" s="61" t="n"/>
      <c r="P307" s="61" t="n"/>
      <c r="Q307" s="62" t="n"/>
      <c r="R307" s="61" t="n"/>
    </row>
    <row r="308" ht="15.75" customHeight="1" s="38">
      <c r="A308" s="66" t="inlineStr">
        <is>
          <t>Caemin S.A.</t>
        </is>
      </c>
      <c r="B308" s="66" t="inlineStr">
        <is>
          <t>Arriendo de Camiones, Arriendo de Excavadoras</t>
        </is>
      </c>
      <c r="C308" s="66" t="inlineStr">
        <is>
          <t>Santiago</t>
        </is>
      </c>
      <c r="D308" s="66" t="inlineStr">
        <is>
          <t>jsalgado@cerroalto.cl</t>
        </is>
      </c>
      <c r="E308" s="66" t="inlineStr">
        <is>
          <t>(56) 2 2490 1500</t>
        </is>
      </c>
      <c r="F308" s="66" t="n"/>
      <c r="G308" s="66" t="n"/>
      <c r="H308" s="66" t="n"/>
      <c r="I308" s="66" t="inlineStr">
        <is>
          <t>76.761.535-3</t>
        </is>
      </c>
      <c r="J308" s="66" t="n"/>
      <c r="K308" s="66" t="inlineStr">
        <is>
          <t>Ventas: GRANDE 2 (200.000 - 600.000 UF) | Empleados: 49</t>
        </is>
      </c>
      <c r="L308" s="61" t="n"/>
      <c r="M308" s="61" t="n"/>
      <c r="N308" s="61" t="n"/>
      <c r="O308" s="61" t="n"/>
      <c r="P308" s="61" t="n"/>
      <c r="Q308" s="62" t="n"/>
      <c r="R308" s="61" t="n"/>
    </row>
    <row r="309" ht="15.75" customHeight="1" s="38">
      <c r="A309" s="66" t="inlineStr">
        <is>
          <t>Caid S.A.</t>
        </is>
      </c>
      <c r="B309" s="66" t="inlineStr">
        <is>
          <t>Anodos de Titanio, Cátodos de Acero Inoxidable y Titanio</t>
        </is>
      </c>
      <c r="C309" s="66" t="inlineStr">
        <is>
          <t>Santiago</t>
        </is>
      </c>
      <c r="D309" s="66" t="n"/>
      <c r="E309" s="66" t="inlineStr">
        <is>
          <t>(56) 55 289 2150</t>
        </is>
      </c>
      <c r="F309" s="66" t="n"/>
      <c r="G309" s="66" t="n"/>
      <c r="H309" s="66" t="n"/>
      <c r="I309" s="66" t="inlineStr">
        <is>
          <t>76.069.751-6</t>
        </is>
      </c>
      <c r="J309" s="66" t="n"/>
      <c r="K309" s="66" t="inlineStr">
        <is>
          <t>Ventas: MICRO 1 (0.01 - 200 UF) | Empleados: 0</t>
        </is>
      </c>
      <c r="L309" s="61" t="n"/>
      <c r="M309" s="61" t="n"/>
      <c r="N309" s="61" t="n"/>
      <c r="O309" s="61" t="n"/>
      <c r="P309" s="61" t="n"/>
      <c r="Q309" s="62" t="n"/>
      <c r="R309" s="61" t="n"/>
    </row>
    <row r="310" ht="15.75" customHeight="1" s="38">
      <c r="A310" s="66" t="inlineStr">
        <is>
          <t>Cal-Tex SpA</t>
        </is>
      </c>
      <c r="B310" s="66" t="inlineStr">
        <is>
          <t>Certificación de Textiles</t>
        </is>
      </c>
      <c r="C310" s="66" t="inlineStr">
        <is>
          <t>Santiago</t>
        </is>
      </c>
      <c r="D310" s="66" t="inlineStr">
        <is>
          <t>ventas@caltex.cl</t>
        </is>
      </c>
      <c r="E310" s="66" t="inlineStr">
        <is>
          <t>(56) 2 2246 0464</t>
        </is>
      </c>
      <c r="F310" s="66" t="n"/>
      <c r="G310" s="66" t="n"/>
      <c r="H310" s="66" t="n"/>
      <c r="I310" s="66" t="inlineStr">
        <is>
          <t>79.815.690-K</t>
        </is>
      </c>
      <c r="J310" s="66" t="n"/>
      <c r="K310" s="66" t="inlineStr">
        <is>
          <t>Ventas: MEDIANA 1 (25.000 - 50.000 UF) | Empleados: 16</t>
        </is>
      </c>
      <c r="L310" s="61" t="n"/>
      <c r="M310" s="61" t="n"/>
      <c r="N310" s="61" t="n"/>
      <c r="O310" s="61" t="n"/>
      <c r="P310" s="61" t="n"/>
      <c r="Q310" s="62" t="n"/>
      <c r="R310" s="61" t="n"/>
    </row>
    <row r="311" ht="15.75" customHeight="1" s="38">
      <c r="A311" s="66" t="inlineStr">
        <is>
          <t>Calesan S.A.C.I.</t>
        </is>
      </c>
      <c r="B311" s="66" t="inlineStr">
        <is>
          <t>Cables de Acero, Cadenas de Acero</t>
        </is>
      </c>
      <c r="C311" s="66" t="inlineStr">
        <is>
          <t>Santiago</t>
        </is>
      </c>
      <c r="D311" s="66" t="inlineStr">
        <is>
          <t>ventas@calesan.cl</t>
        </is>
      </c>
      <c r="E311" s="66" t="inlineStr">
        <is>
          <t>(56) 2 2773 2357</t>
        </is>
      </c>
      <c r="F311" s="66" t="n"/>
      <c r="G311" s="66" t="n"/>
      <c r="H311" s="66" t="n"/>
      <c r="I311" s="66" t="inlineStr">
        <is>
          <t>84.710.400-7</t>
        </is>
      </c>
      <c r="J311" s="66" t="n"/>
      <c r="K311" s="66" t="inlineStr">
        <is>
          <t>Ventas: GRANDE 1 (100.000 - 200.000 UF) | Empleados: 15</t>
        </is>
      </c>
      <c r="L311" s="61" t="n"/>
      <c r="M311" s="61" t="n"/>
      <c r="N311" s="61" t="n"/>
      <c r="O311" s="61" t="n"/>
      <c r="P311" s="61" t="n"/>
      <c r="Q311" s="62" t="n"/>
      <c r="R311" s="61" t="n"/>
    </row>
    <row r="312" ht="15.75" customHeight="1" s="38">
      <c r="A312" s="66" t="inlineStr">
        <is>
          <t>Calidra</t>
        </is>
      </c>
      <c r="B312" s="66" t="inlineStr">
        <is>
          <t>Cal</t>
        </is>
      </c>
      <c r="C312" s="66" t="inlineStr">
        <is>
          <t>Santiago</t>
        </is>
      </c>
      <c r="D312" s="66" t="inlineStr">
        <is>
          <t>info@calidra.cl</t>
        </is>
      </c>
      <c r="E312" s="66" t="inlineStr">
        <is>
          <t>(56) 2 3203 4818</t>
        </is>
      </c>
      <c r="F312" s="66" t="n"/>
      <c r="G312" s="66" t="n"/>
      <c r="H312" s="66" t="n"/>
      <c r="I312" s="66" t="inlineStr">
        <is>
          <t>76.861.280-3</t>
        </is>
      </c>
      <c r="J312" s="66" t="n"/>
      <c r="K312" s="66" t="inlineStr">
        <is>
          <t>Ventas: MEDIANA (Estimado por Empleados) | Empleados: 111</t>
        </is>
      </c>
      <c r="L312" s="61" t="n"/>
      <c r="M312" s="61" t="n"/>
      <c r="N312" s="61" t="n"/>
      <c r="O312" s="61" t="n"/>
      <c r="P312" s="61" t="n"/>
      <c r="Q312" s="62" t="n"/>
      <c r="R312" s="61" t="n"/>
    </row>
    <row r="313" ht="15.75" customHeight="1" s="38">
      <c r="A313" s="66" t="inlineStr">
        <is>
          <t>Calimport S.A.</t>
        </is>
      </c>
      <c r="B313" s="66" t="inlineStr">
        <is>
          <t>Automatización, Tableros Eléctricos</t>
        </is>
      </c>
      <c r="C313" s="66" t="inlineStr">
        <is>
          <t>Santiago</t>
        </is>
      </c>
      <c r="D313" s="66" t="inlineStr">
        <is>
          <t>calimport@calimport.cl</t>
        </is>
      </c>
      <c r="E313" s="66" t="inlineStr">
        <is>
          <t>(56) 2 2488 7000</t>
        </is>
      </c>
      <c r="F313" s="66" t="n"/>
      <c r="G313" s="66" t="n"/>
      <c r="H313" s="66" t="n"/>
      <c r="I313" s="66" t="inlineStr">
        <is>
          <t>86.317.400-7</t>
        </is>
      </c>
      <c r="J313" s="66" t="n"/>
      <c r="K313" s="66" t="inlineStr">
        <is>
          <t>Ventas: GRANDE 2 (200.000 - 600.000 UF) | Empleados: 66</t>
        </is>
      </c>
      <c r="L313" s="61" t="n"/>
      <c r="M313" s="61" t="n"/>
      <c r="N313" s="61" t="n"/>
      <c r="O313" s="61" t="n"/>
      <c r="P313" s="61" t="n"/>
      <c r="Q313" s="62" t="n"/>
      <c r="R313" s="61" t="n"/>
    </row>
    <row r="314" ht="15.75" customHeight="1" s="38">
      <c r="A314" s="66" t="inlineStr">
        <is>
          <t>Calmly</t>
        </is>
      </c>
      <c r="B314" s="66" t="inlineStr">
        <is>
          <t>Servicios de Consultoría, Servicios de Ingeniería</t>
        </is>
      </c>
      <c r="C314" s="66" t="inlineStr">
        <is>
          <t>Santiago</t>
        </is>
      </c>
      <c r="D314" s="66" t="inlineStr">
        <is>
          <t>contacto@calmly.cl</t>
        </is>
      </c>
      <c r="E314" s="66" t="inlineStr">
        <is>
          <t>(56) 9 9433 0482</t>
        </is>
      </c>
      <c r="F314" s="66" t="n"/>
      <c r="G314" s="66" t="n"/>
      <c r="H314" s="66" t="n"/>
      <c r="I314" s="66" t="inlineStr">
        <is>
          <t>77.517.391-2</t>
        </is>
      </c>
      <c r="J314" s="66" t="n"/>
      <c r="K314" s="66" t="inlineStr">
        <is>
          <t>Ventas: PEQUEÑA 2 (5.000 - 10.000 UF) | Empleados: 5</t>
        </is>
      </c>
      <c r="L314" s="61" t="n"/>
      <c r="M314" s="61" t="n"/>
      <c r="N314" s="61" t="n"/>
      <c r="O314" s="61" t="n"/>
      <c r="P314" s="61" t="n"/>
      <c r="Q314" s="62" t="n"/>
      <c r="R314" s="61" t="n"/>
    </row>
    <row r="315" ht="15.75" customHeight="1" s="38">
      <c r="A315" s="59" t="inlineStr">
        <is>
          <t>Canon Chile S.A.</t>
        </is>
      </c>
      <c r="B315" s="59" t="inlineStr">
        <is>
          <t>Equipos para Oficina</t>
        </is>
      </c>
      <c r="C315" s="59" t="inlineStr">
        <is>
          <t>Santiago</t>
        </is>
      </c>
      <c r="D315" s="59" t="n"/>
      <c r="E315" s="59" t="inlineStr">
        <is>
          <t>(56) 2 2477 6200</t>
        </is>
      </c>
      <c r="F315" s="59" t="inlineStr">
        <is>
          <t>Aaron Fuentes Calderón (Gerente de TI)</t>
        </is>
      </c>
      <c r="G315" s="59" t="inlineStr">
        <is>
          <t>afuentes@canon.cl</t>
        </is>
      </c>
      <c r="H315" s="59" t="n"/>
      <c r="I315" s="59" t="inlineStr">
        <is>
          <t>96.716.060-1</t>
        </is>
      </c>
      <c r="J315" s="59" t="inlineStr">
        <is>
          <t>Gestión Documental Cloud</t>
        </is>
      </c>
      <c r="K315" s="59" t="inlineStr">
        <is>
          <t>Ventas: GRANDE 4 (Mas de 1.000.000 UF) | Empleados: 138</t>
        </is>
      </c>
      <c r="L315" s="61" t="n"/>
      <c r="M315" s="61" t="n"/>
      <c r="N315" s="61" t="n"/>
      <c r="O315" s="61" t="n"/>
      <c r="P315" s="61" t="n"/>
      <c r="Q315" s="62" t="n"/>
      <c r="R315" s="61" t="n"/>
    </row>
    <row r="316" ht="15.75" customHeight="1" s="38">
      <c r="A316" s="66" t="inlineStr">
        <is>
          <t>Cantrack</t>
        </is>
      </c>
      <c r="B316" s="66" t="inlineStr">
        <is>
          <t>Administración y Control de Combustibles, Servicios de Telemetría</t>
        </is>
      </c>
      <c r="C316" s="66" t="inlineStr">
        <is>
          <t>Santiago</t>
        </is>
      </c>
      <c r="D316" s="66" t="inlineStr">
        <is>
          <t>alejandro.venegas@cantrack.cl</t>
        </is>
      </c>
      <c r="E316" s="66" t="inlineStr">
        <is>
          <t>(56) 2 2245 4567</t>
        </is>
      </c>
      <c r="F316" s="66" t="n"/>
      <c r="G316" s="66" t="n"/>
      <c r="H316" s="66" t="n"/>
      <c r="I316" s="66" t="inlineStr">
        <is>
          <t>76.219.623-9</t>
        </is>
      </c>
      <c r="J316" s="66" t="n"/>
      <c r="K316" s="66" t="inlineStr">
        <is>
          <t>Ventas: PEQUEÑA 2 (5.000 - 10.000 UF) | Empleados: 2</t>
        </is>
      </c>
      <c r="L316" s="61" t="n"/>
      <c r="M316" s="61" t="n"/>
      <c r="N316" s="61" t="n"/>
      <c r="O316" s="61" t="n"/>
      <c r="P316" s="61" t="n"/>
      <c r="Q316" s="62" t="n"/>
      <c r="R316" s="61" t="n"/>
    </row>
    <row r="317" ht="15.75" customHeight="1" s="38">
      <c r="A317" s="66" t="inlineStr">
        <is>
          <t>Capital Drilling Chile S.A.</t>
        </is>
      </c>
      <c r="B317" s="66" t="inlineStr">
        <is>
          <t>Servicios de Sondaje</t>
        </is>
      </c>
      <c r="C317" s="66" t="inlineStr">
        <is>
          <t>Santiago</t>
        </is>
      </c>
      <c r="D317" s="66" t="inlineStr">
        <is>
          <t>ethics@capdrill.com</t>
        </is>
      </c>
      <c r="E317" s="66" t="inlineStr">
        <is>
          <t>(56) 2 2738 6640</t>
        </is>
      </c>
      <c r="F317" s="66" t="n"/>
      <c r="G317" s="66" t="n"/>
      <c r="H317" s="66" t="n"/>
      <c r="I317" s="66" t="inlineStr">
        <is>
          <t>76.092.489-K</t>
        </is>
      </c>
      <c r="J317" s="66" t="n"/>
      <c r="K317" s="66" t="inlineStr">
        <is>
          <t>Ventas: MICRO 1 (0.01 - 200 UF) | Empleados: 0</t>
        </is>
      </c>
      <c r="L317" s="61" t="n"/>
      <c r="M317" s="61" t="n"/>
      <c r="N317" s="61" t="n"/>
      <c r="O317" s="61" t="n"/>
      <c r="P317" s="61" t="n"/>
      <c r="Q317" s="62" t="n"/>
      <c r="R317" s="61" t="n"/>
    </row>
    <row r="318" ht="15.75" customHeight="1" s="38">
      <c r="A318" s="66" t="inlineStr">
        <is>
          <t>Carbo Chile S.A.</t>
        </is>
      </c>
      <c r="B318" s="66" t="inlineStr">
        <is>
          <t>Aislantes Térmicos</t>
        </is>
      </c>
      <c r="C318" s="66" t="inlineStr">
        <is>
          <t>Santiago</t>
        </is>
      </c>
      <c r="D318" s="66" t="inlineStr">
        <is>
          <t>carbochile@carbochile.cl</t>
        </is>
      </c>
      <c r="E318" s="66" t="inlineStr">
        <is>
          <t>(56) 2 2854 1064</t>
        </is>
      </c>
      <c r="F318" s="66" t="n"/>
      <c r="G318" s="66" t="n"/>
      <c r="H318" s="66" t="n"/>
      <c r="I318" s="66" t="inlineStr">
        <is>
          <t>96.790.460-0</t>
        </is>
      </c>
      <c r="J318" s="66" t="n"/>
      <c r="K318" s="66" t="inlineStr">
        <is>
          <t>Ventas: GRANDE 2 (200.000 - 600.000 UF) | Empleados: 27</t>
        </is>
      </c>
      <c r="L318" s="61" t="n"/>
      <c r="M318" s="61" t="n"/>
      <c r="N318" s="61" t="n"/>
      <c r="O318" s="61" t="n"/>
      <c r="P318" s="61" t="n"/>
      <c r="Q318" s="62" t="n"/>
      <c r="R318" s="61" t="n"/>
    </row>
    <row r="319" ht="15.75" customHeight="1" s="38">
      <c r="A319" s="66" t="inlineStr">
        <is>
          <t>CarbonFree Chile</t>
        </is>
      </c>
      <c r="B319" s="66" t="inlineStr">
        <is>
          <t>Desarrollo y Financiamiento de Proyectos Solares</t>
        </is>
      </c>
      <c r="C319" s="66" t="inlineStr">
        <is>
          <t>Santiago</t>
        </is>
      </c>
      <c r="D319" s="66" t="n"/>
      <c r="E319" s="66" t="inlineStr">
        <is>
          <t>(56) 9 4116 4592</t>
        </is>
      </c>
      <c r="F319" s="66" t="n"/>
      <c r="G319" s="66" t="n"/>
      <c r="H319" s="66" t="n"/>
      <c r="I319" s="66" t="inlineStr">
        <is>
          <t>76727466-1</t>
        </is>
      </c>
      <c r="J319" s="66" t="n"/>
      <c r="K319" s="66" t="inlineStr">
        <is>
          <t>Ventas: DATO NO DECLARADO EN SII | Empleados: 0</t>
        </is>
      </c>
      <c r="L319" s="61" t="n"/>
      <c r="M319" s="61" t="n"/>
      <c r="N319" s="61" t="n"/>
      <c r="O319" s="61" t="n"/>
      <c r="P319" s="61" t="n"/>
      <c r="Q319" s="62" t="n"/>
      <c r="R319" s="61" t="n"/>
    </row>
    <row r="320" ht="15.75" customHeight="1" s="38">
      <c r="A320" s="66" t="inlineStr">
        <is>
          <t>Cargocorp Logistics SpA</t>
        </is>
      </c>
      <c r="B320" s="66" t="inlineStr">
        <is>
          <t>Servicios de Transporte</t>
        </is>
      </c>
      <c r="C320" s="66" t="inlineStr">
        <is>
          <t>Santiago</t>
        </is>
      </c>
      <c r="D320" s="66" t="inlineStr">
        <is>
          <t>chile@cargocorp.com</t>
        </is>
      </c>
      <c r="E320" s="66" t="inlineStr">
        <is>
          <t>(56) 9 8231 7375</t>
        </is>
      </c>
      <c r="F320" s="66" t="n"/>
      <c r="G320" s="66" t="n"/>
      <c r="H320" s="66" t="n"/>
      <c r="I320" s="66" t="inlineStr">
        <is>
          <t>76858685-3</t>
        </is>
      </c>
      <c r="J320" s="66" t="n"/>
      <c r="K320" s="66" t="inlineStr">
        <is>
          <t>Ventas: GRANDE 1 (100.000 - 200.000 UF) | Empleados: 21</t>
        </is>
      </c>
      <c r="L320" s="61" t="n"/>
      <c r="M320" s="61" t="n"/>
      <c r="N320" s="61" t="n"/>
      <c r="O320" s="61" t="n"/>
      <c r="P320" s="61" t="n"/>
      <c r="Q320" s="62" t="n"/>
      <c r="R320" s="61" t="n"/>
    </row>
    <row r="321" ht="15.75" customHeight="1" s="38">
      <c r="A321" s="66" t="inlineStr">
        <is>
          <t>Cariola Diez Pérez-Cotapos</t>
        </is>
      </c>
      <c r="B321" s="66" t="inlineStr">
        <is>
          <t>Asesorías Jurídicas en Minería, Servicios Legales</t>
        </is>
      </c>
      <c r="C321" s="66" t="inlineStr">
        <is>
          <t>Santiago</t>
        </is>
      </c>
      <c r="D321" s="66" t="inlineStr">
        <is>
          <t>cariola@cariola.cl</t>
        </is>
      </c>
      <c r="E321" s="66" t="inlineStr">
        <is>
          <t>(56) 2 2360 4000</t>
        </is>
      </c>
      <c r="F321" s="66" t="n"/>
      <c r="G321" s="66" t="n"/>
      <c r="H321" s="66" t="n"/>
      <c r="I321" s="66" t="inlineStr">
        <is>
          <t>79.589.710-0</t>
        </is>
      </c>
      <c r="J321" s="66" t="n"/>
      <c r="K321" s="66" t="inlineStr">
        <is>
          <t>Ventas: GRANDE 3 (600.000 - 1.000.000 UF) | Empleados: 147</t>
        </is>
      </c>
      <c r="L321" s="61" t="n"/>
      <c r="M321" s="61" t="n"/>
      <c r="N321" s="61" t="n"/>
      <c r="O321" s="61" t="n"/>
      <c r="P321" s="61" t="n"/>
      <c r="Q321" s="62" t="n"/>
      <c r="R321" s="61" t="n"/>
    </row>
    <row r="322" ht="15.75" customHeight="1" s="38">
      <c r="A322" s="66" t="inlineStr">
        <is>
          <t>Carpas Gillibrand</t>
        </is>
      </c>
      <c r="B322" s="66" t="inlineStr">
        <is>
          <t>Carpas y Toldos, Cobertores para Equipos</t>
        </is>
      </c>
      <c r="C322" s="66" t="inlineStr">
        <is>
          <t>Santiago</t>
        </is>
      </c>
      <c r="D322" s="66" t="inlineStr">
        <is>
          <t>ventas@carpasgillibrand.cl</t>
        </is>
      </c>
      <c r="E322" s="66" t="inlineStr">
        <is>
          <t>(56) 2 2521 2777</t>
        </is>
      </c>
      <c r="F322" s="66" t="n"/>
      <c r="G322" s="66" t="n"/>
      <c r="H322" s="66" t="n"/>
      <c r="I322" s="66" t="inlineStr">
        <is>
          <t>96.90.4260-6</t>
        </is>
      </c>
      <c r="J322" s="66" t="n"/>
      <c r="K322" s="66" t="inlineStr">
        <is>
          <t>Ventas: MEDIANA 1 (25.000 - 50.000 UF) | Empleados: 22</t>
        </is>
      </c>
      <c r="L322" s="61" t="n"/>
      <c r="M322" s="61" t="n"/>
      <c r="N322" s="61" t="n"/>
      <c r="O322" s="61" t="n"/>
      <c r="P322" s="61" t="n"/>
      <c r="Q322" s="62" t="n"/>
      <c r="R322" s="61" t="n"/>
    </row>
    <row r="323" ht="15.75" customHeight="1" s="38">
      <c r="A323" s="66" t="inlineStr">
        <is>
          <t>Carpas Hangar Minería</t>
        </is>
      </c>
      <c r="B323" s="66" t="inlineStr">
        <is>
          <t>Proveedor Destacado, Carpas con Estructura Metálica, Carpas Hangar para Faenas Mineras, Carpas Hangar Sondaje, Carpas Hangar Térmicas</t>
        </is>
      </c>
      <c r="C323" s="66" t="inlineStr">
        <is>
          <t>Santiago</t>
        </is>
      </c>
      <c r="D323" s="66" t="inlineStr">
        <is>
          <t>ventas@carpashidalgo.cl</t>
        </is>
      </c>
      <c r="E323" s="66" t="inlineStr">
        <is>
          <t>(56) 2 2699 0336</t>
        </is>
      </c>
      <c r="F323" s="66" t="n"/>
      <c r="G323" s="66" t="n"/>
      <c r="H323" s="66" t="inlineStr">
        <is>
          <t>http://www.carpashidalgo.cl</t>
        </is>
      </c>
      <c r="I323" s="66" t="inlineStr">
        <is>
          <t>76.115.340-4</t>
        </is>
      </c>
      <c r="J323" s="66" t="n"/>
      <c r="K323" s="66" t="inlineStr">
        <is>
          <t>Ventas: MEDIANA 1 (25.000 - 50.000 UF) | Empleados: 6</t>
        </is>
      </c>
      <c r="L323" s="61" t="n"/>
      <c r="M323" s="61" t="n"/>
      <c r="N323" s="61" t="n"/>
      <c r="O323" s="61" t="n"/>
      <c r="P323" s="61" t="n"/>
      <c r="Q323" s="62" t="n"/>
      <c r="R323" s="61" t="n"/>
    </row>
    <row r="324" ht="15.75" customHeight="1" s="38">
      <c r="A324" s="66" t="inlineStr">
        <is>
          <t>Carpas y Domos Ltda.</t>
        </is>
      </c>
      <c r="B324" s="66" t="inlineStr">
        <is>
          <t>Carpas, Domos</t>
        </is>
      </c>
      <c r="C324" s="66" t="inlineStr">
        <is>
          <t>Concepción</t>
        </is>
      </c>
      <c r="D324" s="66" t="inlineStr">
        <is>
          <t>contacto@carpasydomos.cl</t>
        </is>
      </c>
      <c r="E324" s="66" t="inlineStr">
        <is>
          <t>(56) 9 9444 6845</t>
        </is>
      </c>
      <c r="F324" s="66" t="n"/>
      <c r="G324" s="66" t="n"/>
      <c r="H324" s="66" t="n"/>
      <c r="I324" s="66" t="inlineStr">
        <is>
          <t>76.323.656-0</t>
        </is>
      </c>
      <c r="J324" s="66" t="n"/>
      <c r="K324" s="66" t="inlineStr">
        <is>
          <t>Ventas: MEDIANA 2 (50.000 - 100.000 UF) | Empleados: 5</t>
        </is>
      </c>
      <c r="L324" s="61" t="n"/>
      <c r="M324" s="61" t="n"/>
      <c r="N324" s="61" t="n"/>
      <c r="O324" s="61" t="n"/>
      <c r="P324" s="61" t="n"/>
      <c r="Q324" s="62" t="n"/>
      <c r="R324" s="61" t="n"/>
    </row>
    <row r="325" ht="15.75" customHeight="1" s="38">
      <c r="A325" s="66" t="inlineStr">
        <is>
          <t>Carr y Cía. S.A.</t>
        </is>
      </c>
      <c r="B325" s="66" t="inlineStr">
        <is>
          <t>Acoplamientos Mecánicos, Reductores</t>
        </is>
      </c>
      <c r="C325" s="66" t="inlineStr">
        <is>
          <t>Santiago</t>
        </is>
      </c>
      <c r="D325" s="66" t="inlineStr">
        <is>
          <t>carr@carr.cl</t>
        </is>
      </c>
      <c r="E325" s="66" t="inlineStr">
        <is>
          <t>(56) 9 5001 2474</t>
        </is>
      </c>
      <c r="F325" s="66" t="n"/>
      <c r="G325" s="66" t="n"/>
      <c r="H325" s="66" t="n"/>
      <c r="I325" s="66" t="inlineStr">
        <is>
          <t>91.264.000-0</t>
        </is>
      </c>
      <c r="J325" s="66" t="n"/>
      <c r="K325" s="66" t="inlineStr">
        <is>
          <t>Ventas: MEDIANA 2 (50.000 - 100.000 UF) | Empleados: 11</t>
        </is>
      </c>
      <c r="L325" s="61" t="n"/>
      <c r="M325" s="61" t="n"/>
      <c r="N325" s="61" t="n"/>
      <c r="O325" s="61" t="n"/>
      <c r="P325" s="61" t="n"/>
      <c r="Q325" s="62" t="n"/>
      <c r="R325" s="61" t="n"/>
    </row>
    <row r="326" ht="15.75" customHeight="1" s="38">
      <c r="A326" s="66" t="inlineStr">
        <is>
          <t>CARS Chile</t>
        </is>
      </c>
      <c r="B326" s="66" t="inlineStr">
        <is>
          <t>Cadenas de Acero, Resortes Espirales</t>
        </is>
      </c>
      <c r="C326" s="66" t="inlineStr">
        <is>
          <t>Santiago</t>
        </is>
      </c>
      <c r="D326" s="66" t="inlineStr">
        <is>
          <t>info@carschile.cl</t>
        </is>
      </c>
      <c r="E326" s="66" t="inlineStr">
        <is>
          <t>(56) 2 2857 1183</t>
        </is>
      </c>
      <c r="F326" s="66" t="n"/>
      <c r="G326" s="66" t="n"/>
      <c r="H326" s="66" t="n"/>
      <c r="I326" s="66" t="inlineStr">
        <is>
          <t>81.697.200-0</t>
        </is>
      </c>
      <c r="J326" s="66" t="n"/>
      <c r="K326" s="66" t="inlineStr">
        <is>
          <t>Ventas: GRANDE 1 (100.000 - 200.000 UF) | Empleados: 38</t>
        </is>
      </c>
      <c r="L326" s="61" t="n"/>
      <c r="M326" s="61" t="n"/>
      <c r="N326" s="61" t="n"/>
      <c r="O326" s="61" t="n"/>
      <c r="P326" s="61" t="n"/>
      <c r="Q326" s="62" t="n"/>
      <c r="R326" s="61" t="n"/>
    </row>
    <row r="327" ht="15.75" customHeight="1" s="38">
      <c r="A327" s="66" t="inlineStr">
        <is>
          <t>Casagrande Motori Ltda.</t>
        </is>
      </c>
      <c r="B327" s="66" t="inlineStr">
        <is>
          <t>Rectificación de Motores, Repuestos Hidráulicos</t>
        </is>
      </c>
      <c r="C327" s="66" t="inlineStr">
        <is>
          <t>Santiago</t>
        </is>
      </c>
      <c r="D327" s="66" t="inlineStr">
        <is>
          <t>info@casagrandemotori.cl</t>
        </is>
      </c>
      <c r="E327" s="66" t="inlineStr">
        <is>
          <t>(56) 2 2222 4849</t>
        </is>
      </c>
      <c r="F327" s="66" t="n"/>
      <c r="G327" s="66" t="n"/>
      <c r="H327" s="66" t="n"/>
      <c r="I327" s="66" t="inlineStr">
        <is>
          <t>88.534.100-4</t>
        </is>
      </c>
      <c r="J327" s="66" t="n"/>
      <c r="K327" s="66" t="inlineStr">
        <is>
          <t>Ventas: GRANDE 1 (100.000 - 200.000 UF) | Empleados: 63</t>
        </is>
      </c>
      <c r="L327" s="61" t="n"/>
      <c r="M327" s="61" t="n"/>
      <c r="N327" s="61" t="n"/>
      <c r="O327" s="61" t="n"/>
      <c r="P327" s="61" t="n"/>
      <c r="Q327" s="62" t="n"/>
      <c r="R327" s="61" t="n"/>
    </row>
    <row r="328" ht="15.75" customHeight="1" s="38">
      <c r="A328" s="66" t="inlineStr">
        <is>
          <t>Caserones</t>
        </is>
      </c>
      <c r="B328" s="66" t="inlineStr">
        <is>
          <t>Cátodos de Cobre, Concentrado de Cobre, Concentrado de Molibdeno</t>
        </is>
      </c>
      <c r="C328" s="66" t="inlineStr">
        <is>
          <t>Santiago</t>
        </is>
      </c>
      <c r="D328" s="66" t="inlineStr">
        <is>
          <t>comunicaciones@caserones.cl</t>
        </is>
      </c>
      <c r="E328" s="66" t="inlineStr">
        <is>
          <t>(56) 2 2628 5000</t>
        </is>
      </c>
      <c r="F328" s="66" t="n"/>
      <c r="G328" s="66" t="n"/>
      <c r="H328" s="66" t="n"/>
      <c r="I328" s="66" t="inlineStr">
        <is>
          <t>99.531.960-8</t>
        </is>
      </c>
      <c r="J328" s="66" t="n"/>
      <c r="K328" s="66" t="inlineStr">
        <is>
          <t>Ventas: GRANDE (Estimado por Empleados) | Empleados: 1122</t>
        </is>
      </c>
      <c r="L328" s="61" t="n"/>
      <c r="M328" s="61" t="n"/>
      <c r="N328" s="61" t="n"/>
      <c r="O328" s="61" t="n"/>
      <c r="P328" s="61" t="n"/>
      <c r="Q328" s="62" t="n"/>
      <c r="R328" s="61" t="n"/>
    </row>
    <row r="329" ht="15.75" customHeight="1" s="38">
      <c r="A329" s="66" t="inlineStr">
        <is>
          <t>Casia by Ceibo</t>
        </is>
      </c>
      <c r="B329" s="66" t="inlineStr">
        <is>
          <t>Proveedor Destacado, Servicios Integrales para Control de Emisiones, Supresores de Polvo para Caminos Mineros y otras fuentes de generación, Sustentabilidad: menos consumo de agua, más captura de polvo y operaciones más seguras para las personas, Tecnología Aplicada: información y análisis en tiempo real</t>
        </is>
      </c>
      <c r="C329" s="66" t="inlineStr">
        <is>
          <t>Santiago</t>
        </is>
      </c>
      <c r="D329" s="66" t="inlineStr">
        <is>
          <t>sales@ceibo.bio</t>
        </is>
      </c>
      <c r="E329" s="66" t="inlineStr">
        <is>
          <t>(56) 9 6133 5242</t>
        </is>
      </c>
      <c r="F329" s="66" t="n"/>
      <c r="G329" s="66" t="n"/>
      <c r="H329" s="66" t="inlineStr">
        <is>
          <t>http://www.ceibo.bio</t>
        </is>
      </c>
      <c r="I329" s="66" t="inlineStr">
        <is>
          <t>96.596.370-7</t>
        </is>
      </c>
      <c r="J329" s="66" t="n"/>
      <c r="K329" s="66" t="inlineStr">
        <is>
          <t>Ventas: GRANDE 2 (200.000 - 600.000 UF) | Empleados: 58</t>
        </is>
      </c>
      <c r="L329" s="61" t="n"/>
      <c r="M329" s="61" t="n"/>
      <c r="N329" s="61" t="n"/>
      <c r="O329" s="61" t="n"/>
      <c r="P329" s="61" t="n"/>
      <c r="Q329" s="62" t="n"/>
      <c r="R329" s="61" t="n"/>
    </row>
    <row r="330" ht="15.75" customHeight="1" s="38">
      <c r="A330" s="66" t="inlineStr">
        <is>
          <t>Casino Express</t>
        </is>
      </c>
      <c r="B330" s="66" t="inlineStr">
        <is>
          <t>Servicios de Alimentación</t>
        </is>
      </c>
      <c r="C330" s="66" t="inlineStr">
        <is>
          <t>Santiago</t>
        </is>
      </c>
      <c r="D330" s="66" t="inlineStr">
        <is>
          <t>comercial@casinoexpress.cl</t>
        </is>
      </c>
      <c r="E330" s="66" t="inlineStr">
        <is>
          <t>(56) 9 5749 4028</t>
        </is>
      </c>
      <c r="F330" s="66" t="n"/>
      <c r="G330" s="66" t="n"/>
      <c r="H330" s="66" t="n"/>
      <c r="I330" s="66" t="inlineStr">
        <is>
          <t>78.793.360-2</t>
        </is>
      </c>
      <c r="J330" s="66" t="n"/>
      <c r="K330" s="66" t="inlineStr">
        <is>
          <t>Ventas: GRANDE (Estimado por Empleados) | Empleados: 3302</t>
        </is>
      </c>
      <c r="L330" s="61" t="n"/>
      <c r="M330" s="61" t="n"/>
      <c r="N330" s="61" t="n"/>
      <c r="O330" s="61" t="n"/>
      <c r="P330" s="61" t="n"/>
      <c r="Q330" s="62" t="n"/>
      <c r="R330" s="61" t="n"/>
    </row>
    <row r="331" ht="15.75" customHeight="1" s="38">
      <c r="A331" s="66" t="inlineStr">
        <is>
          <t>Casinos River Ltda.</t>
        </is>
      </c>
      <c r="B331" s="66" t="inlineStr">
        <is>
          <t>Aseo Industrial, Servicios de Gastronomía</t>
        </is>
      </c>
      <c r="C331" s="66" t="inlineStr">
        <is>
          <t>Antofagasta</t>
        </is>
      </c>
      <c r="D331" s="66" t="inlineStr">
        <is>
          <t>informaciones@casinosriver.cl</t>
        </is>
      </c>
      <c r="E331" s="66" t="inlineStr">
        <is>
          <t>(56) 55 226 0670</t>
        </is>
      </c>
      <c r="F331" s="66" t="n"/>
      <c r="G331" s="66" t="n"/>
      <c r="H331" s="66" t="n"/>
      <c r="I331" s="66" t="inlineStr">
        <is>
          <t>77.393.120-8</t>
        </is>
      </c>
      <c r="J331" s="66" t="n"/>
      <c r="K331" s="66" t="inlineStr">
        <is>
          <t>Ventas: GRANDE 3 (600.000 - 1.000.000 UF) | Empleados: 339</t>
        </is>
      </c>
      <c r="L331" s="61" t="n"/>
      <c r="M331" s="61" t="n"/>
      <c r="N331" s="61" t="n"/>
      <c r="O331" s="61" t="n"/>
      <c r="P331" s="61" t="n"/>
      <c r="Q331" s="62" t="n"/>
      <c r="R331" s="61" t="n"/>
    </row>
    <row r="332" ht="15.75" customHeight="1" s="38">
      <c r="A332" s="66" t="inlineStr">
        <is>
          <t>Castro Ingeniería</t>
        </is>
      </c>
      <c r="B332" s="66" t="inlineStr">
        <is>
          <t>Consultoría e Ingeniería en Procesos de Plantas Concentradoras</t>
        </is>
      </c>
      <c r="C332" s="66" t="inlineStr">
        <is>
          <t>Santiago</t>
        </is>
      </c>
      <c r="D332" s="66" t="inlineStr">
        <is>
          <t>info@castroingenieria.cl</t>
        </is>
      </c>
      <c r="E332" s="66" t="inlineStr">
        <is>
          <t>(56) 2 2758 5046</t>
        </is>
      </c>
      <c r="F332" s="66" t="n"/>
      <c r="G332" s="66" t="n"/>
      <c r="H332" s="66" t="n"/>
      <c r="I332" s="66" t="inlineStr">
        <is>
          <t>77.552.280-1</t>
        </is>
      </c>
      <c r="J332" s="66" t="n"/>
      <c r="K332" s="66" t="inlineStr">
        <is>
          <t>Ventas: GRANDE 1 (100.000 - 200.000 UF) | Empleados: 73</t>
        </is>
      </c>
      <c r="L332" s="61" t="n"/>
      <c r="M332" s="61" t="n"/>
      <c r="N332" s="61" t="n"/>
      <c r="O332" s="61" t="n"/>
      <c r="P332" s="61" t="n"/>
      <c r="Q332" s="62" t="n"/>
      <c r="R332" s="61" t="n"/>
    </row>
    <row r="333" ht="15.75" customHeight="1" s="38">
      <c r="A333" s="66" t="inlineStr">
        <is>
          <t>Catanoor</t>
        </is>
      </c>
      <c r="B333" s="66" t="inlineStr">
        <is>
          <t>Administración y Ejecución de Proyectos, Sistemas de Control de Incendios</t>
        </is>
      </c>
      <c r="C333" s="66" t="inlineStr">
        <is>
          <t>Antofagasta</t>
        </is>
      </c>
      <c r="D333" s="66" t="inlineStr">
        <is>
          <t>contacto@catanoor.cl</t>
        </is>
      </c>
      <c r="E333" s="66" t="inlineStr">
        <is>
          <t>(56) 9 4030 4925</t>
        </is>
      </c>
      <c r="F333" s="66" t="n"/>
      <c r="G333" s="66" t="n"/>
      <c r="H333" s="66" t="n"/>
      <c r="I333" s="66" t="inlineStr">
        <is>
          <t>77054065-8</t>
        </is>
      </c>
      <c r="J333" s="66" t="n"/>
      <c r="K333" s="66" t="inlineStr">
        <is>
          <t>Ventas: MEDIANA 2 (50.000 - 100.000 UF) | Empleados: 11</t>
        </is>
      </c>
      <c r="L333" s="61" t="n"/>
      <c r="M333" s="61" t="n"/>
      <c r="N333" s="61" t="n"/>
      <c r="O333" s="61" t="n"/>
      <c r="P333" s="61" t="n"/>
      <c r="Q333" s="62" t="n"/>
      <c r="R333" s="61" t="n"/>
    </row>
    <row r="334" ht="15.75" customHeight="1" s="38">
      <c r="A334" s="66" t="inlineStr">
        <is>
          <t>Catari Chile</t>
        </is>
      </c>
      <c r="B334" s="66" t="inlineStr">
        <is>
          <t>Proveedor Destacado, Anclajes para Andamios, Andamios, Plataformas para Trabajos en Altura, Servicios de Ingeniería, Servicios de Instrucción de Obra, Servicios de Premontaje, Sistemas de Andamios Autoportantes, Sistemas de Andamios Móviles, Sistemas de Andamios Suspendidos, Torres Escalera, Venta y Arriendo de Andamios</t>
        </is>
      </c>
      <c r="C334" s="66" t="inlineStr">
        <is>
          <t>Antofagasta</t>
        </is>
      </c>
      <c r="D334" s="66" t="inlineStr">
        <is>
          <t>info@catari-chile.cl</t>
        </is>
      </c>
      <c r="E334" s="66" t="inlineStr">
        <is>
          <t>(56) 2 3223 5030</t>
        </is>
      </c>
      <c r="F334" s="66" t="n"/>
      <c r="G334" s="66" t="n"/>
      <c r="H334" s="66" t="inlineStr">
        <is>
          <t>http://www.catarigroup.com/es/</t>
        </is>
      </c>
      <c r="I334" s="66" t="inlineStr">
        <is>
          <t>76.150.978-0</t>
        </is>
      </c>
      <c r="J334" s="66" t="n"/>
      <c r="K334" s="66" t="inlineStr">
        <is>
          <t>Ventas: GRANDE 2 (200.000 - 600.000 UF) | Empleados: 78</t>
        </is>
      </c>
      <c r="L334" s="61" t="n"/>
      <c r="M334" s="61" t="n"/>
      <c r="N334" s="61" t="n"/>
      <c r="O334" s="61" t="n"/>
      <c r="P334" s="61" t="n"/>
      <c r="Q334" s="62" t="n"/>
      <c r="R334" s="61" t="n"/>
    </row>
    <row r="335" ht="15.75" customHeight="1" s="38">
      <c r="A335" s="66" t="inlineStr">
        <is>
          <t>CathPro</t>
        </is>
      </c>
      <c r="B335" s="66" t="inlineStr">
        <is>
          <t>Sistemas de Protección Catódica</t>
        </is>
      </c>
      <c r="C335" s="66" t="inlineStr">
        <is>
          <t>Santiago</t>
        </is>
      </c>
      <c r="D335" s="66" t="inlineStr">
        <is>
          <t>npaniagua@cathpro.cl</t>
        </is>
      </c>
      <c r="E335" s="66" t="inlineStr">
        <is>
          <t>(56) 2 2495 7705</t>
        </is>
      </c>
      <c r="F335" s="66" t="n"/>
      <c r="G335" s="66" t="n"/>
      <c r="H335" s="66" t="n"/>
      <c r="I335" s="66" t="inlineStr">
        <is>
          <t>76.243.957-3</t>
        </is>
      </c>
      <c r="J335" s="66" t="n"/>
      <c r="K335" s="66" t="inlineStr">
        <is>
          <t>Ventas: GRANDE 2 (200.000 - 600.000 UF) | Empleados: 68</t>
        </is>
      </c>
      <c r="L335" s="61" t="n"/>
      <c r="M335" s="61" t="n"/>
      <c r="N335" s="61" t="n"/>
      <c r="O335" s="61" t="n"/>
      <c r="P335" s="61" t="n"/>
      <c r="Q335" s="62" t="n"/>
      <c r="R335" s="61" t="n"/>
    </row>
    <row r="336" ht="15.75" customHeight="1" s="38">
      <c r="A336" s="66" t="inlineStr">
        <is>
          <t>Cauchos Industriales S.A.</t>
        </is>
      </c>
      <c r="B336" s="66" t="inlineStr">
        <is>
          <t>Cauchos Industriales, Soluciones para la Corrosión</t>
        </is>
      </c>
      <c r="C336" s="66" t="inlineStr">
        <is>
          <t>Santiago</t>
        </is>
      </c>
      <c r="D336" s="66" t="inlineStr">
        <is>
          <t>gerencia@cainsa.cl</t>
        </is>
      </c>
      <c r="E336" s="66" t="inlineStr">
        <is>
          <t>(56) 2 2589 2777</t>
        </is>
      </c>
      <c r="F336" s="66" t="n"/>
      <c r="G336" s="66" t="n"/>
      <c r="H336" s="66" t="n"/>
      <c r="I336" s="66" t="inlineStr">
        <is>
          <t>95.748.000-4</t>
        </is>
      </c>
      <c r="J336" s="66" t="n"/>
      <c r="K336" s="66" t="inlineStr">
        <is>
          <t>Ventas: GRANDE 3 (600.000 - 1.000.000 UF) | Empleados: 393</t>
        </is>
      </c>
      <c r="L336" s="61" t="n"/>
      <c r="M336" s="61" t="n"/>
      <c r="N336" s="61" t="n"/>
      <c r="O336" s="61" t="n"/>
      <c r="P336" s="61" t="n"/>
      <c r="Q336" s="62" t="n"/>
      <c r="R336" s="61" t="n"/>
    </row>
    <row r="337" ht="15.75" customHeight="1" s="38">
      <c r="A337" s="66" t="inlineStr">
        <is>
          <t>Cauchoval S.A.</t>
        </is>
      </c>
      <c r="B337" s="66" t="inlineStr">
        <is>
          <t>Artículos de Goma, Correas Transportadoras</t>
        </is>
      </c>
      <c r="C337" s="66" t="inlineStr">
        <is>
          <t>Santiago</t>
        </is>
      </c>
      <c r="D337" s="66" t="inlineStr">
        <is>
          <t>ventas@cauchoval.cl</t>
        </is>
      </c>
      <c r="E337" s="66" t="inlineStr">
        <is>
          <t>(56) 2 2411 3800</t>
        </is>
      </c>
      <c r="F337" s="66" t="n"/>
      <c r="G337" s="66" t="n"/>
      <c r="H337" s="66" t="n"/>
      <c r="I337" s="66" t="inlineStr">
        <is>
          <t>89.614.700-5</t>
        </is>
      </c>
      <c r="J337" s="66" t="n"/>
      <c r="K337" s="66" t="inlineStr">
        <is>
          <t>Ventas: GRANDE 2 (200.000 - 600.000 UF) | Empleados: 167</t>
        </is>
      </c>
      <c r="L337" s="61" t="n"/>
      <c r="M337" s="61" t="n"/>
      <c r="N337" s="61" t="n"/>
      <c r="O337" s="61" t="n"/>
      <c r="P337" s="61" t="n"/>
      <c r="Q337" s="62" t="n"/>
      <c r="R337" s="61" t="n"/>
    </row>
    <row r="338" ht="15.75" customHeight="1" s="38">
      <c r="A338" s="66" t="inlineStr">
        <is>
          <t>Causse Ingenieros Civiles Asociados S.A.</t>
        </is>
      </c>
      <c r="B338" s="66" t="inlineStr">
        <is>
          <t>Servicios de Ingeniería</t>
        </is>
      </c>
      <c r="C338" s="66" t="inlineStr">
        <is>
          <t>Santiago</t>
        </is>
      </c>
      <c r="D338" s="66" t="inlineStr">
        <is>
          <t>causse@causse.cl</t>
        </is>
      </c>
      <c r="E338" s="66" t="inlineStr">
        <is>
          <t>(56) 2 2696 5396</t>
        </is>
      </c>
      <c r="F338" s="66" t="n"/>
      <c r="G338" s="66" t="n"/>
      <c r="H338" s="66" t="n"/>
      <c r="I338" s="66" t="inlineStr">
        <is>
          <t>78.759.000-4</t>
        </is>
      </c>
      <c r="J338" s="66" t="n"/>
      <c r="K338" s="66" t="inlineStr">
        <is>
          <t>Ventas: MEDIANA 1 (25.000 - 50.000 UF) | Empleados: 21</t>
        </is>
      </c>
      <c r="L338" s="61" t="n"/>
      <c r="M338" s="61" t="n"/>
      <c r="N338" s="61" t="n"/>
      <c r="O338" s="61" t="n"/>
      <c r="P338" s="61" t="n"/>
      <c r="Q338" s="62" t="n"/>
      <c r="R338" s="61" t="n"/>
    </row>
    <row r="339" ht="15.75" customHeight="1" s="38">
      <c r="A339" s="59" t="inlineStr">
        <is>
          <t>Caxtor</t>
        </is>
      </c>
      <c r="B339" s="59" t="inlineStr">
        <is>
          <t>Energía Solar</t>
        </is>
      </c>
      <c r="C339" s="59" t="inlineStr">
        <is>
          <t>Santiago</t>
        </is>
      </c>
      <c r="D339" s="59" t="inlineStr">
        <is>
          <t>info@caxtor.cl</t>
        </is>
      </c>
      <c r="E339" s="59" t="inlineStr">
        <is>
          <t>(56) 2 2791 9662</t>
        </is>
      </c>
      <c r="F339" s="59" t="inlineStr">
        <is>
          <t>Brian Smith Hanne (Gte Comercial)</t>
        </is>
      </c>
      <c r="G339" s="59" t="n"/>
      <c r="H339" s="59" t="n"/>
      <c r="I339" s="59" t="inlineStr">
        <is>
          <t>76.152.409-7</t>
        </is>
      </c>
      <c r="J339" s="59" t="inlineStr">
        <is>
          <t>Modernización Infraestructura Telecom &amp; Marítima</t>
        </is>
      </c>
      <c r="K339" s="59" t="inlineStr">
        <is>
          <t>Ventas: GRANDE 2 (200.000 - 600.000 UF) | Empleados: 36</t>
        </is>
      </c>
      <c r="L339" s="61" t="n"/>
      <c r="M339" s="61" t="n"/>
      <c r="N339" s="61" t="n"/>
      <c r="O339" s="61" t="n"/>
      <c r="P339" s="61" t="n"/>
      <c r="Q339" s="62" t="n"/>
      <c r="R339" s="61" t="n"/>
    </row>
    <row r="340" ht="15.75" customHeight="1" s="38">
      <c r="A340" s="66" t="inlineStr">
        <is>
          <t>Cbb Cales (Inacal S.A.)</t>
        </is>
      </c>
      <c r="B340" s="66" t="inlineStr">
        <is>
          <t>Proveedor Destacado, Cal Hidratada Industrial, Cal Viva</t>
        </is>
      </c>
      <c r="C340" s="66" t="inlineStr">
        <is>
          <t>Antofagasta</t>
        </is>
      </c>
      <c r="D340" s="66" t="inlineStr">
        <is>
          <t>cbbcales@cbb.cl</t>
        </is>
      </c>
      <c r="E340" s="66" t="inlineStr">
        <is>
          <t>(56) 55 264 5600</t>
        </is>
      </c>
      <c r="F340" s="66" t="n"/>
      <c r="G340" s="66" t="n"/>
      <c r="H340" s="66" t="inlineStr">
        <is>
          <t>http://www.cbb.cl/cales</t>
        </is>
      </c>
      <c r="I340" s="66" t="inlineStr">
        <is>
          <t>76.115.484-2</t>
        </is>
      </c>
      <c r="J340" s="66" t="n"/>
      <c r="K340" s="66" t="inlineStr">
        <is>
          <t>Ventas: GRANDE (Estimado por Empleados) | Empleados: 288</t>
        </is>
      </c>
      <c r="L340" s="61" t="n"/>
      <c r="M340" s="61" t="n"/>
      <c r="N340" s="61" t="n"/>
      <c r="O340" s="61" t="n"/>
      <c r="P340" s="61" t="n"/>
      <c r="Q340" s="62" t="n"/>
      <c r="R340" s="61" t="n"/>
    </row>
    <row r="341" ht="15.75" customHeight="1" s="38">
      <c r="A341" s="66" t="inlineStr">
        <is>
          <t>CCA Certificación</t>
        </is>
      </c>
      <c r="B341" s="66" t="inlineStr">
        <is>
          <t>Auditoría Medioambiental</t>
        </is>
      </c>
      <c r="C341" s="66" t="inlineStr">
        <is>
          <t>Santiago</t>
        </is>
      </c>
      <c r="D341" s="66" t="inlineStr">
        <is>
          <t>ascensores@ccacertificacion.cl</t>
        </is>
      </c>
      <c r="E341" s="66" t="inlineStr">
        <is>
          <t>(56) 2 2362 1380</t>
        </is>
      </c>
      <c r="F341" s="66" t="n"/>
      <c r="G341" s="66" t="n"/>
      <c r="H341" s="66" t="n"/>
      <c r="I341" s="66" t="inlineStr">
        <is>
          <t>78.671.543-5</t>
        </is>
      </c>
      <c r="J341" s="66" t="n"/>
      <c r="K341" s="66" t="inlineStr">
        <is>
          <t>Ventas: No en base SII | Empleados: S/I</t>
        </is>
      </c>
      <c r="L341" s="61" t="n"/>
      <c r="M341" s="61" t="n"/>
      <c r="N341" s="61" t="n"/>
      <c r="O341" s="61" t="n"/>
      <c r="P341" s="61" t="n"/>
      <c r="Q341" s="62" t="n"/>
      <c r="R341" s="61" t="n"/>
    </row>
    <row r="342" ht="15.75" customHeight="1" s="38">
      <c r="A342" s="66" t="inlineStr">
        <is>
          <t>CCI S.A.</t>
        </is>
      </c>
      <c r="B342" s="66" t="inlineStr">
        <is>
          <t>Productos Químicos para la Minería</t>
        </is>
      </c>
      <c r="C342" s="66" t="inlineStr">
        <is>
          <t>Santiago</t>
        </is>
      </c>
      <c r="D342" s="66" t="inlineStr">
        <is>
          <t>info@ccindustrial.cl</t>
        </is>
      </c>
      <c r="E342" s="66" t="inlineStr">
        <is>
          <t>(56) 2 2669 6980</t>
        </is>
      </c>
      <c r="F342" s="66" t="n"/>
      <c r="G342" s="66" t="n"/>
      <c r="H342" s="66" t="n"/>
      <c r="I342" s="66" t="inlineStr">
        <is>
          <t>77.506.270-3</t>
        </is>
      </c>
      <c r="J342" s="66" t="n"/>
      <c r="K342" s="66" t="inlineStr">
        <is>
          <t>Ventas: GRANDE 1 (100.000 - 200.000 UF) | Empleados: 7</t>
        </is>
      </c>
      <c r="L342" s="61" t="n"/>
      <c r="M342" s="61" t="n"/>
      <c r="N342" s="61" t="n"/>
      <c r="O342" s="61" t="n"/>
      <c r="P342" s="61" t="n"/>
      <c r="Q342" s="62" t="n"/>
      <c r="R342" s="61" t="n"/>
    </row>
    <row r="343" ht="15.75" customHeight="1" s="38">
      <c r="A343" s="66" t="inlineStr">
        <is>
          <t>CCM Coal Control Mining</t>
        </is>
      </c>
      <c r="B343" s="66" t="inlineStr">
        <is>
          <t>Sistemas de Protección para Correas Transportadoras, Vulcanización de Correas Transportadoras</t>
        </is>
      </c>
      <c r="C343" s="66" t="inlineStr">
        <is>
          <t>Santiago</t>
        </is>
      </c>
      <c r="D343" s="66" t="inlineStr">
        <is>
          <t>mauricio.sandoval@ccmining.cl</t>
        </is>
      </c>
      <c r="E343" s="66" t="inlineStr">
        <is>
          <t>(56) 2 2951 0466</t>
        </is>
      </c>
      <c r="F343" s="66" t="n"/>
      <c r="G343" s="66" t="n"/>
      <c r="H343" s="66" t="n"/>
      <c r="I343" s="66" t="inlineStr">
        <is>
          <t>76411839-1</t>
        </is>
      </c>
      <c r="J343" s="66" t="n"/>
      <c r="K343" s="66" t="inlineStr">
        <is>
          <t>Ventas: PEQUEÑA 3 (10.000 - 25.000 UF) | Empleados: 3</t>
        </is>
      </c>
      <c r="L343" s="61" t="n"/>
      <c r="M343" s="61" t="n"/>
      <c r="N343" s="61" t="n"/>
      <c r="O343" s="61" t="n"/>
      <c r="P343" s="61" t="n"/>
      <c r="Q343" s="62" t="n"/>
      <c r="R343" s="61" t="n"/>
    </row>
    <row r="344" ht="15.75" customHeight="1" s="38">
      <c r="A344" s="66" t="inlineStr">
        <is>
          <t>CDM Smith</t>
        </is>
      </c>
      <c r="B344" s="66" t="inlineStr">
        <is>
          <t>Proveedor Destacado, Contratos EPC - BOOT, Desalación, Reúso de Aguas, Suministro, Manejo y Tratamiento de Aguas</t>
        </is>
      </c>
      <c r="C344" s="66" t="inlineStr">
        <is>
          <t>Santiago</t>
        </is>
      </c>
      <c r="D344" s="66" t="inlineStr">
        <is>
          <t>chilecomercial@cdmsmith.com</t>
        </is>
      </c>
      <c r="E344" s="66" t="inlineStr">
        <is>
          <t>(56) 2 3213 9500</t>
        </is>
      </c>
      <c r="F344" s="66" t="n"/>
      <c r="G344" s="66" t="n"/>
      <c r="H344" s="66" t="inlineStr">
        <is>
          <t>http://www.cdmsmith.com/es/</t>
        </is>
      </c>
      <c r="I344" s="66" t="inlineStr">
        <is>
          <t>76.411.381-0</t>
        </is>
      </c>
      <c r="J344" s="66" t="n"/>
      <c r="K344" s="66" t="inlineStr">
        <is>
          <t>Ventas: GRANDE 2 (200.000 - 600.000 UF) | Empleados: 62</t>
        </is>
      </c>
      <c r="L344" s="61" t="n"/>
      <c r="M344" s="61" t="n"/>
      <c r="N344" s="61" t="n"/>
      <c r="O344" s="61" t="n"/>
      <c r="P344" s="61" t="n"/>
      <c r="Q344" s="62" t="n"/>
      <c r="R344" s="61" t="n"/>
    </row>
    <row r="345" ht="15.75" customHeight="1" s="38">
      <c r="A345" s="66" t="inlineStr">
        <is>
          <t>CDT Industrial Equipos de Levante</t>
        </is>
      </c>
      <c r="B345" s="66" t="inlineStr">
        <is>
          <t>Arriendo de Equipos para Izaje, Equipos para Izaje</t>
        </is>
      </c>
      <c r="C345" s="66" t="inlineStr">
        <is>
          <t>Santiago</t>
        </is>
      </c>
      <c r="D345" s="66" t="inlineStr">
        <is>
          <t>ventas@casadeltecle.cl</t>
        </is>
      </c>
      <c r="E345" s="66" t="inlineStr">
        <is>
          <t>(56) 2 2683 3106</t>
        </is>
      </c>
      <c r="F345" s="66" t="n"/>
      <c r="G345" s="66" t="n"/>
      <c r="H345" s="66" t="n"/>
      <c r="I345" s="66" t="inlineStr">
        <is>
          <t>77.273.090-K</t>
        </is>
      </c>
      <c r="J345" s="66" t="n"/>
      <c r="K345" s="66" t="inlineStr">
        <is>
          <t>Ventas: MEDIANA 1 (25.000 - 50.000 UF) | Empleados: 22</t>
        </is>
      </c>
      <c r="L345" s="61" t="n"/>
      <c r="M345" s="61" t="n"/>
      <c r="N345" s="61" t="n"/>
      <c r="O345" s="61" t="n"/>
      <c r="P345" s="61" t="n"/>
      <c r="Q345" s="62" t="n"/>
      <c r="R345" s="61" t="n"/>
    </row>
    <row r="346" ht="15.75" customHeight="1" s="38">
      <c r="A346" s="59" t="inlineStr">
        <is>
          <t>CEIM - Centro de Entrenamiento Industrial y Minero</t>
        </is>
      </c>
      <c r="B346" s="59" t="inlineStr">
        <is>
          <t>Proveedor Destacado, Capacitación, Capacitación de Personal, Capacitación de Soldadores, Capacitación en Especialidades Mineras, Capacitación en Mantenimiento de Equipos Pesados, Capacitación en Operación de Equipos Mineros, Capacitación en Operación de Grúas, Capacitación en Operación de Plantas Mineras, Capacitación en Seguridad y Psicolaboral, Educación para la Minería</t>
        </is>
      </c>
      <c r="C346" s="59" t="inlineStr">
        <is>
          <t>Antofagasta</t>
        </is>
      </c>
      <c r="D346" s="59" t="inlineStr">
        <is>
          <t>contacto@ceim.cl</t>
        </is>
      </c>
      <c r="E346" s="59" t="inlineStr">
        <is>
          <t>(56) 55 245 6001</t>
        </is>
      </c>
      <c r="F346" s="59" t="inlineStr">
        <is>
          <t>Milton Flores (Gerente Desarrollo Competencias)</t>
        </is>
      </c>
      <c r="G346" s="59" t="n"/>
      <c r="H346" s="59" t="inlineStr">
        <is>
          <t>http://www.ceim.cl</t>
        </is>
      </c>
      <c r="I346" s="59" t="inlineStr">
        <is>
          <t>74.191.400-K</t>
        </is>
      </c>
      <c r="J346" s="59" t="inlineStr">
        <is>
          <t>Digitalización Capacitación Minera</t>
        </is>
      </c>
      <c r="K346" s="59" t="inlineStr">
        <is>
          <t>Ventas: GRANDE 3 (600.000 - 1.000.000 UF) | Empleados: 184</t>
        </is>
      </c>
      <c r="L346" s="61" t="n"/>
      <c r="M346" s="61" t="n"/>
      <c r="N346" s="61" t="n"/>
      <c r="O346" s="61" t="n"/>
      <c r="P346" s="61" t="n"/>
      <c r="Q346" s="62" t="n"/>
      <c r="R346" s="61" t="n"/>
    </row>
    <row r="347" ht="15.75" customHeight="1" s="38">
      <c r="A347" s="59" t="inlineStr">
        <is>
          <t>CEIM Ltda. - Certificaciones y Servicios</t>
        </is>
      </c>
      <c r="B347" s="59" t="inlineStr">
        <is>
          <t>Proveedor Destacado, Asesorías en Mecánica, Asesorías en Minería, Asesorías en Procesos Mineros, Asesorías en Proyectos Industriales, Asesorías en Seguridad, Certificación de Competencias Laborales, Certificación de Equipos Mineros, Certificación de Grúas, Certificación de Operadores de Maquinarias y Equipos</t>
        </is>
      </c>
      <c r="C347" s="59" t="inlineStr">
        <is>
          <t>Antofagasta</t>
        </is>
      </c>
      <c r="D347" s="59" t="inlineStr">
        <is>
          <t>ventas2@ceim.cl</t>
        </is>
      </c>
      <c r="E347" s="59" t="inlineStr">
        <is>
          <t>(56) 55 245 6000</t>
        </is>
      </c>
      <c r="F347" s="59" t="inlineStr">
        <is>
          <t>Milton Flores (Gerente Desarrollo Competencias)</t>
        </is>
      </c>
      <c r="G347" s="59" t="n"/>
      <c r="H347" s="59" t="inlineStr">
        <is>
          <t>http://www.ceim.cl</t>
        </is>
      </c>
      <c r="I347" s="59" t="inlineStr">
        <is>
          <t>76.613.900-0</t>
        </is>
      </c>
      <c r="J347" s="59" t="inlineStr">
        <is>
          <t>Digitalización Capacitación Minera</t>
        </is>
      </c>
      <c r="K347" s="59" t="inlineStr">
        <is>
          <t>Ventas: GRANDE 3 (600.000 - 1.000.000 UF) | Empleados: 102</t>
        </is>
      </c>
      <c r="L347" s="61" t="n"/>
      <c r="M347" s="61" t="n"/>
      <c r="N347" s="61" t="n"/>
      <c r="O347" s="61" t="n"/>
      <c r="P347" s="61" t="n"/>
      <c r="Q347" s="62" t="n"/>
      <c r="R347" s="61" t="n"/>
    </row>
    <row r="348" ht="15.75" customHeight="1" s="38">
      <c r="A348" s="66" t="inlineStr">
        <is>
          <t>Celeo Redes Chile</t>
        </is>
      </c>
      <c r="B348" s="66" t="inlineStr">
        <is>
          <t>Transmisión de Energía Eléctrica</t>
        </is>
      </c>
      <c r="C348" s="66" t="inlineStr">
        <is>
          <t>Santiago</t>
        </is>
      </c>
      <c r="D348" s="66" t="n"/>
      <c r="E348" s="66" t="inlineStr">
        <is>
          <t>(56) 2 3202 4300</t>
        </is>
      </c>
      <c r="F348" s="66" t="n"/>
      <c r="G348" s="66" t="n"/>
      <c r="H348" s="66" t="n"/>
      <c r="I348" s="66" t="inlineStr">
        <is>
          <t>76613942-6</t>
        </is>
      </c>
      <c r="J348" s="66" t="n"/>
      <c r="K348" s="66" t="inlineStr">
        <is>
          <t>Ventas: GRANDE (Estimado por Empleados) | Empleados: 248</t>
        </is>
      </c>
      <c r="L348" s="61" t="n"/>
      <c r="M348" s="61" t="n"/>
      <c r="N348" s="61" t="n"/>
      <c r="O348" s="61" t="n"/>
      <c r="P348" s="61" t="n"/>
      <c r="Q348" s="62" t="n"/>
      <c r="R348" s="61" t="n"/>
    </row>
    <row r="349" ht="15.75" customHeight="1" s="38">
      <c r="A349" s="66" t="inlineStr">
        <is>
          <t>Cementos BSA</t>
        </is>
      </c>
      <c r="B349" s="66" t="inlineStr">
        <is>
          <t>Cementos</t>
        </is>
      </c>
      <c r="C349" s="66" t="inlineStr">
        <is>
          <t>Santiago</t>
        </is>
      </c>
      <c r="D349" s="66" t="inlineStr">
        <is>
          <t>contacto@cementosbsa.com</t>
        </is>
      </c>
      <c r="E349" s="66" t="inlineStr">
        <is>
          <t>(56) 2 2595 5700</t>
        </is>
      </c>
      <c r="F349" s="66" t="n"/>
      <c r="G349" s="66" t="n"/>
      <c r="H349" s="66" t="n"/>
      <c r="I349" s="66" t="inlineStr">
        <is>
          <t>99.507.430-3</t>
        </is>
      </c>
      <c r="J349" s="66" t="n"/>
      <c r="K349" s="66" t="inlineStr">
        <is>
          <t>Ventas: GRANDE (Estimado por Empleados) | Empleados: 568</t>
        </is>
      </c>
      <c r="L349" s="61" t="n"/>
      <c r="M349" s="61" t="n"/>
      <c r="N349" s="61" t="n"/>
      <c r="O349" s="61" t="n"/>
      <c r="P349" s="61" t="n"/>
      <c r="Q349" s="62" t="n"/>
      <c r="R349" s="61" t="n"/>
    </row>
    <row r="350" ht="15.75" customHeight="1" s="38">
      <c r="A350" s="66" t="inlineStr">
        <is>
          <t>Cementos Bío Bío S.A.</t>
        </is>
      </c>
      <c r="B350" s="66" t="inlineStr">
        <is>
          <t>Cementos</t>
        </is>
      </c>
      <c r="C350" s="66" t="inlineStr">
        <is>
          <t>Santiago</t>
        </is>
      </c>
      <c r="D350" s="66" t="inlineStr">
        <is>
          <t>sostenibilidad@cbb.cl</t>
        </is>
      </c>
      <c r="E350" s="66" t="inlineStr">
        <is>
          <t>(56) 2 2560 7000</t>
        </is>
      </c>
      <c r="F350" s="66" t="n"/>
      <c r="G350" s="66" t="n"/>
      <c r="H350" s="66" t="n"/>
      <c r="I350" s="66" t="inlineStr">
        <is>
          <t>91.755.000-K</t>
        </is>
      </c>
      <c r="J350" s="66" t="n"/>
      <c r="K350" s="66" t="inlineStr">
        <is>
          <t>Ventas: MEDIANA (Estimado por Empleados) | Empleados: 135</t>
        </is>
      </c>
      <c r="L350" s="61" t="n"/>
      <c r="M350" s="61" t="n"/>
      <c r="N350" s="61" t="n"/>
      <c r="O350" s="61" t="n"/>
      <c r="P350" s="61" t="n"/>
      <c r="Q350" s="62" t="n"/>
      <c r="R350" s="61" t="n"/>
    </row>
    <row r="351" ht="15.75" customHeight="1" s="38">
      <c r="A351" s="66" t="inlineStr">
        <is>
          <t>Cemin</t>
        </is>
      </c>
      <c r="B351" s="66" t="inlineStr">
        <is>
          <t>Cobre</t>
        </is>
      </c>
      <c r="C351" s="66" t="inlineStr">
        <is>
          <t>Santiago</t>
        </is>
      </c>
      <c r="D351" s="66" t="inlineStr">
        <is>
          <t>contacto@cemin.com</t>
        </is>
      </c>
      <c r="E351" s="66" t="inlineStr">
        <is>
          <t>(56) 2 2471 3600</t>
        </is>
      </c>
      <c r="F351" s="66" t="n"/>
      <c r="G351" s="66" t="n"/>
      <c r="H351" s="66" t="n"/>
      <c r="I351" s="66" t="inlineStr">
        <is>
          <t>89.274.000-3</t>
        </is>
      </c>
      <c r="J351" s="66" t="n"/>
      <c r="K351" s="66" t="inlineStr">
        <is>
          <t>Ventas: DATO NO DECLARADO EN SII | Empleados: 0</t>
        </is>
      </c>
      <c r="L351" s="61" t="n"/>
      <c r="M351" s="61" t="n"/>
      <c r="N351" s="61" t="n"/>
      <c r="O351" s="61" t="n"/>
      <c r="P351" s="61" t="n"/>
      <c r="Q351" s="62" t="n"/>
      <c r="R351" s="61" t="n"/>
    </row>
    <row r="352" ht="15.75" customHeight="1" s="38">
      <c r="A352" s="66" t="inlineStr">
        <is>
          <t>Centro de Salud Alto Costanera</t>
        </is>
      </c>
      <c r="B352" s="66" t="inlineStr">
        <is>
          <t>Pruebas de Laboratorios</t>
        </is>
      </c>
      <c r="C352" s="66" t="inlineStr">
        <is>
          <t>Antofagasta</t>
        </is>
      </c>
      <c r="D352" s="66" t="inlineStr">
        <is>
          <t>contacto@acostanera.cl</t>
        </is>
      </c>
      <c r="E352" s="66" t="inlineStr">
        <is>
          <t>(56) 9 6483 2778</t>
        </is>
      </c>
      <c r="F352" s="66" t="n"/>
      <c r="G352" s="66" t="n"/>
      <c r="H352" s="66" t="n"/>
      <c r="I352" s="66" t="inlineStr">
        <is>
          <t>77040897-0</t>
        </is>
      </c>
      <c r="J352" s="66" t="n"/>
      <c r="K352" s="66" t="inlineStr">
        <is>
          <t>Ventas: PEQUEÑA 2 (5.000 - 10.000 UF) | Empleados: 17</t>
        </is>
      </c>
      <c r="L352" s="61" t="n"/>
      <c r="M352" s="61" t="n"/>
      <c r="N352" s="61" t="n"/>
      <c r="O352" s="61" t="n"/>
      <c r="P352" s="61" t="n"/>
      <c r="Q352" s="62" t="n"/>
      <c r="R352" s="61" t="n"/>
    </row>
    <row r="353" ht="15.75" customHeight="1" s="38">
      <c r="A353" s="66" t="inlineStr">
        <is>
          <t>Centro Hidráulico S.A.</t>
        </is>
      </c>
      <c r="B353" s="66" t="inlineStr">
        <is>
          <t>Sistemas para Bombeo</t>
        </is>
      </c>
      <c r="C353" s="66" t="inlineStr">
        <is>
          <t>Santiago</t>
        </is>
      </c>
      <c r="D353" s="66" t="inlineStr">
        <is>
          <t>ventasweb@centrohidraulico.cl</t>
        </is>
      </c>
      <c r="E353" s="66" t="inlineStr">
        <is>
          <t>(56) 9 4771 2991</t>
        </is>
      </c>
      <c r="F353" s="66" t="n"/>
      <c r="G353" s="66" t="n"/>
      <c r="H353" s="66" t="n"/>
      <c r="I353" s="66" t="inlineStr">
        <is>
          <t>76.442.330-5</t>
        </is>
      </c>
      <c r="J353" s="66" t="n"/>
      <c r="K353" s="66" t="inlineStr">
        <is>
          <t>Ventas: MEDIANA 1 (25.000 - 50.000 UF) | Empleados: 11</t>
        </is>
      </c>
      <c r="L353" s="61" t="n"/>
      <c r="M353" s="61" t="n"/>
      <c r="N353" s="61" t="n"/>
      <c r="O353" s="61" t="n"/>
      <c r="P353" s="61" t="n"/>
      <c r="Q353" s="62" t="n"/>
      <c r="R353" s="61" t="n"/>
    </row>
    <row r="354" ht="15.75" customHeight="1" s="38">
      <c r="A354" s="59" t="inlineStr">
        <is>
          <t>Centro Médico del Trabajador (CMT)</t>
        </is>
      </c>
      <c r="B354" s="59" t="inlineStr">
        <is>
          <t>Proveedor Destacado, Centro Médico de Salud Ocupacional, Centros Médicos, Reclutamiento y Selección</t>
        </is>
      </c>
      <c r="C354" s="59" t="inlineStr">
        <is>
          <t>Santiago</t>
        </is>
      </c>
      <c r="D354" s="59" t="inlineStr">
        <is>
          <t>contacto@cmtsalud.cl</t>
        </is>
      </c>
      <c r="E354" s="59" t="inlineStr">
        <is>
          <t>(56) 2 2634 2492</t>
        </is>
      </c>
      <c r="F354" s="59" t="inlineStr">
        <is>
          <t>Ignacio Henderson Gonzalez (Director Innovación)</t>
        </is>
      </c>
      <c r="G354" s="59" t="n"/>
      <c r="H354" s="59" t="inlineStr">
        <is>
          <t>http://www.cmtsalud.cl</t>
        </is>
      </c>
      <c r="I354" s="59" t="inlineStr">
        <is>
          <t>76.247.147-7</t>
        </is>
      </c>
      <c r="J354" s="59" t="inlineStr">
        <is>
          <t>Transformación Digital Salud Ocupacional</t>
        </is>
      </c>
      <c r="K354" s="59" t="inlineStr">
        <is>
          <t>Ventas: GRANDE 3 (600.000 - 1.000.000 UF) | Empleados: 388</t>
        </is>
      </c>
      <c r="L354" s="61" t="n"/>
      <c r="M354" s="61" t="n"/>
      <c r="N354" s="61" t="n"/>
      <c r="O354" s="61" t="n"/>
      <c r="P354" s="61" t="n"/>
      <c r="Q354" s="62" t="n"/>
      <c r="R354" s="61" t="n"/>
    </row>
    <row r="355" ht="15.75" customHeight="1" s="38">
      <c r="A355" s="66" t="inlineStr">
        <is>
          <t>Cerro Grande Mining Corporation</t>
        </is>
      </c>
      <c r="B355" s="66" t="inlineStr">
        <is>
          <t>Cobre, Plata</t>
        </is>
      </c>
      <c r="C355" s="66" t="inlineStr">
        <is>
          <t>Santiago</t>
        </is>
      </c>
      <c r="D355" s="66" t="inlineStr">
        <is>
          <t>ceg@cegmining.com</t>
        </is>
      </c>
      <c r="E355" s="66" t="inlineStr">
        <is>
          <t>(56) 2 2569 6200</t>
        </is>
      </c>
      <c r="F355" s="66" t="n"/>
      <c r="G355" s="66" t="n"/>
      <c r="H355" s="66" t="n"/>
      <c r="I355" s="66" t="inlineStr">
        <is>
          <t>59.034.110-K</t>
        </is>
      </c>
      <c r="J355" s="66" t="n"/>
      <c r="K355" s="66" t="inlineStr">
        <is>
          <t>Ventas: No en base SII | Empleados: S/I</t>
        </is>
      </c>
      <c r="L355" s="61" t="n"/>
      <c r="M355" s="61" t="n"/>
      <c r="N355" s="61" t="n"/>
      <c r="O355" s="61" t="n"/>
      <c r="P355" s="61" t="n"/>
      <c r="Q355" s="62" t="n"/>
      <c r="R355" s="61" t="n"/>
    </row>
    <row r="356" ht="15.75" customHeight="1" s="38">
      <c r="A356" s="66" t="inlineStr">
        <is>
          <t>Certel</t>
        </is>
      </c>
      <c r="B356" s="66" t="inlineStr">
        <is>
          <t>Certificación de Ascensores y Montacargas Industriales y Comerciales</t>
        </is>
      </c>
      <c r="C356" s="66" t="inlineStr">
        <is>
          <t>Santiago</t>
        </is>
      </c>
      <c r="D356" s="66" t="inlineStr">
        <is>
          <t>contacto@certel.cl</t>
        </is>
      </c>
      <c r="E356" s="66" t="inlineStr">
        <is>
          <t>(56) 2 2300 5921</t>
        </is>
      </c>
      <c r="F356" s="66" t="n"/>
      <c r="G356" s="66" t="n"/>
      <c r="H356" s="66" t="n"/>
      <c r="I356" s="66" t="inlineStr">
        <is>
          <t>76.137.961-5</t>
        </is>
      </c>
      <c r="J356" s="66" t="n"/>
      <c r="K356" s="66" t="inlineStr">
        <is>
          <t>Ventas: PEQUEÑA 2 (5.000 - 10.000 UF) | Empleados: 5</t>
        </is>
      </c>
      <c r="L356" s="61" t="n"/>
      <c r="M356" s="61" t="n"/>
      <c r="N356" s="61" t="n"/>
      <c r="O356" s="61" t="n"/>
      <c r="P356" s="61" t="n"/>
      <c r="Q356" s="62" t="n"/>
      <c r="R356" s="61" t="n"/>
    </row>
    <row r="357" ht="15.75" customHeight="1" s="38">
      <c r="A357" s="66" t="inlineStr">
        <is>
          <t>Certicop SpA</t>
        </is>
      </c>
      <c r="B357" s="66" t="inlineStr">
        <is>
          <t>Certificación de Competencias Laborales</t>
        </is>
      </c>
      <c r="C357" s="66" t="inlineStr">
        <is>
          <t>Calama</t>
        </is>
      </c>
      <c r="D357" s="66" t="inlineStr">
        <is>
          <t>a.fuentes@certicop.cl</t>
        </is>
      </c>
      <c r="E357" s="66" t="inlineStr">
        <is>
          <t>(56) 9 9332 8037</t>
        </is>
      </c>
      <c r="F357" s="66" t="n"/>
      <c r="G357" s="66" t="n"/>
      <c r="H357" s="66" t="n"/>
      <c r="I357" s="66" t="inlineStr">
        <is>
          <t>77.761.073-2</t>
        </is>
      </c>
      <c r="J357" s="66" t="n"/>
      <c r="K357" s="66" t="inlineStr">
        <is>
          <t>Ventas: PEQUEÑA 3 (10.000 - 25.000 UF) | Empleados: 16</t>
        </is>
      </c>
      <c r="L357" s="61" t="n"/>
      <c r="M357" s="61" t="n"/>
      <c r="N357" s="61" t="n"/>
      <c r="O357" s="61" t="n"/>
      <c r="P357" s="61" t="n"/>
      <c r="Q357" s="62" t="n"/>
      <c r="R357" s="61" t="n"/>
    </row>
    <row r="358" ht="15.75" customHeight="1" s="38">
      <c r="A358" s="66" t="inlineStr">
        <is>
          <t>Ceskat Systems S.A.</t>
        </is>
      </c>
      <c r="B358" s="66" t="inlineStr">
        <is>
          <t>Automatización y Control, Equipos para Redes Industriales</t>
        </is>
      </c>
      <c r="C358" s="66" t="inlineStr">
        <is>
          <t>Santiago</t>
        </is>
      </c>
      <c r="D358" s="66" t="inlineStr">
        <is>
          <t>central@ceskat.cl</t>
        </is>
      </c>
      <c r="E358" s="66" t="inlineStr">
        <is>
          <t>(56) 2 2730 4700</t>
        </is>
      </c>
      <c r="F358" s="66" t="n"/>
      <c r="G358" s="66" t="n"/>
      <c r="H358" s="66" t="n"/>
      <c r="I358" s="66" t="inlineStr">
        <is>
          <t>76.084.788-7</t>
        </is>
      </c>
      <c r="J358" s="66" t="n"/>
      <c r="K358" s="66" t="inlineStr">
        <is>
          <t>Ventas: GRANDE 1 (100.000 - 200.000 UF) | Empleados: 15</t>
        </is>
      </c>
      <c r="L358" s="61" t="n"/>
      <c r="M358" s="61" t="n"/>
      <c r="N358" s="61" t="n"/>
      <c r="O358" s="61" t="n"/>
      <c r="P358" s="61" t="n"/>
      <c r="Q358" s="62" t="n"/>
      <c r="R358" s="61" t="n"/>
    </row>
    <row r="359" ht="15.75" customHeight="1" s="38">
      <c r="A359" s="66" t="inlineStr">
        <is>
          <t>Cesmec S.A.</t>
        </is>
      </c>
      <c r="B359" s="66" t="inlineStr">
        <is>
          <t>Análisis de Laboratorio</t>
        </is>
      </c>
      <c r="C359" s="66" t="inlineStr">
        <is>
          <t>Santiago</t>
        </is>
      </c>
      <c r="D359" s="66" t="inlineStr">
        <is>
          <t>consultas@bureauveritas.com</t>
        </is>
      </c>
      <c r="E359" s="66" t="inlineStr">
        <is>
          <t>(56) 2 2350 2100</t>
        </is>
      </c>
      <c r="F359" s="66" t="n"/>
      <c r="G359" s="66" t="n"/>
      <c r="H359" s="66" t="n"/>
      <c r="I359" s="66" t="inlineStr">
        <is>
          <t>81.185.000-4</t>
        </is>
      </c>
      <c r="J359" s="66" t="n"/>
      <c r="K359" s="66" t="inlineStr">
        <is>
          <t>Ventas: GRANDE (Estimado por Empleados) | Empleados: 1738</t>
        </is>
      </c>
      <c r="L359" s="61" t="n"/>
      <c r="M359" s="61" t="n"/>
      <c r="N359" s="61" t="n"/>
      <c r="O359" s="61" t="n"/>
      <c r="P359" s="61" t="n"/>
      <c r="Q359" s="62" t="n"/>
      <c r="R359" s="61" t="n"/>
    </row>
    <row r="360" ht="15.75" customHeight="1" s="38">
      <c r="A360" s="66" t="inlineStr">
        <is>
          <t>Cetco Latinoamérica</t>
        </is>
      </c>
      <c r="B360" s="66" t="inlineStr">
        <is>
          <t>Sistemas para Drenaje</t>
        </is>
      </c>
      <c r="C360" s="66" t="inlineStr">
        <is>
          <t>Santiago</t>
        </is>
      </c>
      <c r="D360" s="66" t="inlineStr">
        <is>
          <t>carla.riffo@mineralstech.com</t>
        </is>
      </c>
      <c r="E360" s="66" t="inlineStr">
        <is>
          <t>(56) 2 2573 5900</t>
        </is>
      </c>
      <c r="F360" s="66" t="n"/>
      <c r="G360" s="66" t="n"/>
      <c r="H360" s="66" t="n"/>
      <c r="I360" s="66" t="inlineStr">
        <is>
          <t>76.071.330-9</t>
        </is>
      </c>
      <c r="J360" s="66" t="n"/>
      <c r="K360" s="66" t="inlineStr">
        <is>
          <t>Ventas: MEDIANA 2 (50.000 - 100.000 UF) | Empleados: 3</t>
        </is>
      </c>
      <c r="L360" s="61" t="n"/>
      <c r="M360" s="61" t="n"/>
      <c r="N360" s="61" t="n"/>
      <c r="O360" s="61" t="n"/>
      <c r="P360" s="61" t="n"/>
      <c r="Q360" s="62" t="n"/>
      <c r="R360" s="61" t="n"/>
    </row>
    <row r="361" ht="15.75" customHeight="1" s="38">
      <c r="A361" s="59" t="inlineStr">
        <is>
          <t>CGE C</t>
        </is>
      </c>
      <c r="B361" s="59" t="inlineStr">
        <is>
          <t>Alumbrado Público y Privado (aéreo y subterráneo), Corrientes Débiles, Empalmes, Redes Aéreas y Subterráneas, Sistemas para Aumento de Potencia, Venta, Arriendo e Instalación de Equipos Eléctricos</t>
        </is>
      </c>
      <c r="C361" s="59" t="inlineStr">
        <is>
          <t>Santiago</t>
        </is>
      </c>
      <c r="D361" s="59" t="n"/>
      <c r="E361" s="59" t="inlineStr">
        <is>
          <t>(56) 2 2280 7400</t>
        </is>
      </c>
      <c r="F361" s="59" t="inlineStr">
        <is>
          <t>Cristian Ormazábal (Chief Digital Officer (CDO))</t>
        </is>
      </c>
      <c r="G361" s="59" t="inlineStr">
        <is>
          <t>cormazabal@cge.cl</t>
        </is>
      </c>
      <c r="H361" s="59" t="n"/>
      <c r="I361" s="59" t="inlineStr">
        <is>
          <t>77.316.204-2</t>
        </is>
      </c>
      <c r="J361" s="59" t="inlineStr">
        <is>
          <t>Digitalización Redes</t>
        </is>
      </c>
      <c r="K361" s="59" t="inlineStr">
        <is>
          <t>Ventas: GRANDE 4 (Mas de 1.000.000 UF) | Empleados: 52</t>
        </is>
      </c>
      <c r="L361" s="61" t="n"/>
      <c r="M361" s="61" t="n"/>
      <c r="N361" s="61" t="n"/>
      <c r="O361" s="61" t="n"/>
      <c r="P361" s="61" t="n"/>
      <c r="Q361" s="62" t="n"/>
      <c r="R361" s="61" t="n"/>
    </row>
    <row r="362" ht="15.75" customHeight="1" s="38">
      <c r="A362" s="66" t="inlineStr">
        <is>
          <t>Chancadores Chile SpA</t>
        </is>
      </c>
      <c r="B362" s="66" t="inlineStr">
        <is>
          <t>Chancadores</t>
        </is>
      </c>
      <c r="C362" s="66" t="inlineStr">
        <is>
          <t>Santiago</t>
        </is>
      </c>
      <c r="D362" s="66" t="inlineStr">
        <is>
          <t>info@chancadoreschile.cl</t>
        </is>
      </c>
      <c r="E362" s="66" t="inlineStr">
        <is>
          <t>(56) 9 7957 4912</t>
        </is>
      </c>
      <c r="F362" s="66" t="n"/>
      <c r="G362" s="66" t="n"/>
      <c r="H362" s="66" t="n"/>
      <c r="I362" s="66" t="inlineStr">
        <is>
          <t>77138099-9</t>
        </is>
      </c>
      <c r="J362" s="66" t="n"/>
      <c r="K362" s="66" t="inlineStr">
        <is>
          <t>Ventas: PEQUEÑA 1 (2.400 - 5.000 UF) | Empleados: 1</t>
        </is>
      </c>
      <c r="L362" s="61" t="n"/>
      <c r="M362" s="61" t="n"/>
      <c r="N362" s="61" t="n"/>
      <c r="O362" s="61" t="n"/>
      <c r="P362" s="61" t="n"/>
      <c r="Q362" s="62" t="n"/>
      <c r="R362" s="61" t="n"/>
    </row>
    <row r="363" ht="15.75" customHeight="1" s="38">
      <c r="A363" s="66" t="inlineStr">
        <is>
          <t>Chemical Mix Ltda.</t>
        </is>
      </c>
      <c r="B363" s="66" t="inlineStr">
        <is>
          <t>Detergentes</t>
        </is>
      </c>
      <c r="C363" s="66" t="inlineStr">
        <is>
          <t>Santiago</t>
        </is>
      </c>
      <c r="D363" s="66" t="inlineStr">
        <is>
          <t>info@chemicalmix.cl</t>
        </is>
      </c>
      <c r="E363" s="66" t="inlineStr">
        <is>
          <t>(56) 2 2646 1246</t>
        </is>
      </c>
      <c r="F363" s="66" t="n"/>
      <c r="G363" s="66" t="n"/>
      <c r="H363" s="66" t="n"/>
      <c r="I363" s="66" t="inlineStr">
        <is>
          <t>77.248.650-2</t>
        </is>
      </c>
      <c r="J363" s="66" t="n"/>
      <c r="K363" s="66" t="inlineStr">
        <is>
          <t>Ventas: PEQUEÑA 2 (5.000 - 10.000 UF) | Empleados: 3</t>
        </is>
      </c>
      <c r="L363" s="61" t="n"/>
      <c r="M363" s="61" t="n"/>
      <c r="N363" s="61" t="n"/>
      <c r="O363" s="61" t="n"/>
      <c r="P363" s="61" t="n"/>
      <c r="Q363" s="62" t="n"/>
      <c r="R363" s="61" t="n"/>
    </row>
    <row r="364" ht="15.75" customHeight="1" s="38">
      <c r="A364" s="66" t="inlineStr">
        <is>
          <t>Chesterton International</t>
        </is>
      </c>
      <c r="B364" s="66" t="inlineStr">
        <is>
          <t>Empaquetaduras, Sellos Mecánicos</t>
        </is>
      </c>
      <c r="C364" s="66" t="inlineStr">
        <is>
          <t>Antofagasta</t>
        </is>
      </c>
      <c r="D364" s="66" t="n"/>
      <c r="E364" s="66" t="inlineStr">
        <is>
          <t>(56) 9 4464 9928</t>
        </is>
      </c>
      <c r="F364" s="66" t="n"/>
      <c r="G364" s="66" t="n"/>
      <c r="H364" s="66" t="n"/>
      <c r="I364" s="66" t="inlineStr">
        <is>
          <t>79.629.010-2</t>
        </is>
      </c>
      <c r="J364" s="66" t="n"/>
      <c r="K364" s="66" t="inlineStr">
        <is>
          <t>Ventas: GRANDE 3 (600.000 - 1.000.000 UF) | Empleados: 244</t>
        </is>
      </c>
      <c r="L364" s="61" t="n"/>
      <c r="M364" s="61" t="n"/>
      <c r="N364" s="61" t="n"/>
      <c r="O364" s="61" t="n"/>
      <c r="P364" s="61" t="n"/>
      <c r="Q364" s="62" t="n"/>
      <c r="R364" s="61" t="n"/>
    </row>
    <row r="365" ht="15.75" customHeight="1" s="38">
      <c r="A365" s="66" t="inlineStr">
        <is>
          <t>Chile Soldadura y Corte S.A.</t>
        </is>
      </c>
      <c r="B365" s="66" t="inlineStr">
        <is>
          <t>Soldaduras</t>
        </is>
      </c>
      <c r="C365" s="66" t="inlineStr">
        <is>
          <t>Santiago</t>
        </is>
      </c>
      <c r="D365" s="66" t="inlineStr">
        <is>
          <t>d.verge@weldingcutting.com</t>
        </is>
      </c>
      <c r="E365" s="66" t="inlineStr">
        <is>
          <t>(56) 2 2437 5000</t>
        </is>
      </c>
      <c r="F365" s="66" t="n"/>
      <c r="G365" s="66" t="n"/>
      <c r="H365" s="66" t="n"/>
      <c r="I365" s="66" t="inlineStr">
        <is>
          <t>96.909.100-3</t>
        </is>
      </c>
      <c r="J365" s="66" t="n"/>
      <c r="K365" s="66" t="inlineStr">
        <is>
          <t>Ventas: MEDIANA 2 (50.000 - 100.000 UF) | Empleados: 17</t>
        </is>
      </c>
      <c r="L365" s="61" t="n"/>
      <c r="M365" s="61" t="n"/>
      <c r="N365" s="61" t="n"/>
      <c r="O365" s="61" t="n"/>
      <c r="P365" s="61" t="n"/>
      <c r="Q365" s="62" t="n"/>
      <c r="R365" s="61" t="n"/>
    </row>
    <row r="366" ht="15.75" customHeight="1" s="38">
      <c r="A366" s="66" t="inlineStr">
        <is>
          <t>Chilecables</t>
        </is>
      </c>
      <c r="B366" s="66" t="inlineStr">
        <is>
          <t>Cables de Cobre, Cables Eléctricos</t>
        </is>
      </c>
      <c r="C366" s="66" t="inlineStr">
        <is>
          <t>Santiago</t>
        </is>
      </c>
      <c r="D366" s="66" t="inlineStr">
        <is>
          <t>hibanez@chilecables.cl</t>
        </is>
      </c>
      <c r="E366" s="66" t="inlineStr">
        <is>
          <t>(56) 2 2538 4250</t>
        </is>
      </c>
      <c r="F366" s="66" t="n"/>
      <c r="G366" s="66" t="n"/>
      <c r="H366" s="66" t="n"/>
      <c r="I366" s="66" t="inlineStr">
        <is>
          <t>76.375.570-3</t>
        </is>
      </c>
      <c r="J366" s="66" t="n"/>
      <c r="K366" s="66" t="inlineStr">
        <is>
          <t>Ventas: GRANDE 3 (600.000 - 1.000.000 UF) | Empleados: 14</t>
        </is>
      </c>
      <c r="L366" s="61" t="n"/>
      <c r="M366" s="61" t="n"/>
      <c r="N366" s="61" t="n"/>
      <c r="O366" s="61" t="n"/>
      <c r="P366" s="61" t="n"/>
      <c r="Q366" s="62" t="n"/>
      <c r="R366" s="61" t="n"/>
    </row>
    <row r="367" ht="15.75" customHeight="1" s="38">
      <c r="A367" s="66" t="inlineStr">
        <is>
          <t>CHM Industrias Eléctricas</t>
        </is>
      </c>
      <c r="B367" s="66" t="inlineStr">
        <is>
          <t>Electroindustria, Salas Eléctricas Transportables</t>
        </is>
      </c>
      <c r="C367" s="66" t="inlineStr">
        <is>
          <t>Santiago</t>
        </is>
      </c>
      <c r="D367" s="66" t="inlineStr">
        <is>
          <t>chmsa@chmsa.cl</t>
        </is>
      </c>
      <c r="E367" s="66" t="inlineStr">
        <is>
          <t>(56) 2 2738 4549</t>
        </is>
      </c>
      <c r="F367" s="66" t="n"/>
      <c r="G367" s="66" t="n"/>
      <c r="H367" s="66" t="n"/>
      <c r="I367" s="66" t="inlineStr">
        <is>
          <t>76.022.678-5</t>
        </is>
      </c>
      <c r="J367" s="66" t="n"/>
      <c r="K367" s="66" t="inlineStr">
        <is>
          <t>Ventas: GRANDE 1 (100.000 - 200.000 UF) | Empleados: 44</t>
        </is>
      </c>
      <c r="L367" s="61" t="n"/>
      <c r="M367" s="61" t="n"/>
      <c r="N367" s="61" t="n"/>
      <c r="O367" s="61" t="n"/>
      <c r="P367" s="61" t="n"/>
      <c r="Q367" s="62" t="n"/>
      <c r="R367" s="61" t="n"/>
    </row>
    <row r="368" ht="15.75" customHeight="1" s="38">
      <c r="A368" s="66" t="inlineStr">
        <is>
          <t>Christensen Chile S.A.</t>
        </is>
      </c>
      <c r="B368" s="66" t="inlineStr">
        <is>
          <t>Aditivos para Sondajes Mineros, Cromado Industrial</t>
        </is>
      </c>
      <c r="C368" s="66" t="inlineStr">
        <is>
          <t>Santiago</t>
        </is>
      </c>
      <c r="D368" s="66" t="inlineStr">
        <is>
          <t>christensen@christensen.cl</t>
        </is>
      </c>
      <c r="E368" s="66" t="inlineStr">
        <is>
          <t>(56) 2 2620 7847</t>
        </is>
      </c>
      <c r="F368" s="66" t="inlineStr">
        <is>
          <t>Gerente de TI / CIO (Director de Tecnología)</t>
        </is>
      </c>
      <c r="G368" s="66" t="n"/>
      <c r="H368" s="66" t="n"/>
      <c r="I368" s="66" t="inlineStr">
        <is>
          <t>96.515.290-3</t>
        </is>
      </c>
      <c r="J368" s="66" t="n"/>
      <c r="K368" s="66" t="inlineStr">
        <is>
          <t>Ventas: GRANDE 4 (Mas de 1.000.000 UF) | Empleados: 198</t>
        </is>
      </c>
      <c r="L368" s="61" t="n"/>
      <c r="M368" s="61" t="n"/>
      <c r="N368" s="61" t="n"/>
      <c r="O368" s="61" t="n"/>
      <c r="P368" s="61" t="n"/>
      <c r="Q368" s="62" t="n"/>
      <c r="R368" s="61" t="n"/>
    </row>
    <row r="369" ht="15.75" customHeight="1" s="38">
      <c r="A369" s="66" t="inlineStr">
        <is>
          <t>Cical</t>
        </is>
      </c>
      <c r="B369" s="66" t="inlineStr">
        <is>
          <t>Revestimientos Anticorrosivos</t>
        </is>
      </c>
      <c r="C369" s="66" t="inlineStr">
        <is>
          <t>Santiago</t>
        </is>
      </c>
      <c r="D369" s="66" t="inlineStr">
        <is>
          <t>ventas@cical.cl</t>
        </is>
      </c>
      <c r="E369" s="66" t="inlineStr">
        <is>
          <t>(56) 9 8888 0648</t>
        </is>
      </c>
      <c r="F369" s="66" t="n"/>
      <c r="G369" s="66" t="n"/>
      <c r="H369" s="66" t="n"/>
      <c r="I369" s="66" t="inlineStr">
        <is>
          <t>76.920.734-1</t>
        </is>
      </c>
      <c r="J369" s="66" t="n"/>
      <c r="K369" s="66" t="inlineStr">
        <is>
          <t>Ventas: GRANDE 3 (600.000 - 1.000.000 UF) | Empleados: 116</t>
        </is>
      </c>
      <c r="L369" s="61" t="n"/>
      <c r="M369" s="61" t="n"/>
      <c r="N369" s="61" t="n"/>
      <c r="O369" s="61" t="n"/>
      <c r="P369" s="61" t="n"/>
      <c r="Q369" s="62" t="n"/>
      <c r="R369" s="61" t="n"/>
    </row>
    <row r="370" ht="15.75" customHeight="1" s="38">
      <c r="A370" s="66" t="inlineStr">
        <is>
          <t>Cicitem</t>
        </is>
      </c>
      <c r="B370" s="66" t="inlineStr">
        <is>
          <t>Centro de Investigación Científico-Tecnológicos</t>
        </is>
      </c>
      <c r="C370" s="66" t="inlineStr">
        <is>
          <t>Antofagasta</t>
        </is>
      </c>
      <c r="D370" s="66" t="inlineStr">
        <is>
          <t>contacto@cicitem.cl</t>
        </is>
      </c>
      <c r="E370" s="66" t="inlineStr">
        <is>
          <t>(56) 55 222 0647</t>
        </is>
      </c>
      <c r="F370" s="66" t="n"/>
      <c r="G370" s="66" t="n"/>
      <c r="H370" s="66" t="n"/>
      <c r="I370" s="66" t="inlineStr">
        <is>
          <t>65.937.660-1</t>
        </is>
      </c>
      <c r="J370" s="66" t="n"/>
      <c r="K370" s="66" t="inlineStr">
        <is>
          <t>Ventas: PEQUEÑA 1 (2.400 - 5.000 UF) | Empleados: 37</t>
        </is>
      </c>
      <c r="L370" s="61" t="n"/>
      <c r="M370" s="61" t="n"/>
      <c r="N370" s="61" t="n"/>
      <c r="O370" s="61" t="n"/>
      <c r="P370" s="61" t="n"/>
      <c r="Q370" s="62" t="n"/>
      <c r="R370" s="61" t="n"/>
    </row>
    <row r="371" ht="15.75" customHeight="1" s="38">
      <c r="A371" s="66" t="inlineStr">
        <is>
          <t>Cicromet Ltda.</t>
        </is>
      </c>
      <c r="B371" s="66" t="inlineStr">
        <is>
          <t>Cilindros Hidráulicos, Reparación de Cilindros Hidráulicos</t>
        </is>
      </c>
      <c r="C371" s="66" t="inlineStr">
        <is>
          <t>Santiago</t>
        </is>
      </c>
      <c r="D371" s="66" t="inlineStr">
        <is>
          <t>serviciotecnico@cicromet.cl</t>
        </is>
      </c>
      <c r="E371" s="66" t="inlineStr">
        <is>
          <t>(56) 2 2552 8911</t>
        </is>
      </c>
      <c r="F371" s="66" t="n"/>
      <c r="G371" s="66" t="n"/>
      <c r="H371" s="66" t="n"/>
      <c r="I371" s="66" t="inlineStr">
        <is>
          <t>76.061.949-3</t>
        </is>
      </c>
      <c r="J371" s="66" t="n"/>
      <c r="K371" s="66" t="inlineStr">
        <is>
          <t>Ventas: MEDIANA 1 (25.000 - 50.000 UF) | Empleados: 9</t>
        </is>
      </c>
      <c r="L371" s="61" t="n"/>
      <c r="M371" s="61" t="n"/>
      <c r="N371" s="61" t="n"/>
      <c r="O371" s="61" t="n"/>
      <c r="P371" s="61" t="n"/>
      <c r="Q371" s="62" t="n"/>
      <c r="R371" s="61" t="n"/>
    </row>
    <row r="372" ht="15.75" customHeight="1" s="38">
      <c r="A372" s="66" t="inlineStr">
        <is>
          <t>Cidelta Ingeniería</t>
        </is>
      </c>
      <c r="B372" s="66" t="inlineStr">
        <is>
          <t>Planchas de Acero Inoxidable</t>
        </is>
      </c>
      <c r="C372" s="66" t="inlineStr">
        <is>
          <t>Quilpué</t>
        </is>
      </c>
      <c r="D372" s="66" t="inlineStr">
        <is>
          <t>ventas@cidelta.cl</t>
        </is>
      </c>
      <c r="E372" s="66" t="inlineStr">
        <is>
          <t>(56) 32 292 0141</t>
        </is>
      </c>
      <c r="F372" s="66" t="n"/>
      <c r="G372" s="66" t="n"/>
      <c r="H372" s="66" t="n"/>
      <c r="I372" s="66" t="inlineStr">
        <is>
          <t>76.139.872-5</t>
        </is>
      </c>
      <c r="J372" s="66" t="n"/>
      <c r="K372" s="66" t="inlineStr">
        <is>
          <t>Ventas: MEDIANA 1 (25.000 - 50.000 UF) | Empleados: 9</t>
        </is>
      </c>
      <c r="L372" s="61" t="n"/>
      <c r="M372" s="61" t="n"/>
      <c r="N372" s="61" t="n"/>
      <c r="O372" s="61" t="n"/>
      <c r="P372" s="61" t="n"/>
      <c r="Q372" s="62" t="n"/>
      <c r="R372" s="61" t="n"/>
    </row>
    <row r="373" ht="15.75" customHeight="1" s="38">
      <c r="A373" s="66" t="inlineStr">
        <is>
          <t>Cimtec S.A.</t>
        </is>
      </c>
      <c r="B373" s="66" t="inlineStr">
        <is>
          <t>Equipos para Corte por Plasma</t>
        </is>
      </c>
      <c r="C373" s="66" t="inlineStr">
        <is>
          <t>Santiago</t>
        </is>
      </c>
      <c r="D373" s="66" t="inlineStr">
        <is>
          <t>ventas@cimtec.cl</t>
        </is>
      </c>
      <c r="E373" s="66" t="inlineStr">
        <is>
          <t>(56) 2 2544 7900</t>
        </is>
      </c>
      <c r="F373" s="66" t="n"/>
      <c r="G373" s="66" t="n"/>
      <c r="H373" s="66" t="n"/>
      <c r="I373" s="66" t="inlineStr">
        <is>
          <t>78.983.170-K</t>
        </is>
      </c>
      <c r="J373" s="66" t="n"/>
      <c r="K373" s="66" t="inlineStr">
        <is>
          <t>Ventas: GRANDE 2 (200.000 - 600.000 UF) | Empleados: 39</t>
        </is>
      </c>
      <c r="L373" s="61" t="n"/>
      <c r="M373" s="61" t="n"/>
      <c r="N373" s="61" t="n"/>
      <c r="O373" s="61" t="n"/>
      <c r="P373" s="61" t="n"/>
      <c r="Q373" s="62" t="n"/>
      <c r="R373" s="61" t="n"/>
    </row>
    <row r="374" ht="15.75" customHeight="1" s="38">
      <c r="A374" s="66" t="inlineStr">
        <is>
          <t>Cintac S.A.I.C.</t>
        </is>
      </c>
      <c r="B374" s="66" t="inlineStr">
        <is>
          <t>Cubiertas y Revestimientos</t>
        </is>
      </c>
      <c r="C374" s="66" t="inlineStr">
        <is>
          <t>Santiago</t>
        </is>
      </c>
      <c r="D374" s="66" t="inlineStr">
        <is>
          <t>contacto@cintac.cl</t>
        </is>
      </c>
      <c r="E374" s="66" t="inlineStr">
        <is>
          <t>(56) 2 2484 9200</t>
        </is>
      </c>
      <c r="F374" s="66" t="n"/>
      <c r="G374" s="66" t="n"/>
      <c r="H374" s="66" t="n"/>
      <c r="I374" s="66" t="inlineStr">
        <is>
          <t>76721910-5</t>
        </is>
      </c>
      <c r="J374" s="66" t="n"/>
      <c r="K374" s="66" t="inlineStr">
        <is>
          <t>Ventas: GRANDE (Estimado por Empleados) | Empleados: 590</t>
        </is>
      </c>
      <c r="L374" s="61" t="n"/>
      <c r="M374" s="61" t="n"/>
      <c r="N374" s="61" t="n"/>
      <c r="O374" s="61" t="n"/>
      <c r="P374" s="61" t="n"/>
      <c r="Q374" s="62" t="n"/>
      <c r="R374" s="61" t="n"/>
    </row>
    <row r="375" ht="15.75" customHeight="1" s="38">
      <c r="A375" s="66" t="inlineStr">
        <is>
          <t>Ciptemin</t>
        </is>
      </c>
      <c r="B375" s="66" t="inlineStr">
        <is>
          <t>Validación de Procesos Mineros, Validación de Tecnologías para la Minería</t>
        </is>
      </c>
      <c r="C375" s="66" t="inlineStr">
        <is>
          <t>Antofagasta</t>
        </is>
      </c>
      <c r="D375" s="66" t="inlineStr">
        <is>
          <t>contacto@ciptemin.cl</t>
        </is>
      </c>
      <c r="E375" s="66" t="inlineStr">
        <is>
          <t>(56) 55 333 0395</t>
        </is>
      </c>
      <c r="F375" s="66" t="n"/>
      <c r="G375" s="66" t="n"/>
      <c r="H375" s="66" t="n"/>
      <c r="I375" s="66" t="inlineStr">
        <is>
          <t>65.188.736-4</t>
        </is>
      </c>
      <c r="J375" s="66" t="n"/>
      <c r="K375" s="66" t="inlineStr">
        <is>
          <t>Ventas: PEQUEÑA 2 (5.000 - 10.000 UF) | Empleados: 13</t>
        </is>
      </c>
      <c r="L375" s="61" t="n"/>
      <c r="M375" s="61" t="n"/>
      <c r="N375" s="61" t="n"/>
      <c r="O375" s="61" t="n"/>
      <c r="P375" s="61" t="n"/>
      <c r="Q375" s="62" t="n"/>
      <c r="R375" s="61" t="n"/>
    </row>
    <row r="376" ht="15.75" customHeight="1" s="38">
      <c r="A376" s="66" t="inlineStr">
        <is>
          <t>Cisco Systems Chile</t>
        </is>
      </c>
      <c r="B376" s="66" t="inlineStr">
        <is>
          <t>Equipos para Redes de Comunicación</t>
        </is>
      </c>
      <c r="C376" s="66" t="inlineStr">
        <is>
          <t>Santiago</t>
        </is>
      </c>
      <c r="D376" s="66" t="n"/>
      <c r="E376" s="66" t="inlineStr">
        <is>
          <t>(56) 2 2431 4900</t>
        </is>
      </c>
      <c r="F376" s="66" t="n"/>
      <c r="G376" s="66" t="n"/>
      <c r="H376" s="66" t="n"/>
      <c r="I376" s="66" t="inlineStr">
        <is>
          <t>96.793.640-5</t>
        </is>
      </c>
      <c r="J376" s="66" t="n"/>
      <c r="K376" s="66" t="inlineStr">
        <is>
          <t>Ventas: GRANDE 3 (600.000 - 1.000.000 UF) | Empleados: 73</t>
        </is>
      </c>
      <c r="L376" s="61" t="n"/>
      <c r="M376" s="61" t="n"/>
      <c r="N376" s="61" t="n"/>
      <c r="O376" s="61" t="n"/>
      <c r="P376" s="61" t="n"/>
      <c r="Q376" s="62" t="n"/>
      <c r="R376" s="61" t="n"/>
    </row>
    <row r="377" ht="15.75" customHeight="1" s="38">
      <c r="A377" s="66" t="inlineStr">
        <is>
          <t>Citic Heavy Industries Chile SpA</t>
        </is>
      </c>
      <c r="B377" s="66" t="inlineStr">
        <is>
          <t>Chancadores</t>
        </is>
      </c>
      <c r="C377" s="66" t="inlineStr">
        <is>
          <t>Santiago</t>
        </is>
      </c>
      <c r="D377" s="66" t="inlineStr">
        <is>
          <t>infosa@citic-hic.com</t>
        </is>
      </c>
      <c r="E377" s="66" t="inlineStr">
        <is>
          <t>(56) 2 2885 5914</t>
        </is>
      </c>
      <c r="F377" s="66" t="n"/>
      <c r="G377" s="66" t="n"/>
      <c r="H377" s="66" t="n"/>
      <c r="I377" s="66" t="inlineStr">
        <is>
          <t>76.306.293-7</t>
        </is>
      </c>
      <c r="J377" s="66" t="n"/>
      <c r="K377" s="66" t="inlineStr">
        <is>
          <t>Ventas: MEDIANA 2 (50.000 - 100.000 UF) | Empleados: 2</t>
        </is>
      </c>
      <c r="L377" s="61" t="n"/>
      <c r="M377" s="61" t="n"/>
      <c r="N377" s="61" t="n"/>
      <c r="O377" s="61" t="n"/>
      <c r="P377" s="61" t="n"/>
      <c r="Q377" s="62" t="n"/>
      <c r="R377" s="61" t="n"/>
    </row>
    <row r="378" ht="15.75" customHeight="1" s="38">
      <c r="A378" s="66" t="inlineStr">
        <is>
          <t>CityMóvil S.A.</t>
        </is>
      </c>
      <c r="B378" s="66" t="inlineStr">
        <is>
          <t>Control de Flotas por GPS, Sistemas para Control de Flotas</t>
        </is>
      </c>
      <c r="C378" s="66" t="inlineStr">
        <is>
          <t>Santiago</t>
        </is>
      </c>
      <c r="D378" s="66" t="inlineStr">
        <is>
          <t>contacto@citymovil.cl</t>
        </is>
      </c>
      <c r="E378" s="66" t="inlineStr">
        <is>
          <t>(56) 2 2940 4300</t>
        </is>
      </c>
      <c r="F378" s="66" t="n"/>
      <c r="G378" s="66" t="n"/>
      <c r="H378" s="66" t="n"/>
      <c r="I378" s="66" t="inlineStr">
        <is>
          <t>99.504.690-3</t>
        </is>
      </c>
      <c r="J378" s="66" t="n"/>
      <c r="K378" s="66" t="inlineStr">
        <is>
          <t>Ventas: MEDIANA 2 (50.000 - 100.000 UF) | Empleados: 28</t>
        </is>
      </c>
      <c r="L378" s="61" t="n"/>
      <c r="M378" s="61" t="n"/>
      <c r="N378" s="61" t="n"/>
      <c r="O378" s="61" t="n"/>
      <c r="P378" s="61" t="n"/>
      <c r="Q378" s="62" t="n"/>
      <c r="R378" s="61" t="n"/>
    </row>
    <row r="379" ht="15.75" customHeight="1" s="38">
      <c r="A379" s="66" t="inlineStr">
        <is>
          <t>Ciudad Luz</t>
        </is>
      </c>
      <c r="B379" s="66" t="inlineStr">
        <is>
          <t>Desarrollo de Energía Solar Fotovoltaica</t>
        </is>
      </c>
      <c r="C379" s="66" t="inlineStr">
        <is>
          <t>Santiago</t>
        </is>
      </c>
      <c r="D379" s="66" t="inlineStr">
        <is>
          <t>contacto@ciudadluz.cl</t>
        </is>
      </c>
      <c r="E379" s="66" t="inlineStr">
        <is>
          <t>(56) 2 2218 8330</t>
        </is>
      </c>
      <c r="F379" s="66" t="n"/>
      <c r="G379" s="66" t="n"/>
      <c r="H379" s="66" t="n"/>
      <c r="I379" s="66" t="inlineStr">
        <is>
          <t>76.293.289-K</t>
        </is>
      </c>
      <c r="J379" s="66" t="n"/>
      <c r="K379" s="66" t="inlineStr">
        <is>
          <t>Ventas: GRANDE 1 (100.000 - 200.000 UF) | Empleados: 69</t>
        </is>
      </c>
      <c r="L379" s="61" t="n"/>
      <c r="M379" s="61" t="n"/>
      <c r="N379" s="61" t="n"/>
      <c r="O379" s="61" t="n"/>
      <c r="P379" s="61" t="n"/>
      <c r="Q379" s="62" t="n"/>
      <c r="R379" s="61" t="n"/>
    </row>
    <row r="380" ht="15.75" customHeight="1" s="38">
      <c r="A380" s="66" t="inlineStr">
        <is>
          <t>Clariant Chile Ltda.</t>
        </is>
      </c>
      <c r="B380" s="66" t="inlineStr">
        <is>
          <t>Productos Químicos, Productos Químicos para la Minería</t>
        </is>
      </c>
      <c r="C380" s="66" t="inlineStr">
        <is>
          <t>Santiago</t>
        </is>
      </c>
      <c r="D380" s="66" t="n"/>
      <c r="E380" s="66" t="inlineStr">
        <is>
          <t>(56) 2 2373 4202</t>
        </is>
      </c>
      <c r="F380" s="66" t="n"/>
      <c r="G380" s="66" t="n"/>
      <c r="H380" s="66" t="n"/>
      <c r="I380" s="66" t="inlineStr">
        <is>
          <t>80.853.400-2</t>
        </is>
      </c>
      <c r="J380" s="66" t="n"/>
      <c r="K380" s="66" t="inlineStr">
        <is>
          <t>Ventas: MEDIANA (Estimado por Empleados) | Empleados: 68</t>
        </is>
      </c>
      <c r="L380" s="61" t="n"/>
      <c r="M380" s="61" t="n"/>
      <c r="N380" s="61" t="n"/>
      <c r="O380" s="61" t="n"/>
      <c r="P380" s="61" t="n"/>
      <c r="Q380" s="62" t="n"/>
      <c r="R380" s="61" t="n"/>
    </row>
    <row r="381" ht="15.75" customHeight="1" s="38">
      <c r="A381" s="66" t="inlineStr">
        <is>
          <t>Clean Light</t>
        </is>
      </c>
      <c r="B381" s="66" t="inlineStr">
        <is>
          <t>Torres de Comunicaciones Solar, Torres de Iluminacion Solar</t>
        </is>
      </c>
      <c r="C381" s="66" t="inlineStr">
        <is>
          <t>Santiago</t>
        </is>
      </c>
      <c r="D381" s="66" t="inlineStr">
        <is>
          <t>ventas@cleanlight.cl</t>
        </is>
      </c>
      <c r="E381" s="66" t="inlineStr">
        <is>
          <t>(56) 9 3429 4732</t>
        </is>
      </c>
      <c r="F381" s="66" t="n"/>
      <c r="G381" s="66" t="n"/>
      <c r="H381" s="66" t="n"/>
      <c r="I381" s="66" t="inlineStr">
        <is>
          <t>77945904-7</t>
        </is>
      </c>
      <c r="J381" s="66" t="n"/>
      <c r="K381" s="66" t="inlineStr">
        <is>
          <t>Ventas: MICRO 2 (200 - 600 UF) | Empleados: 0</t>
        </is>
      </c>
      <c r="L381" s="61" t="n"/>
      <c r="M381" s="61" t="n"/>
      <c r="N381" s="61" t="n"/>
      <c r="O381" s="61" t="n"/>
      <c r="P381" s="61" t="n"/>
      <c r="Q381" s="62" t="n"/>
      <c r="R381" s="61" t="n"/>
    </row>
    <row r="382" ht="15.75" customHeight="1" s="38">
      <c r="A382" s="66" t="inlineStr">
        <is>
          <t>Clean Oil Services Latam</t>
        </is>
      </c>
      <c r="B382" s="66" t="inlineStr">
        <is>
          <t>Equipos de Lubricación</t>
        </is>
      </c>
      <c r="C382" s="66" t="inlineStr">
        <is>
          <t>Santiago</t>
        </is>
      </c>
      <c r="D382" s="66" t="inlineStr">
        <is>
          <t>fabiola@cleanoilservices.com</t>
        </is>
      </c>
      <c r="E382" s="66" t="inlineStr">
        <is>
          <t>(56) 9 7395 9933</t>
        </is>
      </c>
      <c r="F382" s="66" t="n"/>
      <c r="G382" s="66" t="n"/>
      <c r="H382" s="66" t="n"/>
      <c r="I382" s="66" t="inlineStr">
        <is>
          <t>77084917-9</t>
        </is>
      </c>
      <c r="J382" s="66" t="n"/>
      <c r="K382" s="66" t="inlineStr">
        <is>
          <t>Ventas: MICRO 1 (0.01 - 200 UF) | Empleados: 0</t>
        </is>
      </c>
      <c r="L382" s="61" t="n"/>
      <c r="M382" s="61" t="n"/>
      <c r="N382" s="61" t="n"/>
      <c r="O382" s="61" t="n"/>
      <c r="P382" s="61" t="n"/>
      <c r="Q382" s="62" t="n"/>
      <c r="R382" s="61" t="n"/>
    </row>
    <row r="383" ht="15.75" customHeight="1" s="38">
      <c r="A383" s="66" t="inlineStr">
        <is>
          <t>Clemsa</t>
        </is>
      </c>
      <c r="B383" s="66" t="inlineStr">
        <is>
          <t>Camiones, Cargadores Frontales</t>
        </is>
      </c>
      <c r="C383" s="66" t="inlineStr">
        <is>
          <t>Santiago</t>
        </is>
      </c>
      <c r="D383" s="66" t="inlineStr">
        <is>
          <t>info@clemsa.cl</t>
        </is>
      </c>
      <c r="E383" s="66" t="inlineStr">
        <is>
          <t>(56) 2 2510 8100</t>
        </is>
      </c>
      <c r="F383" s="66" t="inlineStr">
        <is>
          <t>Gerente de TI / CIO (Director de Tecnología)</t>
        </is>
      </c>
      <c r="G383" s="66" t="n"/>
      <c r="H383" s="66" t="n"/>
      <c r="I383" s="66" t="inlineStr">
        <is>
          <t>94.836.000-4</t>
        </is>
      </c>
      <c r="J383" s="66" t="n"/>
      <c r="K383" s="66" t="inlineStr">
        <is>
          <t>Ventas: GRANDE 4 (Mas de 1.000.000 UF) | Empleados: 133</t>
        </is>
      </c>
      <c r="L383" s="61" t="n"/>
      <c r="M383" s="61" t="n"/>
      <c r="N383" s="61" t="n"/>
      <c r="O383" s="61" t="n"/>
      <c r="P383" s="61" t="n"/>
      <c r="Q383" s="62" t="n"/>
      <c r="R383" s="61" t="n"/>
    </row>
    <row r="384" ht="15.75" customHeight="1" s="38">
      <c r="A384" s="66" t="inlineStr">
        <is>
          <t>CMJ Group</t>
        </is>
      </c>
      <c r="B384" s="66" t="inlineStr">
        <is>
          <t>Demoliciones, Reciclaje, Remediación</t>
        </is>
      </c>
      <c r="C384" s="66" t="inlineStr">
        <is>
          <t>Santiago</t>
        </is>
      </c>
      <c r="D384" s="66" t="inlineStr">
        <is>
          <t>lsalcedo@groupe-cmj.com</t>
        </is>
      </c>
      <c r="E384" s="66" t="inlineStr">
        <is>
          <t>(56) 9 9949 2364</t>
        </is>
      </c>
      <c r="F384" s="66" t="n"/>
      <c r="G384" s="66" t="n"/>
      <c r="H384" s="66" t="n"/>
      <c r="I384" s="66" t="inlineStr">
        <is>
          <t>77.169.234-6</t>
        </is>
      </c>
      <c r="J384" s="66" t="n"/>
      <c r="K384" s="66" t="inlineStr">
        <is>
          <t>Ventas: PEQUEÑA 3 (10.000 - 25.000 UF) | Empleados: 2</t>
        </is>
      </c>
      <c r="L384" s="61" t="n"/>
      <c r="M384" s="61" t="n"/>
      <c r="N384" s="61" t="n"/>
      <c r="O384" s="61" t="n"/>
      <c r="P384" s="61" t="n"/>
      <c r="Q384" s="62" t="n"/>
      <c r="R384" s="61" t="n"/>
    </row>
    <row r="385" ht="15.75" customHeight="1" s="38">
      <c r="A385" s="66" t="inlineStr">
        <is>
          <t>CML Ltda.</t>
        </is>
      </c>
      <c r="B385" s="66" t="inlineStr">
        <is>
          <t>Sistemas para Riego en Pilas de Lixiviación</t>
        </is>
      </c>
      <c r="C385" s="66" t="inlineStr">
        <is>
          <t>Antofagasta</t>
        </is>
      </c>
      <c r="D385" s="66" t="inlineStr">
        <is>
          <t>lbrunel@cml-latin.cl</t>
        </is>
      </c>
      <c r="E385" s="66" t="inlineStr">
        <is>
          <t>(56) 55 277 7577</t>
        </is>
      </c>
      <c r="F385" s="66" t="n"/>
      <c r="G385" s="66" t="n"/>
      <c r="H385" s="66" t="n"/>
      <c r="I385" s="66" t="inlineStr">
        <is>
          <t>76.106.291-3</t>
        </is>
      </c>
      <c r="J385" s="66" t="n"/>
      <c r="K385" s="66" t="inlineStr">
        <is>
          <t>Ventas: GRANDE 3 (600.000 - 1.000.000 UF) | Empleados: 21</t>
        </is>
      </c>
      <c r="L385" s="61" t="n"/>
      <c r="M385" s="61" t="n"/>
      <c r="N385" s="61" t="n"/>
      <c r="O385" s="61" t="n"/>
      <c r="P385" s="61" t="n"/>
      <c r="Q385" s="62" t="n"/>
      <c r="R385" s="61" t="n"/>
    </row>
    <row r="386" ht="15.75" customHeight="1" s="38">
      <c r="A386" s="66" t="inlineStr">
        <is>
          <t>CMS Cepcor Chile</t>
        </is>
      </c>
      <c r="B386" s="66" t="inlineStr">
        <is>
          <t>Revestimientos de Trituradoras, Trituradoras</t>
        </is>
      </c>
      <c r="C386" s="66" t="inlineStr">
        <is>
          <t>Santiago</t>
        </is>
      </c>
      <c r="D386" s="66" t="inlineStr">
        <is>
          <t>ventas.chile@cmscepcor.com</t>
        </is>
      </c>
      <c r="E386" s="66" t="inlineStr">
        <is>
          <t>(56) 9 3903 8044</t>
        </is>
      </c>
      <c r="F386" s="66" t="n"/>
      <c r="G386" s="66" t="n"/>
      <c r="H386" s="66" t="n"/>
      <c r="I386" s="66" t="inlineStr">
        <is>
          <t>77723289-4</t>
        </is>
      </c>
      <c r="J386" s="66" t="n"/>
      <c r="K386" s="66" t="inlineStr">
        <is>
          <t>Ventas: MEDIANA 1 (25.000 - 50.000 UF) | Empleados: 2</t>
        </is>
      </c>
      <c r="L386" s="61" t="n"/>
      <c r="M386" s="61" t="n"/>
      <c r="N386" s="61" t="n"/>
      <c r="O386" s="61" t="n"/>
      <c r="P386" s="61" t="n"/>
      <c r="Q386" s="62" t="n"/>
      <c r="R386" s="61" t="n"/>
    </row>
    <row r="387" ht="15.75" customHeight="1" s="38">
      <c r="A387" s="66" t="inlineStr">
        <is>
          <t>Co-ol Ltda.</t>
        </is>
      </c>
      <c r="B387" s="66" t="inlineStr">
        <is>
          <t>Construcciones Modulares, Contenedores</t>
        </is>
      </c>
      <c r="C387" s="66" t="inlineStr">
        <is>
          <t>Santiago</t>
        </is>
      </c>
      <c r="D387" s="66" t="inlineStr">
        <is>
          <t>ventas@co-ol.cl</t>
        </is>
      </c>
      <c r="E387" s="66" t="inlineStr">
        <is>
          <t>(56) 2 2589 8700</t>
        </is>
      </c>
      <c r="F387" s="66" t="n"/>
      <c r="G387" s="66" t="n"/>
      <c r="H387" s="66" t="n"/>
      <c r="I387" s="66" t="inlineStr">
        <is>
          <t>77.568.400-3</t>
        </is>
      </c>
      <c r="J387" s="66" t="n"/>
      <c r="K387" s="66" t="inlineStr">
        <is>
          <t>Ventas: GRANDE 3 (600.000 - 1.000.000 UF) | Empleados: 299</t>
        </is>
      </c>
      <c r="L387" s="61" t="n"/>
      <c r="M387" s="61" t="n"/>
      <c r="N387" s="61" t="n"/>
      <c r="O387" s="61" t="n"/>
      <c r="P387" s="61" t="n"/>
      <c r="Q387" s="62" t="n"/>
      <c r="R387" s="61" t="n"/>
    </row>
    <row r="388" ht="15.75" customHeight="1" s="38">
      <c r="A388" s="66" t="inlineStr">
        <is>
          <t>Coasin Logicalis</t>
        </is>
      </c>
      <c r="B388" s="66" t="inlineStr">
        <is>
          <t>Automatización de Procesos, Soluciones Informáticas para Gestión Minera</t>
        </is>
      </c>
      <c r="C388" s="66" t="inlineStr">
        <is>
          <t>Santiago</t>
        </is>
      </c>
      <c r="D388" s="66" t="inlineStr">
        <is>
          <t>info@la.logicalis.com</t>
        </is>
      </c>
      <c r="E388" s="66" t="inlineStr">
        <is>
          <t>(56) 2 2410 8000</t>
        </is>
      </c>
      <c r="F388" s="66" t="n"/>
      <c r="G388" s="66" t="n"/>
      <c r="H388" s="66" t="n"/>
      <c r="I388" s="66" t="inlineStr">
        <is>
          <t>82.049.000-2</t>
        </is>
      </c>
      <c r="J388" s="66" t="n"/>
      <c r="K388" s="66" t="inlineStr">
        <is>
          <t>Ventas: GRANDE (Estimado por Empleados) | Empleados: 1538</t>
        </is>
      </c>
      <c r="L388" s="61" t="n"/>
      <c r="M388" s="61" t="n"/>
      <c r="N388" s="61" t="n"/>
      <c r="O388" s="61" t="n"/>
      <c r="P388" s="61" t="n"/>
      <c r="Q388" s="62" t="n"/>
      <c r="R388" s="61" t="n"/>
    </row>
    <row r="389" ht="15.75" customHeight="1" s="38">
      <c r="A389" s="66" t="inlineStr">
        <is>
          <t>Coberplas</t>
        </is>
      </c>
      <c r="B389" s="66" t="inlineStr">
        <is>
          <t>Carpas Térmicas, Carpas y Toldos</t>
        </is>
      </c>
      <c r="C389" s="66" t="inlineStr">
        <is>
          <t>Santiago</t>
        </is>
      </c>
      <c r="D389" s="66" t="inlineStr">
        <is>
          <t>ventas@coberplas.cl</t>
        </is>
      </c>
      <c r="E389" s="66" t="inlineStr">
        <is>
          <t>(56) 2 2622 6367</t>
        </is>
      </c>
      <c r="F389" s="66" t="n"/>
      <c r="G389" s="66" t="n"/>
      <c r="H389" s="66" t="n"/>
      <c r="I389" s="66" t="inlineStr">
        <is>
          <t>79.877.600-2</t>
        </is>
      </c>
      <c r="J389" s="66" t="n"/>
      <c r="K389" s="66" t="inlineStr">
        <is>
          <t>Ventas: PEQUEÑA 3 (10.000 - 25.000 UF) | Empleados: 7</t>
        </is>
      </c>
      <c r="L389" s="61" t="n"/>
      <c r="M389" s="61" t="n"/>
      <c r="N389" s="61" t="n"/>
      <c r="O389" s="61" t="n"/>
      <c r="P389" s="61" t="n"/>
      <c r="Q389" s="62" t="n"/>
      <c r="R389" s="61" t="n"/>
    </row>
    <row r="390" ht="15.75" customHeight="1" s="38">
      <c r="A390" s="66" t="inlineStr">
        <is>
          <t>Cocesa Prysmian Group</t>
        </is>
      </c>
      <c r="B390" s="66" t="inlineStr">
        <is>
          <t>Cables Eléctricos</t>
        </is>
      </c>
      <c r="C390" s="66" t="inlineStr">
        <is>
          <t>Santiago</t>
        </is>
      </c>
      <c r="D390" s="66" t="inlineStr">
        <is>
          <t>info.chile@prysmiangroup.com</t>
        </is>
      </c>
      <c r="E390" s="66" t="inlineStr">
        <is>
          <t>(56) 2 2422 2200</t>
        </is>
      </c>
      <c r="F390" s="66" t="n"/>
      <c r="G390" s="66" t="n"/>
      <c r="H390" s="66" t="n"/>
      <c r="I390" s="66" t="inlineStr">
        <is>
          <t>91.449.000-6</t>
        </is>
      </c>
      <c r="J390" s="66" t="n"/>
      <c r="K390" s="66" t="inlineStr">
        <is>
          <t>Ventas: GRANDE (Estimado por Empleados) | Empleados: 412</t>
        </is>
      </c>
      <c r="L390" s="61" t="n"/>
      <c r="M390" s="61" t="n"/>
      <c r="N390" s="61" t="n"/>
      <c r="O390" s="61" t="n"/>
      <c r="P390" s="61" t="n"/>
      <c r="Q390" s="62" t="n"/>
      <c r="R390" s="61" t="n"/>
    </row>
    <row r="391" ht="15.75" customHeight="1" s="38">
      <c r="A391" s="66" t="inlineStr">
        <is>
          <t>Codefine</t>
        </is>
      </c>
      <c r="B391" s="66" t="inlineStr">
        <is>
          <t>Embalajes Industriales, Sacos de Polipropileno</t>
        </is>
      </c>
      <c r="C391" s="66" t="inlineStr">
        <is>
          <t>Santiago</t>
        </is>
      </c>
      <c r="D391" s="66" t="inlineStr">
        <is>
          <t>marketing@codefine.com</t>
        </is>
      </c>
      <c r="E391" s="66" t="inlineStr">
        <is>
          <t>(56) 2 2906 8938</t>
        </is>
      </c>
      <c r="F391" s="66" t="n"/>
      <c r="G391" s="66" t="n"/>
      <c r="H391" s="66" t="n"/>
      <c r="I391" s="66" t="inlineStr">
        <is>
          <t>76.188.116-7</t>
        </is>
      </c>
      <c r="J391" s="66" t="n"/>
      <c r="K391" s="66" t="inlineStr">
        <is>
          <t>Ventas: GRANDE 1 (100.000 - 200.000 UF) | Empleados: 5</t>
        </is>
      </c>
      <c r="L391" s="61" t="n"/>
      <c r="M391" s="61" t="n"/>
      <c r="N391" s="61" t="n"/>
      <c r="O391" s="61" t="n"/>
      <c r="P391" s="61" t="n"/>
      <c r="Q391" s="62" t="n"/>
      <c r="R391" s="61" t="n"/>
    </row>
    <row r="392" ht="15.75" customHeight="1" s="38">
      <c r="A392" s="66" t="inlineStr">
        <is>
          <t>Codelco Chile División Minera Gabriela Mistral</t>
        </is>
      </c>
      <c r="B392" s="66" t="inlineStr">
        <is>
          <t>Cobre</t>
        </is>
      </c>
      <c r="C392" s="66" t="inlineStr">
        <is>
          <t>Calama</t>
        </is>
      </c>
      <c r="D392" s="66" t="inlineStr">
        <is>
          <t>info@mineragaby.cl</t>
        </is>
      </c>
      <c r="E392" s="66" t="inlineStr">
        <is>
          <t>(56) 55 232 8277</t>
        </is>
      </c>
      <c r="F392" s="66" t="inlineStr">
        <is>
          <t>José Ramón Abatte (Gerente Corp Tecnología)</t>
        </is>
      </c>
      <c r="G392" s="66" t="inlineStr">
        <is>
          <t>jabatte@codelco.cl</t>
        </is>
      </c>
      <c r="H392" s="66" t="n"/>
      <c r="I392" s="66" t="inlineStr">
        <is>
          <t>76.685.790-6</t>
        </is>
      </c>
      <c r="J392" s="66" t="inlineStr">
        <is>
          <t>Digitalización Faenas</t>
        </is>
      </c>
      <c r="K392" s="66" t="inlineStr">
        <is>
          <t>Ventas: No en base SII | Empleados: S/I</t>
        </is>
      </c>
      <c r="L392" s="61" t="n"/>
      <c r="M392" s="61" t="n"/>
      <c r="N392" s="61" t="n"/>
      <c r="O392" s="61" t="n"/>
      <c r="P392" s="61" t="n"/>
      <c r="Q392" s="62" t="n"/>
      <c r="R392" s="61" t="n"/>
    </row>
    <row r="393" ht="15.75" customHeight="1" s="38">
      <c r="A393" s="59" t="inlineStr">
        <is>
          <t>Codelco Chile División Salvador</t>
        </is>
      </c>
      <c r="B393" s="59" t="inlineStr">
        <is>
          <t>Barro Anódico, Cátodos de Cobre, Cobre, Concentrado de Cobre, Plata</t>
        </is>
      </c>
      <c r="C393" s="59" t="inlineStr">
        <is>
          <t>El Salvador</t>
        </is>
      </c>
      <c r="D393" s="59" t="inlineStr">
        <is>
          <t>comunicaciones_dmh@codelco.cl</t>
        </is>
      </c>
      <c r="E393" s="59" t="inlineStr">
        <is>
          <t>(56) 52 247 2514</t>
        </is>
      </c>
      <c r="F393" s="59" t="inlineStr">
        <is>
          <t>José Ramón Abatte (Gerente Corp Tecnología)</t>
        </is>
      </c>
      <c r="G393" s="59" t="inlineStr">
        <is>
          <t>jabatte@codelco.cl</t>
        </is>
      </c>
      <c r="H393" s="59" t="n"/>
      <c r="I393" s="59" t="inlineStr">
        <is>
          <t>61.704.000-K</t>
        </is>
      </c>
      <c r="J393" s="59" t="inlineStr">
        <is>
          <t>Digitalización Faenas</t>
        </is>
      </c>
      <c r="K393" s="59" t="inlineStr">
        <is>
          <t>Ventas: GRANDE (Estimado por Empleados) | Empleados: 16946</t>
        </is>
      </c>
      <c r="L393" s="61" t="n"/>
      <c r="M393" s="61" t="n"/>
      <c r="N393" s="61" t="n"/>
      <c r="O393" s="61" t="n"/>
      <c r="P393" s="61" t="n"/>
      <c r="Q393" s="62" t="n"/>
      <c r="R393" s="61" t="n"/>
    </row>
    <row r="394" ht="15.75" customHeight="1" s="38">
      <c r="A394" s="66" t="inlineStr">
        <is>
          <t>CodelcoTech</t>
        </is>
      </c>
      <c r="B394" s="66" t="inlineStr">
        <is>
          <t>Asesorías en Ingeniería, Asesorías en Procesos Mineros</t>
        </is>
      </c>
      <c r="C394" s="66" t="inlineStr">
        <is>
          <t>Santiago</t>
        </is>
      </c>
      <c r="D394" s="66" t="n"/>
      <c r="E394" s="66" t="inlineStr">
        <is>
          <t>(56) 2 2690 3888</t>
        </is>
      </c>
      <c r="F394" s="66" t="inlineStr">
        <is>
          <t>José Ramón Abatte (Gerente Corp Tecnología)</t>
        </is>
      </c>
      <c r="G394" s="66" t="inlineStr">
        <is>
          <t>jabatte@codelco.cl</t>
        </is>
      </c>
      <c r="H394" s="66" t="n"/>
      <c r="I394" s="66" t="inlineStr">
        <is>
          <t>96.991.180-9</t>
        </is>
      </c>
      <c r="J394" s="66" t="inlineStr">
        <is>
          <t>Digitalización Faenas</t>
        </is>
      </c>
      <c r="K394" s="66" t="inlineStr">
        <is>
          <t>Ventas: MICRO 1 (0.01 - 200 UF) | Empleados: 0</t>
        </is>
      </c>
      <c r="L394" s="61" t="n"/>
      <c r="M394" s="61" t="n"/>
      <c r="N394" s="61" t="n"/>
      <c r="O394" s="61" t="n"/>
      <c r="P394" s="61" t="n"/>
      <c r="Q394" s="62" t="n"/>
      <c r="R394" s="61" t="n"/>
    </row>
    <row r="395" ht="15.75" customHeight="1" s="38">
      <c r="A395" s="66" t="inlineStr">
        <is>
          <t>Codelpa Chile S.A.</t>
        </is>
      </c>
      <c r="B395" s="66" t="inlineStr">
        <is>
          <t>Anticorrosivos</t>
        </is>
      </c>
      <c r="C395" s="66" t="inlineStr">
        <is>
          <t>Santiago</t>
        </is>
      </c>
      <c r="D395" s="66" t="inlineStr">
        <is>
          <t>jcmatta@codelpa.cl</t>
        </is>
      </c>
      <c r="E395" s="66" t="inlineStr">
        <is>
          <t>(56) 2 2592 8000</t>
        </is>
      </c>
      <c r="F395" s="66" t="n"/>
      <c r="G395" s="66" t="n"/>
      <c r="H395" s="66" t="n"/>
      <c r="I395" s="66" t="inlineStr">
        <is>
          <t>94.668.000-1</t>
        </is>
      </c>
      <c r="J395" s="66" t="n"/>
      <c r="K395" s="66" t="inlineStr">
        <is>
          <t>Ventas: GRANDE (Estimado por Empleados) | Empleados: 729</t>
        </is>
      </c>
      <c r="L395" s="61" t="n"/>
      <c r="M395" s="61" t="n"/>
      <c r="N395" s="61" t="n"/>
      <c r="O395" s="61" t="n"/>
      <c r="P395" s="61" t="n"/>
      <c r="Q395" s="62" t="n"/>
      <c r="R395" s="61" t="n"/>
    </row>
    <row r="396" ht="15.75" customHeight="1" s="38">
      <c r="A396" s="66" t="inlineStr">
        <is>
          <t>Coditec S.A.</t>
        </is>
      </c>
      <c r="B396" s="66" t="inlineStr">
        <is>
          <t>Abrasivos, Brocas Diamantadas</t>
        </is>
      </c>
      <c r="C396" s="66" t="inlineStr">
        <is>
          <t>Santiago</t>
        </is>
      </c>
      <c r="D396" s="66" t="inlineStr">
        <is>
          <t>ventas@coditec.cl</t>
        </is>
      </c>
      <c r="E396" s="66" t="inlineStr">
        <is>
          <t>(56) 2 2964 4482</t>
        </is>
      </c>
      <c r="F396" s="66" t="n"/>
      <c r="G396" s="66" t="n"/>
      <c r="H396" s="66" t="n"/>
      <c r="I396" s="66" t="inlineStr">
        <is>
          <t>93.125.000-0</t>
        </is>
      </c>
      <c r="J396" s="66" t="n"/>
      <c r="K396" s="66" t="inlineStr">
        <is>
          <t>Ventas: GRANDE 1 (100.000 - 200.000 UF) | Empleados: 9</t>
        </is>
      </c>
      <c r="L396" s="61" t="n"/>
      <c r="M396" s="61" t="n"/>
      <c r="N396" s="61" t="n"/>
      <c r="O396" s="61" t="n"/>
      <c r="P396" s="61" t="n"/>
      <c r="Q396" s="62" t="n"/>
      <c r="R396" s="61" t="n"/>
    </row>
    <row r="397" ht="15.75" customHeight="1" s="38">
      <c r="A397" s="66" t="inlineStr">
        <is>
          <t>Coelpro</t>
        </is>
      </c>
      <c r="B397" s="66" t="inlineStr">
        <is>
          <t>Seguridad Electrónica</t>
        </is>
      </c>
      <c r="C397" s="66" t="inlineStr">
        <is>
          <t>Concepción</t>
        </is>
      </c>
      <c r="D397" s="66" t="inlineStr">
        <is>
          <t>juanastete@coelpro.cl</t>
        </is>
      </c>
      <c r="E397" s="66" t="inlineStr">
        <is>
          <t>(56) 9 7699 3554</t>
        </is>
      </c>
      <c r="F397" s="66" t="n"/>
      <c r="G397" s="66" t="n"/>
      <c r="H397" s="66" t="n"/>
      <c r="I397" s="66" t="inlineStr">
        <is>
          <t>78.548.210-7</t>
        </is>
      </c>
      <c r="J397" s="66" t="n"/>
      <c r="K397" s="66" t="inlineStr">
        <is>
          <t>Ventas: PEQUEÑA 3 (10.000 - 25.000 UF) | Empleados: 0</t>
        </is>
      </c>
      <c r="L397" s="61" t="n"/>
      <c r="M397" s="61" t="n"/>
      <c r="N397" s="61" t="n"/>
      <c r="O397" s="61" t="n"/>
      <c r="P397" s="61" t="n"/>
      <c r="Q397" s="62" t="n"/>
      <c r="R397" s="61" t="n"/>
    </row>
    <row r="398" ht="15.75" customHeight="1" s="38">
      <c r="A398" s="66" t="inlineStr">
        <is>
          <t>Coener</t>
        </is>
      </c>
      <c r="B398" s="66" t="inlineStr">
        <is>
          <t>Servicios de Ingeniería y Consultoría en Proyectos de ERNC</t>
        </is>
      </c>
      <c r="C398" s="66" t="inlineStr">
        <is>
          <t>Santiago</t>
        </is>
      </c>
      <c r="D398" s="66" t="n"/>
      <c r="E398" s="66" t="inlineStr">
        <is>
          <t>(56) 2 2993 7870</t>
        </is>
      </c>
      <c r="F398" s="66" t="n"/>
      <c r="G398" s="66" t="n"/>
      <c r="H398" s="66" t="n"/>
      <c r="I398" s="66" t="inlineStr">
        <is>
          <t>76162469-5</t>
        </is>
      </c>
      <c r="J398" s="66" t="n"/>
      <c r="K398" s="66" t="inlineStr">
        <is>
          <t>Ventas: MICRO 2 (200 - 600 UF) | Empleados: 0</t>
        </is>
      </c>
      <c r="L398" s="61" t="n"/>
      <c r="M398" s="61" t="n"/>
      <c r="N398" s="61" t="n"/>
      <c r="O398" s="61" t="n"/>
      <c r="P398" s="61" t="n"/>
      <c r="Q398" s="62" t="n"/>
      <c r="R398" s="61" t="n"/>
    </row>
    <row r="399" ht="15.75" customHeight="1" s="38">
      <c r="A399" s="66" t="inlineStr">
        <is>
          <t>Coexco Chile S.A</t>
        </is>
      </c>
      <c r="B399" s="66" t="inlineStr">
        <is>
          <t>Transporte Aéreo, Transporte Marítimo</t>
        </is>
      </c>
      <c r="C399" s="66" t="inlineStr">
        <is>
          <t>Santiago</t>
        </is>
      </c>
      <c r="D399" s="66" t="inlineStr">
        <is>
          <t>info@coexco.cl</t>
        </is>
      </c>
      <c r="E399" s="66" t="inlineStr">
        <is>
          <t>(56) 2 2469 3000</t>
        </is>
      </c>
      <c r="F399" s="66" t="n"/>
      <c r="G399" s="66" t="n"/>
      <c r="H399" s="66" t="n"/>
      <c r="I399" s="66" t="inlineStr">
        <is>
          <t>96.992.440-4</t>
        </is>
      </c>
      <c r="J399" s="66" t="n"/>
      <c r="K399" s="66" t="inlineStr">
        <is>
          <t>Ventas: GRANDE 2 (200.000 - 600.000 UF) | Empleados: 18</t>
        </is>
      </c>
      <c r="L399" s="61" t="n"/>
      <c r="M399" s="61" t="n"/>
      <c r="N399" s="61" t="n"/>
      <c r="O399" s="61" t="n"/>
      <c r="P399" s="61" t="n"/>
      <c r="Q399" s="62" t="n"/>
      <c r="R399" s="61" t="n"/>
    </row>
    <row r="400" ht="15.75" customHeight="1" s="38">
      <c r="A400" s="66" t="inlineStr">
        <is>
          <t>Cogutsa Chile</t>
        </is>
      </c>
      <c r="B400" s="66" t="inlineStr">
        <is>
          <t>Construcción y Mantención de Caminos Mineros, Producción de Aridos</t>
        </is>
      </c>
      <c r="C400" s="66" t="inlineStr">
        <is>
          <t>Santiago</t>
        </is>
      </c>
      <c r="D400" s="66" t="n"/>
      <c r="E400" s="66" t="inlineStr">
        <is>
          <t>(56) 2 2745 1782</t>
        </is>
      </c>
      <c r="F400" s="66" t="n"/>
      <c r="G400" s="66" t="n"/>
      <c r="H400" s="66" t="n"/>
      <c r="I400" s="66" t="inlineStr">
        <is>
          <t>96.948.160-K</t>
        </is>
      </c>
      <c r="J400" s="66" t="n"/>
      <c r="K400" s="66" t="inlineStr">
        <is>
          <t>Ventas: GRANDE 2 (200.000 - 600.000 UF) | Empleados: 85</t>
        </is>
      </c>
      <c r="L400" s="61" t="n"/>
      <c r="M400" s="61" t="n"/>
      <c r="N400" s="61" t="n"/>
      <c r="O400" s="61" t="n"/>
      <c r="P400" s="61" t="n"/>
      <c r="Q400" s="62" t="n"/>
      <c r="R400" s="61" t="n"/>
    </row>
    <row r="401" ht="15.75" customHeight="1" s="38">
      <c r="A401" s="66" t="inlineStr">
        <is>
          <t>Coimco S.A.</t>
        </is>
      </c>
      <c r="B401" s="66" t="inlineStr">
        <is>
          <t>Computadores Industriales</t>
        </is>
      </c>
      <c r="C401" s="66" t="inlineStr">
        <is>
          <t>Santiago</t>
        </is>
      </c>
      <c r="D401" s="66" t="inlineStr">
        <is>
          <t>ventas@coimco.cl</t>
        </is>
      </c>
      <c r="E401" s="66" t="inlineStr">
        <is>
          <t>(56) 2 2565 7200</t>
        </is>
      </c>
      <c r="F401" s="66" t="n"/>
      <c r="G401" s="66" t="n"/>
      <c r="H401" s="66" t="n"/>
      <c r="I401" s="66" t="inlineStr">
        <is>
          <t>76.519.120-3</t>
        </is>
      </c>
      <c r="J401" s="66" t="n"/>
      <c r="K401" s="66" t="inlineStr">
        <is>
          <t>Ventas: GRANDE 2 (200.000 - 600.000 UF) | Empleados: 21</t>
        </is>
      </c>
      <c r="L401" s="61" t="n"/>
      <c r="M401" s="61" t="n"/>
      <c r="N401" s="61" t="n"/>
      <c r="O401" s="61" t="n"/>
      <c r="P401" s="61" t="n"/>
      <c r="Q401" s="62" t="n"/>
      <c r="R401" s="61" t="n"/>
    </row>
    <row r="402" ht="15.75" customHeight="1" s="38">
      <c r="A402" s="66" t="inlineStr">
        <is>
          <t>Colada Continua Chilena S.A.</t>
        </is>
      </c>
      <c r="B402" s="66" t="inlineStr">
        <is>
          <t>Alambrón de Cobre</t>
        </is>
      </c>
      <c r="C402" s="66" t="inlineStr">
        <is>
          <t>Santiago</t>
        </is>
      </c>
      <c r="D402" s="66" t="inlineStr">
        <is>
          <t>contacto@coladacontinua.cl</t>
        </is>
      </c>
      <c r="E402" s="66" t="inlineStr">
        <is>
          <t>(56) 2 2964 9070</t>
        </is>
      </c>
      <c r="F402" s="66" t="n"/>
      <c r="G402" s="66" t="n"/>
      <c r="H402" s="66" t="n"/>
      <c r="I402" s="66" t="inlineStr">
        <is>
          <t>96.528.000-6</t>
        </is>
      </c>
      <c r="J402" s="66" t="n"/>
      <c r="K402" s="66" t="inlineStr">
        <is>
          <t>Ventas: MEDIANA (Estimado por Empleados) | Empleados: 75</t>
        </is>
      </c>
      <c r="L402" s="61" t="n"/>
      <c r="M402" s="61" t="n"/>
      <c r="N402" s="61" t="n"/>
      <c r="O402" s="61" t="n"/>
      <c r="P402" s="61" t="n"/>
      <c r="Q402" s="62" t="n"/>
      <c r="R402" s="61" t="n"/>
    </row>
    <row r="403" ht="15.75" customHeight="1" s="38">
      <c r="A403" s="66" t="inlineStr">
        <is>
          <t>Colvin &amp; Cía. Ltda.</t>
        </is>
      </c>
      <c r="B403" s="66" t="inlineStr">
        <is>
          <t>Cámaras Térmicas, Termografía</t>
        </is>
      </c>
      <c r="C403" s="66" t="inlineStr">
        <is>
          <t>Santiago</t>
        </is>
      </c>
      <c r="D403" s="66" t="inlineStr">
        <is>
          <t>contacto@colvinycia.cl</t>
        </is>
      </c>
      <c r="E403" s="66" t="inlineStr">
        <is>
          <t>(56) 2 2211 9824</t>
        </is>
      </c>
      <c r="F403" s="66" t="n"/>
      <c r="G403" s="66" t="n"/>
      <c r="H403" s="66" t="n"/>
      <c r="I403" s="66" t="inlineStr">
        <is>
          <t>89.625.800-1</t>
        </is>
      </c>
      <c r="J403" s="66" t="n"/>
      <c r="K403" s="66" t="inlineStr">
        <is>
          <t>Ventas: GRANDE 2 (200.000 - 600.000 UF) | Empleados: 9</t>
        </is>
      </c>
      <c r="L403" s="61" t="n"/>
      <c r="M403" s="61" t="n"/>
      <c r="N403" s="61" t="n"/>
      <c r="O403" s="61" t="n"/>
      <c r="P403" s="61" t="n"/>
      <c r="Q403" s="62" t="n"/>
      <c r="R403" s="61" t="n"/>
    </row>
    <row r="404" ht="15.75" customHeight="1" s="38">
      <c r="A404" s="59" t="inlineStr">
        <is>
          <t>Comaco Servicios Logísticos SpA</t>
        </is>
      </c>
      <c r="B404" s="59" t="inlineStr">
        <is>
          <t>Arriendo de Grúas, Arriendo de Grúas Horquilla</t>
        </is>
      </c>
      <c r="C404" s="59" t="inlineStr">
        <is>
          <t>Santiago</t>
        </is>
      </c>
      <c r="D404" s="59" t="inlineStr">
        <is>
          <t>callcenter@comaco.cl</t>
        </is>
      </c>
      <c r="E404" s="59" t="inlineStr">
        <is>
          <t>(56) 2 2222 3192</t>
        </is>
      </c>
      <c r="F404" s="59" t="inlineStr">
        <is>
          <t>Ariel Viveros Sáez (Jefe Proyectos TI)</t>
        </is>
      </c>
      <c r="G404" s="59" t="n"/>
      <c r="H404" s="59" t="n"/>
      <c r="I404" s="59" t="inlineStr">
        <is>
          <t>99.587.850-K</t>
        </is>
      </c>
      <c r="J404" s="59" t="inlineStr">
        <is>
          <t>Continuidad Operativa Plantas</t>
        </is>
      </c>
      <c r="K404" s="59" t="inlineStr">
        <is>
          <t>Ventas: GRANDE 2 (200.000 - 600.000 UF) | Empleados: 61</t>
        </is>
      </c>
      <c r="L404" s="61" t="n"/>
      <c r="M404" s="61" t="n"/>
      <c r="N404" s="61" t="n"/>
      <c r="O404" s="61" t="n"/>
      <c r="P404" s="61" t="n"/>
      <c r="Q404" s="62" t="n"/>
      <c r="R404" s="61" t="n"/>
    </row>
    <row r="405" ht="15.75" customHeight="1" s="38">
      <c r="A405" s="66" t="inlineStr">
        <is>
          <t>Comdiel Ltda.</t>
        </is>
      </c>
      <c r="B405" s="66" t="inlineStr">
        <is>
          <t>Seguridad Industrial y Minera</t>
        </is>
      </c>
      <c r="C405" s="66" t="inlineStr">
        <is>
          <t>Santiago</t>
        </is>
      </c>
      <c r="D405" s="66" t="inlineStr">
        <is>
          <t>info@comdiel.cl</t>
        </is>
      </c>
      <c r="E405" s="66" t="inlineStr">
        <is>
          <t>(56) 2 2225 6775</t>
        </is>
      </c>
      <c r="F405" s="66" t="n"/>
      <c r="G405" s="66" t="n"/>
      <c r="H405" s="66" t="n"/>
      <c r="I405" s="66" t="inlineStr">
        <is>
          <t>79.789.710-8</t>
        </is>
      </c>
      <c r="J405" s="66" t="n"/>
      <c r="K405" s="66" t="inlineStr">
        <is>
          <t>Ventas: GRANDE 1 (100.000 - 200.000 UF) | Empleados: 15</t>
        </is>
      </c>
      <c r="L405" s="61" t="n"/>
      <c r="M405" s="61" t="n"/>
      <c r="N405" s="61" t="n"/>
      <c r="O405" s="61" t="n"/>
      <c r="P405" s="61" t="n"/>
      <c r="Q405" s="62" t="n"/>
      <c r="R405" s="61" t="n"/>
    </row>
    <row r="406" ht="15.75" customHeight="1" s="38">
      <c r="A406" s="66" t="inlineStr">
        <is>
          <t>Comercial Acuario Ltda.</t>
        </is>
      </c>
      <c r="B406" s="66" t="inlineStr">
        <is>
          <t>Electromecánica para Equipos Mineros</t>
        </is>
      </c>
      <c r="C406" s="66" t="inlineStr">
        <is>
          <t>Santiago</t>
        </is>
      </c>
      <c r="D406" s="66" t="inlineStr">
        <is>
          <t>ventas@comercialacuario.cl</t>
        </is>
      </c>
      <c r="E406" s="66" t="inlineStr">
        <is>
          <t>(56) 2 2699 5100</t>
        </is>
      </c>
      <c r="F406" s="66" t="n"/>
      <c r="G406" s="66" t="n"/>
      <c r="H406" s="66" t="n"/>
      <c r="I406" s="66" t="inlineStr">
        <is>
          <t>76639394-2</t>
        </is>
      </c>
      <c r="J406" s="66" t="n"/>
      <c r="K406" s="66" t="inlineStr">
        <is>
          <t>Ventas: MEDIANA 2 (50.000 - 100.000 UF) | Empleados: 19</t>
        </is>
      </c>
      <c r="L406" s="61" t="n"/>
      <c r="M406" s="61" t="n"/>
      <c r="N406" s="61" t="n"/>
      <c r="O406" s="61" t="n"/>
      <c r="P406" s="61" t="n"/>
      <c r="Q406" s="62" t="n"/>
      <c r="R406" s="61" t="n"/>
    </row>
    <row r="407" ht="15.75" customHeight="1" s="38">
      <c r="A407" s="66" t="inlineStr">
        <is>
          <t>Comercial Analab Chile S.A.</t>
        </is>
      </c>
      <c r="B407" s="66" t="inlineStr">
        <is>
          <t>Análisis Biológico, Análisis de Laboratorio para Control de Calidad</t>
        </is>
      </c>
      <c r="C407" s="66" t="inlineStr">
        <is>
          <t>Santiago</t>
        </is>
      </c>
      <c r="D407" s="66" t="inlineStr">
        <is>
          <t>servicioalcliente@analab.cl</t>
        </is>
      </c>
      <c r="E407" s="66" t="inlineStr">
        <is>
          <t>(56) 2 2479 0010</t>
        </is>
      </c>
      <c r="F407" s="66" t="n"/>
      <c r="G407" s="66" t="n"/>
      <c r="H407" s="66" t="n"/>
      <c r="I407" s="66" t="inlineStr">
        <is>
          <t>87.963.400-8</t>
        </is>
      </c>
      <c r="J407" s="66" t="n"/>
      <c r="K407" s="66" t="inlineStr">
        <is>
          <t>Ventas: GRANDE 1 (100.000 - 200.000 UF) | Empleados: 107</t>
        </is>
      </c>
      <c r="L407" s="61" t="n"/>
      <c r="M407" s="61" t="n"/>
      <c r="N407" s="61" t="n"/>
      <c r="O407" s="61" t="n"/>
      <c r="P407" s="61" t="n"/>
      <c r="Q407" s="62" t="n"/>
      <c r="R407" s="61" t="n"/>
    </row>
    <row r="408" ht="15.75" customHeight="1" s="38">
      <c r="A408" s="66" t="inlineStr">
        <is>
          <t>Comercial Anwo S.A.</t>
        </is>
      </c>
      <c r="B408" s="66" t="inlineStr">
        <is>
          <t>Aire Acondicionado, Calefacción</t>
        </is>
      </c>
      <c r="C408" s="66" t="inlineStr">
        <is>
          <t>Santiago</t>
        </is>
      </c>
      <c r="D408" s="66" t="inlineStr">
        <is>
          <t>kbrieba@anwo.cl</t>
        </is>
      </c>
      <c r="E408" s="66" t="inlineStr">
        <is>
          <t>(56) 2 2989 0000</t>
        </is>
      </c>
      <c r="F408" s="66" t="n"/>
      <c r="G408" s="66" t="n"/>
      <c r="H408" s="66" t="n"/>
      <c r="I408" s="66" t="inlineStr">
        <is>
          <t>99.574.860-6</t>
        </is>
      </c>
      <c r="J408" s="66" t="n"/>
      <c r="K408" s="66" t="inlineStr">
        <is>
          <t>Ventas: GRANDE (Estimado por Empleados) | Empleados: 281</t>
        </is>
      </c>
      <c r="L408" s="61" t="n"/>
      <c r="M408" s="61" t="n"/>
      <c r="N408" s="61" t="n"/>
      <c r="O408" s="61" t="n"/>
      <c r="P408" s="61" t="n"/>
      <c r="Q408" s="62" t="n"/>
      <c r="R408" s="61" t="n"/>
    </row>
    <row r="409" ht="15.75" customHeight="1" s="38">
      <c r="A409" s="66" t="inlineStr">
        <is>
          <t>Comercial Aragón S.A.</t>
        </is>
      </c>
      <c r="B409" s="66" t="inlineStr">
        <is>
          <t>Desarrollo de Proyectos Eléctricos</t>
        </is>
      </c>
      <c r="C409" s="66" t="inlineStr">
        <is>
          <t>Santiago</t>
        </is>
      </c>
      <c r="D409" s="66" t="inlineStr">
        <is>
          <t>ventas@aragonenergia.cl</t>
        </is>
      </c>
      <c r="E409" s="66" t="inlineStr">
        <is>
          <t>(56) 2 2495 3000</t>
        </is>
      </c>
      <c r="F409" s="66" t="inlineStr">
        <is>
          <t>Gerente de TI / CIO (Director de Tecnología)</t>
        </is>
      </c>
      <c r="G409" s="66" t="n"/>
      <c r="H409" s="66" t="n"/>
      <c r="I409" s="66" t="inlineStr">
        <is>
          <t>78.430.830-8</t>
        </is>
      </c>
      <c r="J409" s="66" t="n"/>
      <c r="K409" s="66" t="inlineStr">
        <is>
          <t>Ventas: GRANDE 4 (Mas de 1.000.000 UF) | Empleados: 127</t>
        </is>
      </c>
      <c r="L409" s="61" t="n"/>
      <c r="M409" s="61" t="n"/>
      <c r="N409" s="61" t="n"/>
      <c r="O409" s="61" t="n"/>
      <c r="P409" s="61" t="n"/>
      <c r="Q409" s="62" t="n"/>
      <c r="R409" s="61" t="n"/>
    </row>
    <row r="410" ht="15.75" customHeight="1" s="38">
      <c r="A410" s="66" t="inlineStr">
        <is>
          <t>Comercial Chrysler S.A.</t>
        </is>
      </c>
      <c r="B410" s="66" t="inlineStr">
        <is>
          <t>Camionetas</t>
        </is>
      </c>
      <c r="C410" s="66" t="inlineStr">
        <is>
          <t>Santiago</t>
        </is>
      </c>
      <c r="D410" s="66" t="inlineStr">
        <is>
          <t>postventa@comchrysler.cl</t>
        </is>
      </c>
      <c r="E410" s="66" t="inlineStr">
        <is>
          <t>(56) 2 2837 1300</t>
        </is>
      </c>
      <c r="F410" s="66" t="n"/>
      <c r="G410" s="66" t="n"/>
      <c r="H410" s="66" t="n"/>
      <c r="I410" s="66" t="inlineStr">
        <is>
          <t>96.676.670-0</t>
        </is>
      </c>
      <c r="J410" s="66" t="n"/>
      <c r="K410" s="66" t="inlineStr">
        <is>
          <t>Ventas: PEQUEÑA (Estimado por Empleados) | Empleados: 33</t>
        </is>
      </c>
      <c r="L410" s="61" t="n"/>
      <c r="M410" s="61" t="n"/>
      <c r="N410" s="61" t="n"/>
      <c r="O410" s="61" t="n"/>
      <c r="P410" s="61" t="n"/>
      <c r="Q410" s="62" t="n"/>
      <c r="R410" s="61" t="n"/>
    </row>
    <row r="411" ht="15.75" customHeight="1" s="38">
      <c r="A411" s="66" t="inlineStr">
        <is>
          <t>Comercial Doas Ltda.</t>
        </is>
      </c>
      <c r="B411" s="66" t="inlineStr">
        <is>
          <t>Anclajes Especiales</t>
        </is>
      </c>
      <c r="C411" s="66" t="inlineStr">
        <is>
          <t>Antofagasta</t>
        </is>
      </c>
      <c r="D411" s="66" t="inlineStr">
        <is>
          <t>comercial@doas.cl</t>
        </is>
      </c>
      <c r="E411" s="66" t="inlineStr">
        <is>
          <t>(56) 55 237 6137</t>
        </is>
      </c>
      <c r="F411" s="66" t="n"/>
      <c r="G411" s="66" t="n"/>
      <c r="H411" s="66" t="n"/>
      <c r="I411" s="66" t="inlineStr">
        <is>
          <t>77.268.190-9</t>
        </is>
      </c>
      <c r="J411" s="66" t="n"/>
      <c r="K411" s="66" t="inlineStr">
        <is>
          <t>Ventas: MEDIANA 2 (50.000 - 100.000 UF) | Empleados: 9</t>
        </is>
      </c>
      <c r="L411" s="61" t="n"/>
      <c r="M411" s="61" t="n"/>
      <c r="N411" s="61" t="n"/>
      <c r="O411" s="61" t="n"/>
      <c r="P411" s="61" t="n"/>
      <c r="Q411" s="62" t="n"/>
      <c r="R411" s="61" t="n"/>
    </row>
    <row r="412" ht="15.75" customHeight="1" s="38">
      <c r="A412" s="66" t="inlineStr">
        <is>
          <t>Comercial Díaz</t>
        </is>
      </c>
      <c r="B412" s="66" t="inlineStr">
        <is>
          <t>Revestimientos de Caucho, Revestimientos de Cerámica, Revestimientos de Poliuretano</t>
        </is>
      </c>
      <c r="C412" s="66" t="inlineStr">
        <is>
          <t>Requinoa</t>
        </is>
      </c>
      <c r="D412" s="66" t="inlineStr">
        <is>
          <t>ventas@cmdo.cl</t>
        </is>
      </c>
      <c r="E412" s="66" t="inlineStr">
        <is>
          <t>(56) 9 8429 6945</t>
        </is>
      </c>
      <c r="F412" s="66" t="n"/>
      <c r="G412" s="66" t="n"/>
      <c r="H412" s="66" t="n"/>
      <c r="I412" s="66" t="inlineStr">
        <is>
          <t>76.312.200-K</t>
        </is>
      </c>
      <c r="J412" s="66" t="n"/>
      <c r="K412" s="66" t="inlineStr">
        <is>
          <t>Ventas: No en base SII | Empleados: S/I</t>
        </is>
      </c>
      <c r="L412" s="61" t="n"/>
      <c r="M412" s="61" t="n"/>
      <c r="N412" s="61" t="n"/>
      <c r="O412" s="61" t="n"/>
      <c r="P412" s="61" t="n"/>
      <c r="Q412" s="62" t="n"/>
      <c r="R412" s="61" t="n"/>
    </row>
    <row r="413" ht="15.75" customHeight="1" s="38">
      <c r="A413" s="66" t="inlineStr">
        <is>
          <t>Comercial e Industrial CEG SpA</t>
        </is>
      </c>
      <c r="B413" s="66" t="inlineStr">
        <is>
          <t>Duchas para Seguridad Industrial, Equipos para Seguridad</t>
        </is>
      </c>
      <c r="C413" s="66" t="inlineStr">
        <is>
          <t>Santiago</t>
        </is>
      </c>
      <c r="D413" s="66" t="inlineStr">
        <is>
          <t>ventas@lavaojos.cl</t>
        </is>
      </c>
      <c r="E413" s="66" t="inlineStr">
        <is>
          <t>(56) 2 2842 8865</t>
        </is>
      </c>
      <c r="F413" s="66" t="n"/>
      <c r="G413" s="66" t="n"/>
      <c r="H413" s="66" t="n"/>
      <c r="I413" s="66" t="inlineStr">
        <is>
          <t>76.698.211-5</t>
        </is>
      </c>
      <c r="J413" s="66" t="n"/>
      <c r="K413" s="66" t="inlineStr">
        <is>
          <t>Ventas: MEDIANA 1 (25.000 - 50.000 UF) | Empleados: 13</t>
        </is>
      </c>
      <c r="L413" s="61" t="n"/>
      <c r="M413" s="61" t="n"/>
      <c r="N413" s="61" t="n"/>
      <c r="O413" s="61" t="n"/>
      <c r="P413" s="61" t="n"/>
      <c r="Q413" s="62" t="n"/>
      <c r="R413" s="61" t="n"/>
    </row>
    <row r="414" ht="15.75" customHeight="1" s="38">
      <c r="A414" s="66" t="inlineStr">
        <is>
          <t>Comercial e Industrial Paicaví Ltda.</t>
        </is>
      </c>
      <c r="B414" s="66" t="inlineStr">
        <is>
          <t>Radiadores</t>
        </is>
      </c>
      <c r="C414" s="66" t="inlineStr">
        <is>
          <t>Concepción</t>
        </is>
      </c>
      <c r="D414" s="66" t="inlineStr">
        <is>
          <t>ventas@paicavi.cl</t>
        </is>
      </c>
      <c r="E414" s="66" t="inlineStr">
        <is>
          <t>(56) 41 222 7092</t>
        </is>
      </c>
      <c r="F414" s="66" t="n"/>
      <c r="G414" s="66" t="n"/>
      <c r="H414" s="66" t="n"/>
      <c r="I414" s="66" t="inlineStr">
        <is>
          <t>86.436.700-3</t>
        </is>
      </c>
      <c r="J414" s="66" t="n"/>
      <c r="K414" s="66" t="inlineStr">
        <is>
          <t>Ventas: MEDIANA 2 (50.000 - 100.000 UF) | Empleados: 35</t>
        </is>
      </c>
      <c r="L414" s="61" t="n"/>
      <c r="M414" s="61" t="n"/>
      <c r="N414" s="61" t="n"/>
      <c r="O414" s="61" t="n"/>
      <c r="P414" s="61" t="n"/>
      <c r="Q414" s="62" t="n"/>
      <c r="R414" s="61" t="n"/>
    </row>
    <row r="415" ht="15.75" customHeight="1" s="38">
      <c r="A415" s="66" t="inlineStr">
        <is>
          <t>Comercial EKM Ltda.</t>
        </is>
      </c>
      <c r="B415" s="66" t="inlineStr">
        <is>
          <t>Equipos para la Minería, Productos para la Minería</t>
        </is>
      </c>
      <c r="C415" s="66" t="inlineStr">
        <is>
          <t>Santiago</t>
        </is>
      </c>
      <c r="D415" s="66" t="inlineStr">
        <is>
          <t>ventas@ekm.cl</t>
        </is>
      </c>
      <c r="E415" s="66" t="inlineStr">
        <is>
          <t>(56) 2 2793 0655</t>
        </is>
      </c>
      <c r="F415" s="66" t="n"/>
      <c r="G415" s="66" t="n"/>
      <c r="H415" s="66" t="n"/>
      <c r="I415" s="66" t="inlineStr">
        <is>
          <t>76.502.130-8</t>
        </is>
      </c>
      <c r="J415" s="66" t="n"/>
      <c r="K415" s="66" t="inlineStr">
        <is>
          <t>Ventas: MEDIANA 1 (25.000 - 50.000 UF) | Empleados: 14</t>
        </is>
      </c>
      <c r="L415" s="61" t="n"/>
      <c r="M415" s="61" t="n"/>
      <c r="N415" s="61" t="n"/>
      <c r="O415" s="61" t="n"/>
      <c r="P415" s="61" t="n"/>
      <c r="Q415" s="62" t="n"/>
      <c r="R415" s="61" t="n"/>
    </row>
    <row r="416" ht="15.75" customHeight="1" s="38">
      <c r="A416" s="66" t="inlineStr">
        <is>
          <t>Comercial Fade Ltda.</t>
        </is>
      </c>
      <c r="B416" s="66" t="inlineStr">
        <is>
          <t>Encapsulamiento de Correas Transportadoras, Transportadoras con Capotas en Materiales Compuestos</t>
        </is>
      </c>
      <c r="C416" s="66" t="inlineStr">
        <is>
          <t>Iquique</t>
        </is>
      </c>
      <c r="D416" s="66" t="inlineStr">
        <is>
          <t>gerencia@fade.cl</t>
        </is>
      </c>
      <c r="E416" s="66" t="inlineStr">
        <is>
          <t>(56) 57 276 5192</t>
        </is>
      </c>
      <c r="F416" s="66" t="n"/>
      <c r="G416" s="66" t="n"/>
      <c r="H416" s="66" t="n"/>
      <c r="I416" s="66" t="inlineStr">
        <is>
          <t>76.420.250-3</t>
        </is>
      </c>
      <c r="J416" s="66" t="n"/>
      <c r="K416" s="66" t="inlineStr">
        <is>
          <t>Ventas: GRANDE 1 (100.000 - 200.000 UF) | Empleados: 70</t>
        </is>
      </c>
      <c r="L416" s="61" t="n"/>
      <c r="M416" s="61" t="n"/>
      <c r="N416" s="61" t="n"/>
      <c r="O416" s="61" t="n"/>
      <c r="P416" s="61" t="n"/>
      <c r="Q416" s="62" t="n"/>
      <c r="R416" s="61" t="n"/>
    </row>
    <row r="417" ht="15.75" customHeight="1" s="38">
      <c r="A417" s="66" t="inlineStr">
        <is>
          <t>Comercial Fasser SpA</t>
        </is>
      </c>
      <c r="B417" s="66" t="inlineStr">
        <is>
          <t>Puertas y Portones</t>
        </is>
      </c>
      <c r="C417" s="66" t="inlineStr">
        <is>
          <t>Santiago</t>
        </is>
      </c>
      <c r="D417" s="66" t="inlineStr">
        <is>
          <t>contacto@fasser.cl</t>
        </is>
      </c>
      <c r="E417" s="66" t="inlineStr">
        <is>
          <t>(56) 2 2948 8390</t>
        </is>
      </c>
      <c r="F417" s="66" t="n"/>
      <c r="G417" s="66" t="n"/>
      <c r="H417" s="66" t="n"/>
      <c r="I417" s="66" t="inlineStr">
        <is>
          <t>77.702.460-4</t>
        </is>
      </c>
      <c r="J417" s="66" t="n"/>
      <c r="K417" s="66" t="inlineStr">
        <is>
          <t>Ventas: MEDIANA 2 (50.000 - 100.000 UF) | Empleados: 25</t>
        </is>
      </c>
      <c r="L417" s="61" t="n"/>
      <c r="M417" s="61" t="n"/>
      <c r="N417" s="61" t="n"/>
      <c r="O417" s="61" t="n"/>
      <c r="P417" s="61" t="n"/>
      <c r="Q417" s="62" t="n"/>
      <c r="R417" s="61" t="n"/>
    </row>
    <row r="418" ht="15.75" customHeight="1" s="38">
      <c r="A418" s="66" t="inlineStr">
        <is>
          <t>Comercial González Hermanos y Cía.</t>
        </is>
      </c>
      <c r="B418" s="66" t="inlineStr">
        <is>
          <t>Acoples</t>
        </is>
      </c>
      <c r="C418" s="66" t="inlineStr">
        <is>
          <t>Santiago</t>
        </is>
      </c>
      <c r="D418" s="66" t="inlineStr">
        <is>
          <t>info@hgb.cl</t>
        </is>
      </c>
      <c r="E418" s="66" t="inlineStr">
        <is>
          <t>(56) 2 2765 9739</t>
        </is>
      </c>
      <c r="F418" s="66" t="n"/>
      <c r="G418" s="66" t="n"/>
      <c r="H418" s="66" t="n"/>
      <c r="I418" s="66" t="inlineStr">
        <is>
          <t>76.315.920-5</t>
        </is>
      </c>
      <c r="J418" s="66" t="n"/>
      <c r="K418" s="66" t="inlineStr">
        <is>
          <t>Ventas: MEDIANA 1 (25.000 - 50.000 UF) | Empleados: 9</t>
        </is>
      </c>
      <c r="L418" s="61" t="n"/>
      <c r="M418" s="61" t="n"/>
      <c r="N418" s="61" t="n"/>
      <c r="O418" s="61" t="n"/>
      <c r="P418" s="61" t="n"/>
      <c r="Q418" s="62" t="n"/>
      <c r="R418" s="61" t="n"/>
    </row>
    <row r="419" ht="15.75" customHeight="1" s="38">
      <c r="A419" s="66" t="inlineStr">
        <is>
          <t>Comercial Hidrocentro</t>
        </is>
      </c>
      <c r="B419" s="66" t="inlineStr">
        <is>
          <t>Acoplamientos Hidráulicos, Transmisión de Potencia</t>
        </is>
      </c>
      <c r="C419" s="66" t="inlineStr">
        <is>
          <t>Santiago</t>
        </is>
      </c>
      <c r="D419" s="66" t="inlineStr">
        <is>
          <t>info@comercialhidrocentro.cl</t>
        </is>
      </c>
      <c r="E419" s="66" t="inlineStr">
        <is>
          <t>(56) 2 2361 0707</t>
        </is>
      </c>
      <c r="F419" s="66" t="n"/>
      <c r="G419" s="66" t="n"/>
      <c r="H419" s="66" t="n"/>
      <c r="I419" s="66" t="inlineStr">
        <is>
          <t>79.998.220-K</t>
        </is>
      </c>
      <c r="J419" s="66" t="n"/>
      <c r="K419" s="66" t="inlineStr">
        <is>
          <t>Ventas: GRANDE 2 (200.000 - 600.000 UF) | Empleados: 42</t>
        </is>
      </c>
      <c r="L419" s="61" t="n"/>
      <c r="M419" s="61" t="n"/>
      <c r="N419" s="61" t="n"/>
      <c r="O419" s="61" t="n"/>
      <c r="P419" s="61" t="n"/>
      <c r="Q419" s="62" t="n"/>
      <c r="R419" s="61" t="n"/>
    </row>
    <row r="420" ht="15.75" customHeight="1" s="38">
      <c r="A420" s="66" t="inlineStr">
        <is>
          <t>Comercial IVS S.A.</t>
        </is>
      </c>
      <c r="B420" s="66" t="inlineStr">
        <is>
          <t>Suministros para la Minería, Ventilación Subterránea</t>
        </is>
      </c>
      <c r="C420" s="66" t="inlineStr">
        <is>
          <t>Santiago</t>
        </is>
      </c>
      <c r="D420" s="66" t="inlineStr">
        <is>
          <t>info@ivs.cl</t>
        </is>
      </c>
      <c r="E420" s="66" t="inlineStr">
        <is>
          <t>(56) 2 2739 0226</t>
        </is>
      </c>
      <c r="F420" s="66" t="n"/>
      <c r="G420" s="66" t="n"/>
      <c r="H420" s="66" t="n"/>
      <c r="I420" s="66" t="inlineStr">
        <is>
          <t>76.077.129-5</t>
        </is>
      </c>
      <c r="J420" s="66" t="n"/>
      <c r="K420" s="66" t="inlineStr">
        <is>
          <t>Ventas: MICRO 1 (0.01 - 200 UF) | Empleados: 0</t>
        </is>
      </c>
      <c r="L420" s="61" t="n"/>
      <c r="M420" s="61" t="n"/>
      <c r="N420" s="61" t="n"/>
      <c r="O420" s="61" t="n"/>
      <c r="P420" s="61" t="n"/>
      <c r="Q420" s="62" t="n"/>
      <c r="R420" s="61" t="n"/>
    </row>
    <row r="421" ht="15.75" customHeight="1" s="38">
      <c r="A421" s="66" t="inlineStr">
        <is>
          <t>Comercial Libra Ltda.</t>
        </is>
      </c>
      <c r="B421" s="66" t="inlineStr">
        <is>
          <t>Aislantes Eléctricos</t>
        </is>
      </c>
      <c r="C421" s="66" t="inlineStr">
        <is>
          <t>Santiago</t>
        </is>
      </c>
      <c r="D421" s="66" t="inlineStr">
        <is>
          <t>ventas@comerciallibra.cl</t>
        </is>
      </c>
      <c r="E421" s="66" t="inlineStr">
        <is>
          <t>(56) 2 2511 0417</t>
        </is>
      </c>
      <c r="F421" s="66" t="n"/>
      <c r="G421" s="66" t="n"/>
      <c r="H421" s="66" t="n"/>
      <c r="I421" s="66" t="inlineStr">
        <is>
          <t>87.851.300-2</t>
        </is>
      </c>
      <c r="J421" s="66" t="n"/>
      <c r="K421" s="66" t="inlineStr">
        <is>
          <t>Ventas: PEQUEÑA 3 (10.000 - 25.000 UF) | Empleados: 7</t>
        </is>
      </c>
      <c r="L421" s="61" t="n"/>
      <c r="M421" s="61" t="n"/>
      <c r="N421" s="61" t="n"/>
      <c r="O421" s="61" t="n"/>
      <c r="P421" s="61" t="n"/>
      <c r="Q421" s="62" t="n"/>
      <c r="R421" s="61" t="n"/>
    </row>
    <row r="422" ht="15.75" customHeight="1" s="38">
      <c r="A422" s="66" t="inlineStr">
        <is>
          <t>Comercial Pacific Ltda.</t>
        </is>
      </c>
      <c r="B422" s="66" t="inlineStr">
        <is>
          <t>Correas para Transmisión de Potencia, Correas Transportadoras</t>
        </is>
      </c>
      <c r="C422" s="66" t="inlineStr">
        <is>
          <t>Santiago</t>
        </is>
      </c>
      <c r="D422" s="66" t="inlineStr">
        <is>
          <t>aboeck@cpacific.cl</t>
        </is>
      </c>
      <c r="E422" s="66" t="inlineStr">
        <is>
          <t>(56) 2 2433 3000</t>
        </is>
      </c>
      <c r="F422" s="66" t="n"/>
      <c r="G422" s="66" t="n"/>
      <c r="H422" s="66" t="n"/>
      <c r="I422" s="66" t="inlineStr">
        <is>
          <t>84.940.400-8</t>
        </is>
      </c>
      <c r="J422" s="66" t="n"/>
      <c r="K422" s="66" t="inlineStr">
        <is>
          <t>Ventas: GRANDE 2 (200.000 - 600.000 UF) | Empleados: 38</t>
        </is>
      </c>
      <c r="L422" s="61" t="n"/>
      <c r="M422" s="61" t="n"/>
      <c r="N422" s="61" t="n"/>
      <c r="O422" s="61" t="n"/>
      <c r="P422" s="61" t="n"/>
      <c r="Q422" s="62" t="n"/>
      <c r="R422" s="61" t="n"/>
    </row>
    <row r="423" ht="15.75" customHeight="1" s="38">
      <c r="A423" s="66" t="inlineStr">
        <is>
          <t>Comercial Partek Ltda.</t>
        </is>
      </c>
      <c r="B423" s="66" t="inlineStr">
        <is>
          <t>Reparación de Maquinaria para la Minería</t>
        </is>
      </c>
      <c r="C423" s="66" t="inlineStr">
        <is>
          <t>Santiago</t>
        </is>
      </c>
      <c r="D423" s="66" t="inlineStr">
        <is>
          <t>partek@partek.cl</t>
        </is>
      </c>
      <c r="E423" s="66" t="inlineStr">
        <is>
          <t>(56) 2 2335 2646</t>
        </is>
      </c>
      <c r="F423" s="66" t="n"/>
      <c r="G423" s="66" t="n"/>
      <c r="H423" s="66" t="n"/>
      <c r="I423" s="66" t="inlineStr">
        <is>
          <t>76.075.840-K</t>
        </is>
      </c>
      <c r="J423" s="66" t="n"/>
      <c r="K423" s="66" t="inlineStr">
        <is>
          <t>Ventas: GRANDE 1 (100.000 - 200.000 UF) | Empleados: 16</t>
        </is>
      </c>
      <c r="L423" s="61" t="n"/>
      <c r="M423" s="61" t="n"/>
      <c r="N423" s="61" t="n"/>
      <c r="O423" s="61" t="n"/>
      <c r="P423" s="61" t="n"/>
      <c r="Q423" s="62" t="n"/>
      <c r="R423" s="61" t="n"/>
    </row>
    <row r="424" ht="15.75" customHeight="1" s="38">
      <c r="A424" s="66" t="inlineStr">
        <is>
          <t>Comercial Plastimetal S.A.</t>
        </is>
      </c>
      <c r="B424" s="66" t="inlineStr">
        <is>
          <t>Tubos de Acero, Tubos de PVC y CPVC</t>
        </is>
      </c>
      <c r="C424" s="66" t="inlineStr">
        <is>
          <t>Santiago</t>
        </is>
      </c>
      <c r="D424" s="66" t="inlineStr">
        <is>
          <t>info@plastimetal.cl</t>
        </is>
      </c>
      <c r="E424" s="66" t="inlineStr">
        <is>
          <t>(56) 2 2699 8818</t>
        </is>
      </c>
      <c r="F424" s="66" t="n"/>
      <c r="G424" s="66" t="n"/>
      <c r="H424" s="66" t="n"/>
      <c r="I424" s="66" t="inlineStr">
        <is>
          <t>76.044.567-3</t>
        </is>
      </c>
      <c r="J424" s="66" t="n"/>
      <c r="K424" s="66" t="inlineStr">
        <is>
          <t>Ventas: MEDIANA 1 (25.000 - 50.000 UF) | Empleados: 1</t>
        </is>
      </c>
      <c r="L424" s="61" t="n"/>
      <c r="M424" s="61" t="n"/>
      <c r="N424" s="61" t="n"/>
      <c r="O424" s="61" t="n"/>
      <c r="P424" s="61" t="n"/>
      <c r="Q424" s="62" t="n"/>
      <c r="R424" s="61" t="n"/>
    </row>
    <row r="425" ht="15.75" customHeight="1" s="38">
      <c r="A425" s="66" t="inlineStr">
        <is>
          <t>Comercial Popayán</t>
        </is>
      </c>
      <c r="B425" s="66" t="inlineStr">
        <is>
          <t>Revestimientos para Molinos</t>
        </is>
      </c>
      <c r="C425" s="66" t="inlineStr">
        <is>
          <t>Santiago</t>
        </is>
      </c>
      <c r="D425" s="66" t="inlineStr">
        <is>
          <t>ventas@popayan.cl</t>
        </is>
      </c>
      <c r="E425" s="66" t="inlineStr">
        <is>
          <t>(56) 2 2239 0210</t>
        </is>
      </c>
      <c r="F425" s="66" t="n"/>
      <c r="G425" s="66" t="n"/>
      <c r="H425" s="66" t="n"/>
      <c r="I425" s="66" t="inlineStr">
        <is>
          <t>77.804.160-K</t>
        </is>
      </c>
      <c r="J425" s="66" t="n"/>
      <c r="K425" s="66" t="inlineStr">
        <is>
          <t>Ventas: GRANDE 2 (200.000 - 600.000 UF) | Empleados: 18</t>
        </is>
      </c>
      <c r="L425" s="61" t="n"/>
      <c r="M425" s="61" t="n"/>
      <c r="N425" s="61" t="n"/>
      <c r="O425" s="61" t="n"/>
      <c r="P425" s="61" t="n"/>
      <c r="Q425" s="62" t="n"/>
      <c r="R425" s="61" t="n"/>
    </row>
    <row r="426" ht="15.75" customHeight="1" s="38">
      <c r="A426" s="66" t="inlineStr">
        <is>
          <t>Comercial Roberto Gottlieb y Cía. Ltda.</t>
        </is>
      </c>
      <c r="B426" s="66" t="inlineStr">
        <is>
          <t>Aceros Galvanizados, Aceros Inoxidables</t>
        </is>
      </c>
      <c r="C426" s="66" t="inlineStr">
        <is>
          <t>Santiago</t>
        </is>
      </c>
      <c r="D426" s="66" t="inlineStr">
        <is>
          <t>ventas@gotex.cl</t>
        </is>
      </c>
      <c r="E426" s="66" t="inlineStr">
        <is>
          <t>(56) 2 2696 7579</t>
        </is>
      </c>
      <c r="F426" s="66" t="n"/>
      <c r="G426" s="66" t="n"/>
      <c r="H426" s="66" t="n"/>
      <c r="I426" s="66" t="inlineStr">
        <is>
          <t>79.870.600-4</t>
        </is>
      </c>
      <c r="J426" s="66" t="n"/>
      <c r="K426" s="66" t="inlineStr">
        <is>
          <t>Ventas: MEDIANA 1 (25.000 - 50.000 UF) | Empleados: 5</t>
        </is>
      </c>
      <c r="L426" s="61" t="n"/>
      <c r="M426" s="61" t="n"/>
      <c r="N426" s="61" t="n"/>
      <c r="O426" s="61" t="n"/>
      <c r="P426" s="61" t="n"/>
      <c r="Q426" s="62" t="n"/>
      <c r="R426" s="61" t="n"/>
    </row>
    <row r="427" ht="15.75" customHeight="1" s="38">
      <c r="A427" s="66" t="inlineStr">
        <is>
          <t>Comercial Seal</t>
        </is>
      </c>
      <c r="B427" s="66" t="inlineStr">
        <is>
          <t>Equipos de Purifi cación de Aire, Plantas de Climatización, Tratamiento de Aire para Maquinaria Minera</t>
        </is>
      </c>
      <c r="C427" s="66" t="inlineStr">
        <is>
          <t>Santiago</t>
        </is>
      </c>
      <c r="D427" s="66" t="inlineStr">
        <is>
          <t>avargas@sealsoluciones.cl</t>
        </is>
      </c>
      <c r="E427" s="66" t="inlineStr">
        <is>
          <t>(56) 2 2896 3411</t>
        </is>
      </c>
      <c r="F427" s="66" t="n"/>
      <c r="G427" s="66" t="n"/>
      <c r="H427" s="66" t="n"/>
      <c r="I427" s="66" t="inlineStr">
        <is>
          <t>76115906-2</t>
        </is>
      </c>
      <c r="J427" s="66" t="n"/>
      <c r="K427" s="66" t="inlineStr">
        <is>
          <t>Ventas: PEQUEÑA 3 (10.000 - 25.000 UF) | Empleados: 1</t>
        </is>
      </c>
      <c r="L427" s="61" t="n"/>
      <c r="M427" s="61" t="n"/>
      <c r="N427" s="61" t="n"/>
      <c r="O427" s="61" t="n"/>
      <c r="P427" s="61" t="n"/>
      <c r="Q427" s="62" t="n"/>
      <c r="R427" s="61" t="n"/>
    </row>
    <row r="428" ht="15.75" customHeight="1" s="38">
      <c r="A428" s="66" t="inlineStr">
        <is>
          <t>Comercial Sinsef Ltda.</t>
        </is>
      </c>
      <c r="B428" s="66" t="inlineStr">
        <is>
          <t>Aislantes Térmicos, Empaquetaduras, Sellos Mecánicos</t>
        </is>
      </c>
      <c r="C428" s="66" t="inlineStr">
        <is>
          <t>Concepción</t>
        </is>
      </c>
      <c r="D428" s="66" t="inlineStr">
        <is>
          <t>central@sinsef.cl</t>
        </is>
      </c>
      <c r="E428" s="66" t="inlineStr">
        <is>
          <t>(56) 41 248 5656</t>
        </is>
      </c>
      <c r="F428" s="66" t="inlineStr">
        <is>
          <t>Gerente de TI / CIO (Director de Tecnología)</t>
        </is>
      </c>
      <c r="G428" s="66" t="n"/>
      <c r="H428" s="66" t="n"/>
      <c r="I428" s="66" t="inlineStr">
        <is>
          <t>78.292.360-9</t>
        </is>
      </c>
      <c r="J428" s="66" t="n"/>
      <c r="K428" s="66" t="inlineStr">
        <is>
          <t>Ventas: GRANDE 3 (600.000 - 1.000.000 UF) | Empleados: 55</t>
        </is>
      </c>
      <c r="L428" s="61" t="n"/>
      <c r="M428" s="61" t="n"/>
      <c r="N428" s="61" t="n"/>
      <c r="O428" s="61" t="n"/>
      <c r="P428" s="61" t="n"/>
      <c r="Q428" s="62" t="n"/>
      <c r="R428" s="61" t="n"/>
    </row>
    <row r="429" ht="15.75" customHeight="1" s="38">
      <c r="A429" s="66" t="inlineStr">
        <is>
          <t>Comercial V-Tec Ltda.</t>
        </is>
      </c>
      <c r="B429" s="66" t="inlineStr">
        <is>
          <t>Encarpado de Camiones, Sistemas de Control de Velocidad, Alcohol y Drogas</t>
        </is>
      </c>
      <c r="C429" s="66" t="inlineStr">
        <is>
          <t>Santiago</t>
        </is>
      </c>
      <c r="D429" s="66" t="inlineStr">
        <is>
          <t>ventas@v-tec.cl</t>
        </is>
      </c>
      <c r="E429" s="66" t="inlineStr">
        <is>
          <t>(56) 2 2224 7323</t>
        </is>
      </c>
      <c r="F429" s="66" t="n"/>
      <c r="G429" s="66" t="n"/>
      <c r="H429" s="66" t="n"/>
      <c r="I429" s="66" t="inlineStr">
        <is>
          <t>77.721.680-5</t>
        </is>
      </c>
      <c r="J429" s="66" t="n"/>
      <c r="K429" s="66" t="inlineStr">
        <is>
          <t>Ventas: MICRO 3 (600 - 2.400 UF) | Empleados: 0</t>
        </is>
      </c>
      <c r="L429" s="61" t="n"/>
      <c r="M429" s="61" t="n"/>
      <c r="N429" s="61" t="n"/>
      <c r="O429" s="61" t="n"/>
      <c r="P429" s="61" t="n"/>
      <c r="Q429" s="62" t="n"/>
      <c r="R429" s="61" t="n"/>
    </row>
    <row r="430" ht="15.75" customHeight="1" s="38">
      <c r="A430" s="66" t="inlineStr">
        <is>
          <t>Comert S.A.</t>
        </is>
      </c>
      <c r="B430" s="66" t="inlineStr">
        <is>
          <t>Secadores para Aire</t>
        </is>
      </c>
      <c r="C430" s="66" t="inlineStr">
        <is>
          <t>Santiago</t>
        </is>
      </c>
      <c r="D430" s="66" t="inlineStr">
        <is>
          <t>ventas@comert.cl</t>
        </is>
      </c>
      <c r="E430" s="66" t="inlineStr">
        <is>
          <t>(56) 2 2239 8841</t>
        </is>
      </c>
      <c r="F430" s="66" t="n"/>
      <c r="G430" s="66" t="n"/>
      <c r="H430" s="66" t="n"/>
      <c r="I430" s="66" t="inlineStr">
        <is>
          <t>96.556.860-3</t>
        </is>
      </c>
      <c r="J430" s="66" t="n"/>
      <c r="K430" s="66" t="inlineStr">
        <is>
          <t>Ventas: PEQUEÑA 3 (10.000 - 25.000 UF) | Empleados: 7</t>
        </is>
      </c>
      <c r="L430" s="61" t="n"/>
      <c r="M430" s="61" t="n"/>
      <c r="N430" s="61" t="n"/>
      <c r="O430" s="61" t="n"/>
      <c r="P430" s="61" t="n"/>
      <c r="Q430" s="62" t="n"/>
      <c r="R430" s="61" t="n"/>
    </row>
    <row r="431" ht="15.75" customHeight="1" s="38">
      <c r="A431" s="59" t="inlineStr">
        <is>
          <t>Comgrap Ltda. / 3D - BIM</t>
        </is>
      </c>
      <c r="B431" s="59" t="inlineStr">
        <is>
          <t>Software para Control de Proyectos, Software para la Minería, Software para Mantenimiento de Plantas Mineras</t>
        </is>
      </c>
      <c r="C431" s="59" t="inlineStr">
        <is>
          <t>Santiago</t>
        </is>
      </c>
      <c r="D431" s="59" t="inlineStr">
        <is>
          <t>comgrap@comgrap.com</t>
        </is>
      </c>
      <c r="E431" s="59" t="inlineStr">
        <is>
          <t>(56) 2 2592 9000</t>
        </is>
      </c>
      <c r="F431" s="59" t="inlineStr">
        <is>
          <t>Ricardo Rizzi Limone (Gerente General)</t>
        </is>
      </c>
      <c r="G431" s="59" t="inlineStr">
        <is>
          <t>rrizzi@comgrap.cl</t>
        </is>
      </c>
      <c r="H431" s="59" t="n"/>
      <c r="I431" s="59" t="inlineStr">
        <is>
          <t>79.770.640-K</t>
        </is>
      </c>
      <c r="J431" s="59" t="inlineStr">
        <is>
          <t>DigitalHub LMS &amp; Estándares BIM ISO 19650</t>
        </is>
      </c>
      <c r="K431" s="59" t="inlineStr">
        <is>
          <t>Ventas: GRANDE 3 (600.000 - 1.000.000 UF) | Empleados: 37</t>
        </is>
      </c>
      <c r="L431" s="61" t="n"/>
      <c r="M431" s="61" t="n"/>
      <c r="N431" s="61" t="n"/>
      <c r="O431" s="61" t="n"/>
      <c r="P431" s="61" t="n"/>
      <c r="Q431" s="62" t="n"/>
      <c r="R431" s="61" t="n"/>
    </row>
    <row r="432" ht="15.75" customHeight="1" s="38">
      <c r="A432" s="66" t="inlineStr">
        <is>
          <t>Comind Ltda.</t>
        </is>
      </c>
      <c r="B432" s="66" t="inlineStr">
        <is>
          <t>Calefactores Industriales</t>
        </is>
      </c>
      <c r="C432" s="66" t="inlineStr">
        <is>
          <t>Santiago</t>
        </is>
      </c>
      <c r="D432" s="66" t="inlineStr">
        <is>
          <t>info@comindindustries.com</t>
        </is>
      </c>
      <c r="E432" s="66" t="inlineStr">
        <is>
          <t>(56) 2 2476 6200</t>
        </is>
      </c>
      <c r="F432" s="66" t="n"/>
      <c r="G432" s="66" t="n"/>
      <c r="H432" s="66" t="n"/>
      <c r="I432" s="66" t="inlineStr">
        <is>
          <t>78.304.510-9</t>
        </is>
      </c>
      <c r="J432" s="66" t="n"/>
      <c r="K432" s="66" t="inlineStr">
        <is>
          <t>Ventas: GRANDE 1 (100.000 - 200.000 UF) | Empleados: 86</t>
        </is>
      </c>
      <c r="L432" s="61" t="n"/>
      <c r="M432" s="61" t="n"/>
      <c r="N432" s="61" t="n"/>
      <c r="O432" s="61" t="n"/>
      <c r="P432" s="61" t="n"/>
      <c r="Q432" s="62" t="n"/>
      <c r="R432" s="61" t="n"/>
    </row>
    <row r="433" ht="15.75" customHeight="1" s="38">
      <c r="A433" s="66" t="inlineStr">
        <is>
          <t>Compacta Iluminación Ltda.</t>
        </is>
      </c>
      <c r="B433" s="66" t="inlineStr">
        <is>
          <t>Equipos para Iluminación, Torres para Iluminación</t>
        </is>
      </c>
      <c r="C433" s="66" t="inlineStr">
        <is>
          <t>Santiago</t>
        </is>
      </c>
      <c r="D433" s="66" t="inlineStr">
        <is>
          <t>iluminacion@compacta.cl</t>
        </is>
      </c>
      <c r="E433" s="66" t="inlineStr">
        <is>
          <t>(56) 2 2419 2810</t>
        </is>
      </c>
      <c r="F433" s="66" t="n"/>
      <c r="G433" s="66" t="n"/>
      <c r="H433" s="66" t="n"/>
      <c r="I433" s="66" t="inlineStr">
        <is>
          <t>76.017.208-1</t>
        </is>
      </c>
      <c r="J433" s="66" t="n"/>
      <c r="K433" s="66" t="inlineStr">
        <is>
          <t>Ventas: MEDIANA 2 (50.000 - 100.000 UF) | Empleados: 12</t>
        </is>
      </c>
      <c r="L433" s="61" t="n"/>
      <c r="M433" s="61" t="n"/>
      <c r="N433" s="61" t="n"/>
      <c r="O433" s="61" t="n"/>
      <c r="P433" s="61" t="n"/>
      <c r="Q433" s="62" t="n"/>
      <c r="R433" s="61" t="n"/>
    </row>
    <row r="434" ht="15.75" customHeight="1" s="38">
      <c r="A434" s="66" t="inlineStr">
        <is>
          <t>Compan Ltda.</t>
        </is>
      </c>
      <c r="B434" s="66" t="inlineStr">
        <is>
          <t>Comunicaciones Satelitales, Soluciones Satelitales para Telecomunicaciones</t>
        </is>
      </c>
      <c r="C434" s="66" t="inlineStr">
        <is>
          <t>Santiago</t>
        </is>
      </c>
      <c r="D434" s="66" t="inlineStr">
        <is>
          <t>info@compan.cl</t>
        </is>
      </c>
      <c r="E434" s="66" t="inlineStr">
        <is>
          <t>(56) 2 3210 7585</t>
        </is>
      </c>
      <c r="F434" s="66" t="n"/>
      <c r="G434" s="66" t="n"/>
      <c r="H434" s="66" t="n"/>
      <c r="I434" s="66" t="inlineStr">
        <is>
          <t>77.601.300-5</t>
        </is>
      </c>
      <c r="J434" s="66" t="n"/>
      <c r="K434" s="66" t="inlineStr">
        <is>
          <t>Ventas: MEDIANA 2 (50.000 - 100.000 UF) | Empleados: 11</t>
        </is>
      </c>
      <c r="L434" s="61" t="n"/>
      <c r="M434" s="61" t="n"/>
      <c r="N434" s="61" t="n"/>
      <c r="O434" s="61" t="n"/>
      <c r="P434" s="61" t="n"/>
      <c r="Q434" s="62" t="n"/>
      <c r="R434" s="61" t="n"/>
    </row>
    <row r="435" ht="15.75" customHeight="1" s="38">
      <c r="A435" s="66" t="inlineStr">
        <is>
          <t>Compass Group</t>
        </is>
      </c>
      <c r="B435" s="66" t="inlineStr">
        <is>
          <t>Servicios de Gastronomía</t>
        </is>
      </c>
      <c r="C435" s="66" t="inlineStr">
        <is>
          <t>Santiago</t>
        </is>
      </c>
      <c r="D435" s="66" t="n"/>
      <c r="E435" s="66" t="inlineStr">
        <is>
          <t>(56) 2 2591 0600</t>
        </is>
      </c>
      <c r="F435" s="66" t="n"/>
      <c r="G435" s="66" t="n"/>
      <c r="H435" s="66" t="n"/>
      <c r="I435" s="66" t="inlineStr">
        <is>
          <t>96.651.910-K</t>
        </is>
      </c>
      <c r="J435" s="66" t="n"/>
      <c r="K435" s="66" t="inlineStr">
        <is>
          <t>Ventas: GRANDE (Estimado por Empleados) | Empleados: 8568</t>
        </is>
      </c>
      <c r="L435" s="61" t="n"/>
      <c r="M435" s="61" t="n"/>
      <c r="N435" s="61" t="n"/>
      <c r="O435" s="61" t="n"/>
      <c r="P435" s="61" t="n"/>
      <c r="Q435" s="62" t="n"/>
      <c r="R435" s="61" t="n"/>
    </row>
    <row r="436" ht="15.75" customHeight="1" s="38">
      <c r="A436" s="66" t="inlineStr">
        <is>
          <t>Compañía Contractual Minera Candelaria</t>
        </is>
      </c>
      <c r="B436" s="66" t="inlineStr">
        <is>
          <t>Concentrado de Cobre</t>
        </is>
      </c>
      <c r="C436" s="66" t="n"/>
      <c r="D436" s="66" t="inlineStr">
        <is>
          <t>comunicaciones.candelaria@lundinmining.com</t>
        </is>
      </c>
      <c r="E436" s="66" t="inlineStr">
        <is>
          <t>(56) 52 246 1400</t>
        </is>
      </c>
      <c r="F436" s="66" t="n"/>
      <c r="G436" s="66" t="n"/>
      <c r="H436" s="66" t="n"/>
      <c r="I436" s="66" t="inlineStr">
        <is>
          <t>85.272.800-0</t>
        </is>
      </c>
      <c r="J436" s="66" t="n"/>
      <c r="K436" s="66" t="inlineStr">
        <is>
          <t>Ventas: GRANDE (Estimado por Empleados) | Empleados: 1682</t>
        </is>
      </c>
      <c r="L436" s="61" t="n"/>
      <c r="M436" s="61" t="n"/>
      <c r="N436" s="61" t="n"/>
      <c r="O436" s="61" t="n"/>
      <c r="P436" s="61" t="n"/>
      <c r="Q436" s="62" t="n"/>
      <c r="R436" s="61" t="n"/>
    </row>
    <row r="437" ht="15.75" customHeight="1" s="38">
      <c r="A437" s="66" t="inlineStr">
        <is>
          <t>Compañía Contractual Minera Ojos del Salado</t>
        </is>
      </c>
      <c r="B437" s="66" t="inlineStr">
        <is>
          <t>Concentrado de Cobre</t>
        </is>
      </c>
      <c r="C437" s="66" t="inlineStr">
        <is>
          <t>Copiapo</t>
        </is>
      </c>
      <c r="D437" s="66" t="n"/>
      <c r="E437" s="66" t="inlineStr">
        <is>
          <t>(52) 2246 1103</t>
        </is>
      </c>
      <c r="F437" s="66" t="n"/>
      <c r="G437" s="66" t="n"/>
      <c r="H437" s="66" t="n"/>
      <c r="I437" s="66" t="inlineStr">
        <is>
          <t>96.635.170-5</t>
        </is>
      </c>
      <c r="J437" s="66" t="n"/>
      <c r="K437" s="66" t="inlineStr">
        <is>
          <t>Ventas: DATO NO DECLARADO EN SII | Empleados: 0</t>
        </is>
      </c>
      <c r="L437" s="61" t="n"/>
      <c r="M437" s="61" t="n"/>
      <c r="N437" s="61" t="n"/>
      <c r="O437" s="61" t="n"/>
      <c r="P437" s="61" t="n"/>
      <c r="Q437" s="62" t="n"/>
      <c r="R437" s="61" t="n"/>
    </row>
    <row r="438" ht="15.75" customHeight="1" s="38">
      <c r="A438" s="66" t="inlineStr">
        <is>
          <t>Compañía Electroindustrial S.A.</t>
        </is>
      </c>
      <c r="B438" s="66" t="inlineStr">
        <is>
          <t>Electromecánica, Reparación de Motores Eléctricos</t>
        </is>
      </c>
      <c r="C438" s="66" t="inlineStr">
        <is>
          <t>Santiago</t>
        </is>
      </c>
      <c r="D438" s="66" t="inlineStr">
        <is>
          <t>info@celec.cl</t>
        </is>
      </c>
      <c r="E438" s="66" t="inlineStr">
        <is>
          <t>(56) 2 2772 8703</t>
        </is>
      </c>
      <c r="F438" s="66" t="n"/>
      <c r="G438" s="66" t="n"/>
      <c r="H438" s="66" t="n"/>
      <c r="I438" s="66" t="inlineStr">
        <is>
          <t>96.994.910-5</t>
        </is>
      </c>
      <c r="J438" s="66" t="n"/>
      <c r="K438" s="66" t="inlineStr">
        <is>
          <t>Ventas: MICRO 3 (600 - 2.400 UF) | Empleados: 0</t>
        </is>
      </c>
      <c r="L438" s="61" t="n"/>
      <c r="M438" s="61" t="n"/>
      <c r="N438" s="61" t="n"/>
      <c r="O438" s="61" t="n"/>
      <c r="P438" s="61" t="n"/>
      <c r="Q438" s="62" t="n"/>
      <c r="R438" s="61" t="n"/>
    </row>
    <row r="439" ht="15.75" customHeight="1" s="38">
      <c r="A439" s="66" t="inlineStr">
        <is>
          <t>Compañía General de Remates (CGR)</t>
        </is>
      </c>
      <c r="B439" s="66" t="inlineStr">
        <is>
          <t>Remates de Maquinaria Industrial y Minera</t>
        </is>
      </c>
      <c r="C439" s="66" t="inlineStr">
        <is>
          <t>Santiago</t>
        </is>
      </c>
      <c r="D439" s="66" t="inlineStr">
        <is>
          <t>cgr@cgrchile.com</t>
        </is>
      </c>
      <c r="E439" s="66" t="inlineStr">
        <is>
          <t>(56) 2 2733 9400</t>
        </is>
      </c>
      <c r="F439" s="66" t="n"/>
      <c r="G439" s="66" t="n"/>
      <c r="H439" s="66" t="n"/>
      <c r="I439" s="66" t="inlineStr">
        <is>
          <t>76.116.144-K</t>
        </is>
      </c>
      <c r="J439" s="66" t="n"/>
      <c r="K439" s="66" t="inlineStr">
        <is>
          <t>Ventas: GRANDE 2 (200.000 - 600.000 UF) | Empleados: 44</t>
        </is>
      </c>
      <c r="L439" s="61" t="n"/>
      <c r="M439" s="61" t="n"/>
      <c r="N439" s="61" t="n"/>
      <c r="O439" s="61" t="n"/>
      <c r="P439" s="61" t="n"/>
      <c r="Q439" s="62" t="n"/>
      <c r="R439" s="61" t="n"/>
    </row>
    <row r="440" ht="15.75" customHeight="1" s="38">
      <c r="A440" s="66" t="inlineStr">
        <is>
          <t>Compañía Minera Cerro Colorado Ltda.</t>
        </is>
      </c>
      <c r="B440" s="66" t="inlineStr">
        <is>
          <t>Cátodos de Cobre</t>
        </is>
      </c>
      <c r="C440" s="66" t="inlineStr">
        <is>
          <t>Iquique</t>
        </is>
      </c>
      <c r="D440" s="66" t="inlineStr">
        <is>
          <t>comunicaciones.spence@bhp.com</t>
        </is>
      </c>
      <c r="E440" s="66" t="inlineStr">
        <is>
          <t>(57) 240 4000</t>
        </is>
      </c>
      <c r="F440" s="66" t="n"/>
      <c r="G440" s="66" t="n"/>
      <c r="H440" s="66" t="n"/>
      <c r="I440" s="66" t="inlineStr">
        <is>
          <t>94.621.000-5</t>
        </is>
      </c>
      <c r="J440" s="66" t="n"/>
      <c r="K440" s="66" t="inlineStr">
        <is>
          <t>Ventas: MEDIANA (Estimado por Empleados) | Empleados: 58</t>
        </is>
      </c>
      <c r="L440" s="61" t="n"/>
      <c r="M440" s="61" t="n"/>
      <c r="N440" s="61" t="n"/>
      <c r="O440" s="61" t="n"/>
      <c r="P440" s="61" t="n"/>
      <c r="Q440" s="62" t="n"/>
      <c r="R440" s="61" t="n"/>
    </row>
    <row r="441" ht="15.75" customHeight="1" s="38">
      <c r="A441" s="66" t="inlineStr">
        <is>
          <t>Compañía Minera Doña Inés De Collahuasi SCM</t>
        </is>
      </c>
      <c r="B441" s="66" t="inlineStr">
        <is>
          <t>Cobre</t>
        </is>
      </c>
      <c r="C441" s="66" t="inlineStr">
        <is>
          <t>Iquique</t>
        </is>
      </c>
      <c r="D441" s="66" t="n"/>
      <c r="E441" s="66" t="inlineStr">
        <is>
          <t>(56) 57 251 6400</t>
        </is>
      </c>
      <c r="F441" s="66" t="n"/>
      <c r="G441" s="66" t="n"/>
      <c r="H441" s="66" t="n"/>
      <c r="I441" s="66" t="inlineStr">
        <is>
          <t>89.468.900-5</t>
        </is>
      </c>
      <c r="J441" s="66" t="n"/>
      <c r="K441" s="66" t="inlineStr">
        <is>
          <t>Ventas: GRANDE (Estimado por Empleados) | Empleados: 2323</t>
        </is>
      </c>
      <c r="L441" s="61" t="n"/>
      <c r="M441" s="61" t="n"/>
      <c r="N441" s="61" t="n"/>
      <c r="O441" s="61" t="n"/>
      <c r="P441" s="61" t="n"/>
      <c r="Q441" s="62" t="n"/>
      <c r="R441" s="61" t="n"/>
    </row>
    <row r="442" ht="15.75" customHeight="1" s="38">
      <c r="A442" s="66" t="inlineStr">
        <is>
          <t>Compañía Minera Lomas Bayas</t>
        </is>
      </c>
      <c r="B442" s="66" t="inlineStr">
        <is>
          <t>Cátodos de Cobre</t>
        </is>
      </c>
      <c r="C442" s="66" t="inlineStr">
        <is>
          <t>Antofagasta</t>
        </is>
      </c>
      <c r="D442" s="66" t="inlineStr">
        <is>
          <t>claudia.zazzali@glencore.cl</t>
        </is>
      </c>
      <c r="E442" s="66" t="inlineStr">
        <is>
          <t>(56 55) 262 8500</t>
        </is>
      </c>
      <c r="F442" s="66" t="n"/>
      <c r="G442" s="66" t="n"/>
      <c r="H442" s="66" t="n"/>
      <c r="I442" s="66" t="inlineStr">
        <is>
          <t>78.512.520-7</t>
        </is>
      </c>
      <c r="J442" s="66" t="n"/>
      <c r="K442" s="66" t="inlineStr">
        <is>
          <t>Ventas: GRANDE (Estimado por Empleados) | Empleados: 1354</t>
        </is>
      </c>
      <c r="L442" s="61" t="n"/>
      <c r="M442" s="61" t="n"/>
      <c r="N442" s="61" t="n"/>
      <c r="O442" s="61" t="n"/>
      <c r="P442" s="61" t="n"/>
      <c r="Q442" s="62" t="n"/>
      <c r="R442" s="61" t="n"/>
    </row>
    <row r="443" ht="15.75" customHeight="1" s="38">
      <c r="A443" s="66" t="inlineStr">
        <is>
          <t>Compañía Minera Zaldívar</t>
        </is>
      </c>
      <c r="B443" s="66" t="inlineStr">
        <is>
          <t>Cobre</t>
        </is>
      </c>
      <c r="C443" s="66" t="inlineStr">
        <is>
          <t>Antofagasta</t>
        </is>
      </c>
      <c r="D443" s="66" t="inlineStr">
        <is>
          <t>zaldivar.comunicaciones@aminerals.cl</t>
        </is>
      </c>
      <c r="E443" s="66" t="inlineStr">
        <is>
          <t>(56) 55 243 3400</t>
        </is>
      </c>
      <c r="F443" s="66" t="n"/>
      <c r="G443" s="66" t="n"/>
      <c r="H443" s="66" t="n"/>
      <c r="I443" s="66" t="inlineStr">
        <is>
          <t>76.485.762-3</t>
        </is>
      </c>
      <c r="J443" s="66" t="n"/>
      <c r="K443" s="66" t="inlineStr">
        <is>
          <t>Ventas: GRANDE (Estimado por Empleados) | Empleados: 1072</t>
        </is>
      </c>
      <c r="L443" s="61" t="n"/>
      <c r="M443" s="61" t="n"/>
      <c r="N443" s="61" t="n"/>
      <c r="O443" s="61" t="n"/>
      <c r="P443" s="61" t="n"/>
      <c r="Q443" s="62" t="n"/>
      <c r="R443" s="61" t="n"/>
    </row>
    <row r="444" ht="15.75" customHeight="1" s="38">
      <c r="A444" s="66" t="inlineStr">
        <is>
          <t>Compresores Gilo Industrial y Comercial</t>
        </is>
      </c>
      <c r="B444" s="66" t="inlineStr">
        <is>
          <t>Reparación de Compresores</t>
        </is>
      </c>
      <c r="C444" s="66" t="inlineStr">
        <is>
          <t>Santiago</t>
        </is>
      </c>
      <c r="D444" s="66" t="inlineStr">
        <is>
          <t>compresores@gilo.cl</t>
        </is>
      </c>
      <c r="E444" s="66" t="inlineStr">
        <is>
          <t>(56) 2 2555 2445</t>
        </is>
      </c>
      <c r="F444" s="66" t="n"/>
      <c r="G444" s="66" t="n"/>
      <c r="H444" s="66" t="n"/>
      <c r="I444" s="66" t="inlineStr">
        <is>
          <t>86.872.200-2</t>
        </is>
      </c>
      <c r="J444" s="66" t="n"/>
      <c r="K444" s="66" t="inlineStr">
        <is>
          <t>Ventas: PEQUEÑA 3 (10.000 - 25.000 UF) | Empleados: 5</t>
        </is>
      </c>
      <c r="L444" s="61" t="n"/>
      <c r="M444" s="61" t="n"/>
      <c r="N444" s="61" t="n"/>
      <c r="O444" s="61" t="n"/>
      <c r="P444" s="61" t="n"/>
      <c r="Q444" s="62" t="n"/>
      <c r="R444" s="61" t="n"/>
    </row>
    <row r="445" ht="15.75" customHeight="1" s="38">
      <c r="A445" s="66" t="inlineStr">
        <is>
          <t>Comprobe Ltda.</t>
        </is>
      </c>
      <c r="B445" s="66" t="inlineStr">
        <is>
          <t>Calibración de Equipos</t>
        </is>
      </c>
      <c r="C445" s="66" t="inlineStr">
        <is>
          <t>Santiago</t>
        </is>
      </c>
      <c r="D445" s="66" t="inlineStr">
        <is>
          <t>info@comprobe.cl</t>
        </is>
      </c>
      <c r="E445" s="66" t="inlineStr">
        <is>
          <t>(56) 2 2952 0971</t>
        </is>
      </c>
      <c r="F445" s="66" t="n"/>
      <c r="G445" s="66" t="n"/>
      <c r="H445" s="66" t="n"/>
      <c r="I445" s="66" t="inlineStr">
        <is>
          <t>78.951.730-4</t>
        </is>
      </c>
      <c r="J445" s="66" t="n"/>
      <c r="K445" s="66" t="inlineStr">
        <is>
          <t>Ventas: GRANDE 2 (200.000 - 600.000 UF) | Empleados: 77</t>
        </is>
      </c>
      <c r="L445" s="61" t="n"/>
      <c r="M445" s="61" t="n"/>
      <c r="N445" s="61" t="n"/>
      <c r="O445" s="61" t="n"/>
      <c r="P445" s="61" t="n"/>
      <c r="Q445" s="62" t="n"/>
      <c r="R445" s="61" t="n"/>
    </row>
    <row r="446" ht="15.75" customHeight="1" s="38">
      <c r="A446" s="66" t="inlineStr">
        <is>
          <t>Concertinas Chile</t>
        </is>
      </c>
      <c r="B446" s="66" t="inlineStr">
        <is>
          <t>Alambre de Púas, Concertinas</t>
        </is>
      </c>
      <c r="C446" s="66" t="inlineStr">
        <is>
          <t>Santiago</t>
        </is>
      </c>
      <c r="D446" s="66" t="inlineStr">
        <is>
          <t>concertinas@concertinaschile.cl</t>
        </is>
      </c>
      <c r="E446" s="66" t="inlineStr">
        <is>
          <t>(56) 2 2774 0376</t>
        </is>
      </c>
      <c r="F446" s="66" t="n"/>
      <c r="G446" s="66" t="n"/>
      <c r="H446" s="66" t="n"/>
      <c r="I446" s="66" t="inlineStr">
        <is>
          <t>76.423.710-2</t>
        </is>
      </c>
      <c r="J446" s="66" t="n"/>
      <c r="K446" s="66" t="inlineStr">
        <is>
          <t>Ventas: PEQUEÑA 2 (5.000 - 10.000 UF) | Empleados: 3</t>
        </is>
      </c>
      <c r="L446" s="61" t="n"/>
      <c r="M446" s="61" t="n"/>
      <c r="N446" s="61" t="n"/>
      <c r="O446" s="61" t="n"/>
      <c r="P446" s="61" t="n"/>
      <c r="Q446" s="62" t="n"/>
      <c r="R446" s="61" t="n"/>
    </row>
    <row r="447" ht="15.75" customHeight="1" s="38">
      <c r="A447" s="66" t="inlineStr">
        <is>
          <t>Conecta Ingeniería S.A.</t>
        </is>
      </c>
      <c r="B447" s="66" t="inlineStr">
        <is>
          <t>Sistemas Electrónicos, Sistemas para Seguridad Eléctrica</t>
        </is>
      </c>
      <c r="C447" s="66" t="inlineStr">
        <is>
          <t>Santiago</t>
        </is>
      </c>
      <c r="D447" s="66" t="inlineStr">
        <is>
          <t>ventas@conecta.cl</t>
        </is>
      </c>
      <c r="E447" s="66" t="inlineStr">
        <is>
          <t>(56) 2 2699 7913</t>
        </is>
      </c>
      <c r="F447" s="66" t="n"/>
      <c r="G447" s="66" t="n"/>
      <c r="H447" s="66" t="n"/>
      <c r="I447" s="66" t="inlineStr">
        <is>
          <t>78.167.680-2</t>
        </is>
      </c>
      <c r="J447" s="66" t="n"/>
      <c r="K447" s="66" t="inlineStr">
        <is>
          <t>Ventas: GRANDE 1 (100.000 - 200.000 UF) | Empleados: 32</t>
        </is>
      </c>
      <c r="L447" s="61" t="n"/>
      <c r="M447" s="61" t="n"/>
      <c r="N447" s="61" t="n"/>
      <c r="O447" s="61" t="n"/>
      <c r="P447" s="61" t="n"/>
      <c r="Q447" s="62" t="n"/>
      <c r="R447" s="61" t="n"/>
    </row>
    <row r="448" ht="15.75" customHeight="1" s="38">
      <c r="A448" s="66" t="inlineStr">
        <is>
          <t>Conelec Ltda.</t>
        </is>
      </c>
      <c r="B448" s="66" t="inlineStr">
        <is>
          <t>Servicios Eléctricos, Telecomunicaciones</t>
        </is>
      </c>
      <c r="C448" s="66" t="inlineStr">
        <is>
          <t>Antofagasta</t>
        </is>
      </c>
      <c r="D448" s="66" t="inlineStr">
        <is>
          <t>conelec@conelec.cl</t>
        </is>
      </c>
      <c r="E448" s="66" t="inlineStr">
        <is>
          <t>(56) 55 228 1268</t>
        </is>
      </c>
      <c r="F448" s="66" t="n"/>
      <c r="G448" s="66" t="n"/>
      <c r="H448" s="66" t="n"/>
      <c r="I448" s="66" t="inlineStr">
        <is>
          <t>78.403.190-K</t>
        </is>
      </c>
      <c r="J448" s="66" t="n"/>
      <c r="K448" s="66" t="inlineStr">
        <is>
          <t>Ventas: MEDIANA 2 (50.000 - 100.000 UF) | Empleados: 44</t>
        </is>
      </c>
      <c r="L448" s="61" t="n"/>
      <c r="M448" s="61" t="n"/>
      <c r="N448" s="61" t="n"/>
      <c r="O448" s="61" t="n"/>
      <c r="P448" s="61" t="n"/>
      <c r="Q448" s="62" t="n"/>
      <c r="R448" s="61" t="n"/>
    </row>
    <row r="449" ht="15.75" customHeight="1" s="38">
      <c r="A449" s="66" t="inlineStr">
        <is>
          <t>ConeTec SpA</t>
        </is>
      </c>
      <c r="B449" s="66" t="inlineStr">
        <is>
          <t>Servicios de Geología y Prospección</t>
        </is>
      </c>
      <c r="C449" s="66" t="inlineStr">
        <is>
          <t>Santiago</t>
        </is>
      </c>
      <c r="D449" s="66" t="inlineStr">
        <is>
          <t>conetecsa@conetec.com</t>
        </is>
      </c>
      <c r="E449" s="66" t="inlineStr">
        <is>
          <t>(56) 2 2979 0907</t>
        </is>
      </c>
      <c r="F449" s="66" t="n"/>
      <c r="G449" s="66" t="n"/>
      <c r="H449" s="66" t="n"/>
      <c r="I449" s="66" t="inlineStr">
        <is>
          <t>76.379.693-0</t>
        </is>
      </c>
      <c r="J449" s="66" t="n"/>
      <c r="K449" s="66" t="inlineStr">
        <is>
          <t>Ventas: GRANDE 2 (200.000 - 600.000 UF) | Empleados: 28</t>
        </is>
      </c>
      <c r="L449" s="61" t="n"/>
      <c r="M449" s="61" t="n"/>
      <c r="N449" s="61" t="n"/>
      <c r="O449" s="61" t="n"/>
      <c r="P449" s="61" t="n"/>
      <c r="Q449" s="62" t="n"/>
      <c r="R449" s="61" t="n"/>
    </row>
    <row r="450" ht="15.75" customHeight="1" s="38">
      <c r="A450" s="66" t="inlineStr">
        <is>
          <t>Confecciones Butka Ltda.</t>
        </is>
      </c>
      <c r="B450" s="66" t="inlineStr">
        <is>
          <t>Ropa para Seguridad</t>
        </is>
      </c>
      <c r="C450" s="66" t="inlineStr">
        <is>
          <t>Santiago</t>
        </is>
      </c>
      <c r="D450" s="66" t="inlineStr">
        <is>
          <t>contacto@butka.com</t>
        </is>
      </c>
      <c r="E450" s="66" t="inlineStr">
        <is>
          <t>(56) 2 2546 6756</t>
        </is>
      </c>
      <c r="F450" s="66" t="n"/>
      <c r="G450" s="66" t="n"/>
      <c r="H450" s="66" t="n"/>
      <c r="I450" s="66" t="inlineStr">
        <is>
          <t>78.126.750-3</t>
        </is>
      </c>
      <c r="J450" s="66" t="n"/>
      <c r="K450" s="66" t="inlineStr">
        <is>
          <t>Ventas: GRANDE 3 (600.000 - 1.000.000 UF) | Empleados: 83</t>
        </is>
      </c>
      <c r="L450" s="61" t="n"/>
      <c r="M450" s="61" t="n"/>
      <c r="N450" s="61" t="n"/>
      <c r="O450" s="61" t="n"/>
      <c r="P450" s="61" t="n"/>
      <c r="Q450" s="62" t="n"/>
      <c r="R450" s="61" t="n"/>
    </row>
    <row r="451" ht="15.75" customHeight="1" s="38">
      <c r="A451" s="66" t="inlineStr">
        <is>
          <t>Conpax</t>
        </is>
      </c>
      <c r="B451" s="66" t="inlineStr">
        <is>
          <t>Proveedor Destacado, Calderería, Construcción de Caminos, Energía: Eólico, Fotovoltaico e Hidráulico, Puertos, Obras Marítimas, Hinca de Pilotes y Tablestacas, Soterrados, Linner y Corrugados</t>
        </is>
      </c>
      <c r="C451" s="66" t="inlineStr">
        <is>
          <t>Santiago</t>
        </is>
      </c>
      <c r="D451" s="66" t="inlineStr">
        <is>
          <t>depto.propuestas@conpax.cl</t>
        </is>
      </c>
      <c r="E451" s="66" t="inlineStr">
        <is>
          <t>(56) 2 2394 6000</t>
        </is>
      </c>
      <c r="F451" s="66" t="n"/>
      <c r="G451" s="66" t="n"/>
      <c r="H451" s="66" t="inlineStr">
        <is>
          <t>http://www.conpax.cl</t>
        </is>
      </c>
      <c r="I451" s="66" t="inlineStr">
        <is>
          <t>99.575.630-7</t>
        </is>
      </c>
      <c r="J451" s="66" t="n"/>
      <c r="K451" s="66" t="inlineStr">
        <is>
          <t>Ventas: GRANDE 3 (600.000 - 1.000.000 UF) | Empleados: 10</t>
        </is>
      </c>
      <c r="L451" s="61" t="n"/>
      <c r="M451" s="61" t="n"/>
      <c r="N451" s="61" t="n"/>
      <c r="O451" s="61" t="n"/>
      <c r="P451" s="61" t="n"/>
      <c r="Q451" s="62" t="n"/>
      <c r="R451" s="61" t="n"/>
    </row>
    <row r="452" ht="15.75" customHeight="1" s="38">
      <c r="A452" s="66" t="inlineStr">
        <is>
          <t>Consorcio Ril-Light S.A.</t>
        </is>
      </c>
      <c r="B452" s="66" t="inlineStr">
        <is>
          <t>Recuperación y Reutilización de Aguas para Uso Industrial, Tratamiento de Riles</t>
        </is>
      </c>
      <c r="C452" s="66" t="inlineStr">
        <is>
          <t>Santiago</t>
        </is>
      </c>
      <c r="D452" s="66" t="inlineStr">
        <is>
          <t>contacto@ril-light.cl</t>
        </is>
      </c>
      <c r="E452" s="66" t="inlineStr">
        <is>
          <t>(56) 2 2556 7377</t>
        </is>
      </c>
      <c r="F452" s="66" t="n"/>
      <c r="G452" s="66" t="n"/>
      <c r="H452" s="66" t="n"/>
      <c r="I452" s="66" t="inlineStr">
        <is>
          <t>99.569.950-8</t>
        </is>
      </c>
      <c r="J452" s="66" t="n"/>
      <c r="K452" s="66" t="inlineStr">
        <is>
          <t>Ventas: GRANDE 2 (200.000 - 600.000 UF) | Empleados: 25</t>
        </is>
      </c>
      <c r="L452" s="61" t="n"/>
      <c r="M452" s="61" t="n"/>
      <c r="N452" s="61" t="n"/>
      <c r="O452" s="61" t="n"/>
      <c r="P452" s="61" t="n"/>
      <c r="Q452" s="62" t="n"/>
      <c r="R452" s="61" t="n"/>
    </row>
    <row r="453" ht="15.75" customHeight="1" s="38">
      <c r="A453" s="66" t="inlineStr">
        <is>
          <t>Consorcio Santa Marta S.A.</t>
        </is>
      </c>
      <c r="B453" s="66" t="inlineStr">
        <is>
          <t>Plantas para Tratamiento de Riles, Rellenos Sanitarios</t>
        </is>
      </c>
      <c r="C453" s="66" t="inlineStr">
        <is>
          <t>Santiago</t>
        </is>
      </c>
      <c r="D453" s="66" t="inlineStr">
        <is>
          <t>comercial@csmarta.cl</t>
        </is>
      </c>
      <c r="E453" s="66" t="inlineStr">
        <is>
          <t>(56) 2 2592 1234</t>
        </is>
      </c>
      <c r="F453" s="66" t="inlineStr">
        <is>
          <t>Gerente de TI / CIO (Director de Tecnología)</t>
        </is>
      </c>
      <c r="G453" s="66" t="n"/>
      <c r="H453" s="66" t="n"/>
      <c r="I453" s="66" t="inlineStr">
        <is>
          <t>96.828.810-5</t>
        </is>
      </c>
      <c r="J453" s="66" t="n"/>
      <c r="K453" s="66" t="inlineStr">
        <is>
          <t>Ventas: GRANDE 4 (Mas de 1.000.000 UF) | Empleados: 505</t>
        </is>
      </c>
      <c r="L453" s="61" t="n"/>
      <c r="M453" s="61" t="n"/>
      <c r="N453" s="61" t="n"/>
      <c r="O453" s="61" t="n"/>
      <c r="P453" s="61" t="n"/>
      <c r="Q453" s="62" t="n"/>
      <c r="R453" s="61" t="n"/>
    </row>
    <row r="454" ht="15.75" customHeight="1" s="38">
      <c r="A454" s="66" t="inlineStr">
        <is>
          <t>Constructora Ecopsa S.A.</t>
        </is>
      </c>
      <c r="B454" s="66" t="inlineStr">
        <is>
          <t>Construcción de Obras Viales, Seguridad Vial</t>
        </is>
      </c>
      <c r="C454" s="66" t="inlineStr">
        <is>
          <t>Santiago</t>
        </is>
      </c>
      <c r="D454" s="66" t="inlineStr">
        <is>
          <t>ecopsa@ecopsa.com</t>
        </is>
      </c>
      <c r="E454" s="66" t="inlineStr">
        <is>
          <t>(56) 2 2683 2188</t>
        </is>
      </c>
      <c r="F454" s="66" t="n"/>
      <c r="G454" s="66" t="n"/>
      <c r="H454" s="66" t="n"/>
      <c r="I454" s="66" t="inlineStr">
        <is>
          <t>96.542.940-9</t>
        </is>
      </c>
      <c r="J454" s="66" t="n"/>
      <c r="K454" s="66" t="inlineStr">
        <is>
          <t>Ventas: GRANDE 3 (600.000 - 1.000.000 UF) | Empleados: 603</t>
        </is>
      </c>
      <c r="L454" s="61" t="n"/>
      <c r="M454" s="61" t="n"/>
      <c r="N454" s="61" t="n"/>
      <c r="O454" s="61" t="n"/>
      <c r="P454" s="61" t="n"/>
      <c r="Q454" s="62" t="n"/>
      <c r="R454" s="61" t="n"/>
    </row>
    <row r="455" ht="15.75" customHeight="1" s="38">
      <c r="A455" s="66" t="inlineStr">
        <is>
          <t>Constructora El Sauce S.A.</t>
        </is>
      </c>
      <c r="B455" s="66" t="inlineStr">
        <is>
          <t>Constructoras</t>
        </is>
      </c>
      <c r="C455" s="66" t="inlineStr">
        <is>
          <t>Santiago</t>
        </is>
      </c>
      <c r="D455" s="66" t="inlineStr">
        <is>
          <t>oficina@elsauce.cl</t>
        </is>
      </c>
      <c r="E455" s="66" t="inlineStr">
        <is>
          <t>(56) 2 2896 4000</t>
        </is>
      </c>
      <c r="F455" s="66" t="n"/>
      <c r="G455" s="66" t="n"/>
      <c r="H455" s="66" t="n"/>
      <c r="I455" s="66" t="inlineStr">
        <is>
          <t>79.775.100-6</t>
        </is>
      </c>
      <c r="J455" s="66" t="n"/>
      <c r="K455" s="66" t="inlineStr">
        <is>
          <t>Ventas: GRANDE (Estimado por Empleados) | Empleados: 1484</t>
        </is>
      </c>
      <c r="L455" s="61" t="n"/>
      <c r="M455" s="61" t="n"/>
      <c r="N455" s="61" t="n"/>
      <c r="O455" s="61" t="n"/>
      <c r="P455" s="61" t="n"/>
      <c r="Q455" s="62" t="n"/>
      <c r="R455" s="61" t="n"/>
    </row>
    <row r="456" ht="15.75" customHeight="1" s="38">
      <c r="A456" s="66" t="inlineStr">
        <is>
          <t>Constructora Excon</t>
        </is>
      </c>
      <c r="B456" s="66" t="inlineStr">
        <is>
          <t>Construcción de Obras Civiles, Construcción de Obras de Infraestructura</t>
        </is>
      </c>
      <c r="C456" s="66" t="inlineStr">
        <is>
          <t>Santiago</t>
        </is>
      </c>
      <c r="D456" s="66" t="inlineStr">
        <is>
          <t>contacto@excon.cl</t>
        </is>
      </c>
      <c r="E456" s="66" t="inlineStr">
        <is>
          <t>(56) 2 2594 6600</t>
        </is>
      </c>
      <c r="F456" s="66" t="n"/>
      <c r="G456" s="66" t="n"/>
      <c r="H456" s="66" t="n"/>
      <c r="I456" s="66" t="inlineStr">
        <is>
          <t>76.443.280-0</t>
        </is>
      </c>
      <c r="J456" s="66" t="n"/>
      <c r="K456" s="66" t="inlineStr">
        <is>
          <t>Ventas: GRANDE (Estimado por Empleados) | Empleados: 2537</t>
        </is>
      </c>
      <c r="L456" s="61" t="n"/>
      <c r="M456" s="61" t="n"/>
      <c r="N456" s="61" t="n"/>
      <c r="O456" s="61" t="n"/>
      <c r="P456" s="61" t="n"/>
      <c r="Q456" s="62" t="n"/>
      <c r="R456" s="61" t="n"/>
    </row>
    <row r="457" ht="15.75" customHeight="1" s="38">
      <c r="A457" s="66" t="inlineStr">
        <is>
          <t>Constructora Fe Grande S.A.</t>
        </is>
      </c>
      <c r="B457" s="66" t="inlineStr">
        <is>
          <t>Construcción de Obras Viales, Construcción de Tranques para Relaves</t>
        </is>
      </c>
      <c r="C457" s="66" t="inlineStr">
        <is>
          <t>Santiago</t>
        </is>
      </c>
      <c r="D457" s="66" t="inlineStr">
        <is>
          <t>fegrande@fegrande.cl</t>
        </is>
      </c>
      <c r="E457" s="66" t="inlineStr">
        <is>
          <t>(56) 2 2902 0181</t>
        </is>
      </c>
      <c r="F457" s="66" t="n"/>
      <c r="G457" s="66" t="n"/>
      <c r="H457" s="66" t="n"/>
      <c r="I457" s="66" t="inlineStr">
        <is>
          <t>83.109.000-6</t>
        </is>
      </c>
      <c r="J457" s="66" t="n"/>
      <c r="K457" s="66" t="inlineStr">
        <is>
          <t>Ventas: GRANDE (Estimado por Empleados) | Empleados: 3156</t>
        </is>
      </c>
      <c r="L457" s="61" t="n"/>
      <c r="M457" s="61" t="n"/>
      <c r="N457" s="61" t="n"/>
      <c r="O457" s="61" t="n"/>
      <c r="P457" s="61" t="n"/>
      <c r="Q457" s="62" t="n"/>
      <c r="R457" s="61" t="n"/>
    </row>
    <row r="458" ht="15.75" customHeight="1" s="38">
      <c r="A458" s="59" t="inlineStr">
        <is>
          <t>Constructora Inarco S.A.</t>
        </is>
      </c>
      <c r="B458" s="59" t="inlineStr">
        <is>
          <t>Construcción de Obras Civiles, Construcción Industrial</t>
        </is>
      </c>
      <c r="C458" s="59" t="inlineStr">
        <is>
          <t>Santiago</t>
        </is>
      </c>
      <c r="D458" s="59" t="inlineStr">
        <is>
          <t>inarcomunica@inarco.cl</t>
        </is>
      </c>
      <c r="E458" s="59" t="inlineStr">
        <is>
          <t>(56) 2 2240 8400</t>
        </is>
      </c>
      <c r="F458" s="59" t="inlineStr">
        <is>
          <t>Hugo Muñoz (SubGerente TI)</t>
        </is>
      </c>
      <c r="G458" s="59" t="n"/>
      <c r="H458" s="59" t="n"/>
      <c r="I458" s="59" t="inlineStr">
        <is>
          <t>96.513.310-0</t>
        </is>
      </c>
      <c r="J458" s="59" t="inlineStr">
        <is>
          <t>Digitalización BIM &amp; Workflows CMS</t>
        </is>
      </c>
      <c r="K458" s="59" t="inlineStr">
        <is>
          <t>Ventas: GRANDE (Estimado por Empleados) | Empleados: 1654</t>
        </is>
      </c>
      <c r="L458" s="61" t="n"/>
      <c r="M458" s="61" t="n"/>
      <c r="N458" s="61" t="n"/>
      <c r="O458" s="61" t="n"/>
      <c r="P458" s="61" t="n"/>
      <c r="Q458" s="62" t="n"/>
      <c r="R458" s="61" t="n"/>
    </row>
    <row r="459" ht="15.75" customHeight="1" s="38">
      <c r="A459" s="66" t="inlineStr">
        <is>
          <t>Constructora Internacional S.A.</t>
        </is>
      </c>
      <c r="B459" s="66" t="inlineStr">
        <is>
          <t>Construcción de Obras Civiles</t>
        </is>
      </c>
      <c r="C459" s="66" t="inlineStr">
        <is>
          <t>Santiago</t>
        </is>
      </c>
      <c r="D459" s="66" t="inlineStr">
        <is>
          <t>cinternacional@cil.cl</t>
        </is>
      </c>
      <c r="E459" s="66" t="inlineStr">
        <is>
          <t>(56) 2 2472 6000</t>
        </is>
      </c>
      <c r="F459" s="66" t="n"/>
      <c r="G459" s="66" t="n"/>
      <c r="H459" s="66" t="n"/>
      <c r="I459" s="66" t="inlineStr">
        <is>
          <t>80.231.800-6</t>
        </is>
      </c>
      <c r="J459" s="66" t="n"/>
      <c r="K459" s="66" t="inlineStr">
        <is>
          <t>Ventas: PEQUEÑA 2 (5.000 - 10.000 UF) | Empleados: 0</t>
        </is>
      </c>
      <c r="L459" s="61" t="n"/>
      <c r="M459" s="61" t="n"/>
      <c r="N459" s="61" t="n"/>
      <c r="O459" s="61" t="n"/>
      <c r="P459" s="61" t="n"/>
      <c r="Q459" s="62" t="n"/>
      <c r="R459" s="61" t="n"/>
    </row>
    <row r="460" ht="15.75" customHeight="1" s="38">
      <c r="A460" s="66" t="inlineStr">
        <is>
          <t>Constructora Lancuyén Ltda.</t>
        </is>
      </c>
      <c r="B460" s="66" t="inlineStr">
        <is>
          <t>Construcción de Obras para Minería Subterránea</t>
        </is>
      </c>
      <c r="C460" s="66" t="inlineStr">
        <is>
          <t>Concepción</t>
        </is>
      </c>
      <c r="D460" s="66" t="inlineStr">
        <is>
          <t>lancuyen@lancuyen.cl</t>
        </is>
      </c>
      <c r="E460" s="66" t="inlineStr">
        <is>
          <t>(56) 41 246 7741</t>
        </is>
      </c>
      <c r="F460" s="66" t="n"/>
      <c r="G460" s="66" t="n"/>
      <c r="H460" s="66" t="n"/>
      <c r="I460" s="66" t="inlineStr">
        <is>
          <t>77.083.100-8</t>
        </is>
      </c>
      <c r="J460" s="66" t="n"/>
      <c r="K460" s="66" t="inlineStr">
        <is>
          <t>Ventas: MICRO 1 (0.01 - 200 UF) | Empleados: 0</t>
        </is>
      </c>
      <c r="L460" s="61" t="n"/>
      <c r="M460" s="61" t="n"/>
      <c r="N460" s="61" t="n"/>
      <c r="O460" s="61" t="n"/>
      <c r="P460" s="61" t="n"/>
      <c r="Q460" s="62" t="n"/>
      <c r="R460" s="61" t="n"/>
    </row>
    <row r="461" ht="15.75" customHeight="1" s="38">
      <c r="A461" s="66" t="inlineStr">
        <is>
          <t>Constructora THX Ltda.</t>
        </is>
      </c>
      <c r="B461" s="66" t="inlineStr">
        <is>
          <t>Construcción de Galpones de Acero</t>
        </is>
      </c>
      <c r="C461" s="66" t="inlineStr">
        <is>
          <t>Santiago</t>
        </is>
      </c>
      <c r="D461" s="66" t="inlineStr">
        <is>
          <t>estructuras@thx.cl</t>
        </is>
      </c>
      <c r="E461" s="66" t="inlineStr">
        <is>
          <t>(56) 2 2563 4453</t>
        </is>
      </c>
      <c r="F461" s="66" t="n"/>
      <c r="G461" s="66" t="n"/>
      <c r="H461" s="66" t="n"/>
      <c r="I461" s="66" t="inlineStr">
        <is>
          <t>77.127.570-2</t>
        </is>
      </c>
      <c r="J461" s="66" t="n"/>
      <c r="K461" s="66" t="inlineStr">
        <is>
          <t>Ventas: MICRO 1 (0.01 - 200 UF) | Empleados: 0</t>
        </is>
      </c>
      <c r="L461" s="61" t="n"/>
      <c r="M461" s="61" t="n"/>
      <c r="N461" s="61" t="n"/>
      <c r="O461" s="61" t="n"/>
      <c r="P461" s="61" t="n"/>
      <c r="Q461" s="62" t="n"/>
      <c r="R461" s="61" t="n"/>
    </row>
    <row r="462" ht="15.75" customHeight="1" s="38">
      <c r="A462" s="66" t="inlineStr">
        <is>
          <t>Construsoft Latinoamérica SpA</t>
        </is>
      </c>
      <c r="B462" s="66" t="inlineStr">
        <is>
          <t>Software para la Construcción, Software para la Minería</t>
        </is>
      </c>
      <c r="C462" s="66" t="inlineStr">
        <is>
          <t>Santiago</t>
        </is>
      </c>
      <c r="D462" s="66" t="inlineStr">
        <is>
          <t>info-la@construsoft.com</t>
        </is>
      </c>
      <c r="E462" s="66" t="inlineStr">
        <is>
          <t>(56) 2 2234 2978</t>
        </is>
      </c>
      <c r="F462" s="66" t="n"/>
      <c r="G462" s="66" t="n"/>
      <c r="H462" s="66" t="n"/>
      <c r="I462" s="66" t="inlineStr">
        <is>
          <t>76.051.797-6</t>
        </is>
      </c>
      <c r="J462" s="66" t="n"/>
      <c r="K462" s="66" t="inlineStr">
        <is>
          <t>Ventas: MEDIANA 1 (25.000 - 50.000 UF) | Empleados: 7</t>
        </is>
      </c>
      <c r="L462" s="61" t="n"/>
      <c r="M462" s="61" t="n"/>
      <c r="N462" s="61" t="n"/>
      <c r="O462" s="61" t="n"/>
      <c r="P462" s="61" t="n"/>
      <c r="Q462" s="62" t="n"/>
      <c r="R462" s="61" t="n"/>
    </row>
    <row r="463" ht="15.75" customHeight="1" s="38">
      <c r="A463" s="66" t="inlineStr">
        <is>
          <t>Contac Ingenieros Ltda.</t>
        </is>
      </c>
      <c r="B463" s="66" t="inlineStr">
        <is>
          <t>Automatización de Procesos</t>
        </is>
      </c>
      <c r="C463" s="66" t="inlineStr">
        <is>
          <t>Santiago</t>
        </is>
      </c>
      <c r="D463" s="66" t="inlineStr">
        <is>
          <t>contacto@contac.cl</t>
        </is>
      </c>
      <c r="E463" s="66" t="inlineStr">
        <is>
          <t>(56) 2 2270 0900</t>
        </is>
      </c>
      <c r="F463" s="66" t="n"/>
      <c r="G463" s="66" t="n"/>
      <c r="H463" s="66" t="n"/>
      <c r="I463" s="66" t="inlineStr">
        <is>
          <t>88.512.900-5</t>
        </is>
      </c>
      <c r="J463" s="66" t="n"/>
      <c r="K463" s="66" t="inlineStr">
        <is>
          <t>Ventas: GRANDE 3 (600.000 - 1.000.000 UF) | Empleados: 142</t>
        </is>
      </c>
      <c r="L463" s="61" t="n"/>
      <c r="M463" s="61" t="n"/>
      <c r="N463" s="61" t="n"/>
      <c r="O463" s="61" t="n"/>
      <c r="P463" s="61" t="n"/>
      <c r="Q463" s="62" t="n"/>
      <c r="R463" s="61" t="n"/>
    </row>
    <row r="464" ht="15.75" customHeight="1" s="38">
      <c r="A464" s="66" t="inlineStr">
        <is>
          <t>Containerland Ltda.</t>
        </is>
      </c>
      <c r="B464" s="66" t="inlineStr">
        <is>
          <t>Construcciones Modulares</t>
        </is>
      </c>
      <c r="C464" s="66" t="inlineStr">
        <is>
          <t>Santiago</t>
        </is>
      </c>
      <c r="D464" s="66" t="inlineStr">
        <is>
          <t>ventas@containerland.cl</t>
        </is>
      </c>
      <c r="E464" s="66" t="inlineStr">
        <is>
          <t>(56) 2 2584 0191</t>
        </is>
      </c>
      <c r="F464" s="66" t="n"/>
      <c r="G464" s="66" t="n"/>
      <c r="H464" s="66" t="n"/>
      <c r="I464" s="66" t="inlineStr">
        <is>
          <t>96.552.310-3</t>
        </is>
      </c>
      <c r="J464" s="66" t="n"/>
      <c r="K464" s="66" t="inlineStr">
        <is>
          <t>Ventas: GRANDE 2 (200.000 - 600.000 UF) | Empleados: 0</t>
        </is>
      </c>
      <c r="L464" s="61" t="n"/>
      <c r="M464" s="61" t="n"/>
      <c r="N464" s="61" t="n"/>
      <c r="O464" s="61" t="n"/>
      <c r="P464" s="61" t="n"/>
      <c r="Q464" s="62" t="n"/>
      <c r="R464" s="61" t="n"/>
    </row>
    <row r="465" ht="15.75" customHeight="1" s="38">
      <c r="A465" s="66" t="inlineStr">
        <is>
          <t>Continental Blowers Andes Ltda.</t>
        </is>
      </c>
      <c r="B465" s="66" t="inlineStr">
        <is>
          <t>Sopladores Centrifugos Multietapas, Turbocompresores</t>
        </is>
      </c>
      <c r="C465" s="66" t="inlineStr">
        <is>
          <t>Santiago</t>
        </is>
      </c>
      <c r="D465" s="66" t="inlineStr">
        <is>
          <t>cba@continentalandes.com</t>
        </is>
      </c>
      <c r="E465" s="66" t="inlineStr">
        <is>
          <t>(56) 2 2401 6243</t>
        </is>
      </c>
      <c r="F465" s="66" t="n"/>
      <c r="G465" s="66" t="n"/>
      <c r="H465" s="66" t="n"/>
      <c r="I465" s="66" t="inlineStr">
        <is>
          <t>76.111.144-2</t>
        </is>
      </c>
      <c r="J465" s="66" t="n"/>
      <c r="K465" s="66" t="inlineStr">
        <is>
          <t>Ventas: GRANDE 1 (100.000 - 200.000 UF) | Empleados: 13</t>
        </is>
      </c>
      <c r="L465" s="61" t="n"/>
      <c r="M465" s="61" t="n"/>
      <c r="N465" s="61" t="n"/>
      <c r="O465" s="61" t="n"/>
      <c r="P465" s="61" t="n"/>
      <c r="Q465" s="62" t="n"/>
      <c r="R465" s="61" t="n"/>
    </row>
    <row r="466" ht="15.75" customHeight="1" s="38">
      <c r="A466" s="66" t="inlineStr">
        <is>
          <t>Contitech Chile S.A.</t>
        </is>
      </c>
      <c r="B466" s="66" t="inlineStr">
        <is>
          <t>Correas Transportadoras, Reparación de Correas Transportadoras</t>
        </is>
      </c>
      <c r="C466" s="66" t="inlineStr">
        <is>
          <t>Santiago</t>
        </is>
      </c>
      <c r="D466" s="66" t="inlineStr">
        <is>
          <t>thomas.lau@continental.com</t>
        </is>
      </c>
      <c r="E466" s="66" t="inlineStr">
        <is>
          <t>(56) 2 2495 5300</t>
        </is>
      </c>
      <c r="F466" s="66" t="n"/>
      <c r="G466" s="66" t="n"/>
      <c r="H466" s="66" t="n"/>
      <c r="I466" s="66" t="inlineStr">
        <is>
          <t>83.070.800-6</t>
        </is>
      </c>
      <c r="J466" s="66" t="n"/>
      <c r="K466" s="66" t="inlineStr">
        <is>
          <t>Ventas: GRANDE (Estimado por Empleados) | Empleados: 708</t>
        </is>
      </c>
      <c r="L466" s="61" t="n"/>
      <c r="M466" s="61" t="n"/>
      <c r="N466" s="61" t="n"/>
      <c r="O466" s="61" t="n"/>
      <c r="P466" s="61" t="n"/>
      <c r="Q466" s="62" t="n"/>
      <c r="R466" s="61" t="n"/>
    </row>
    <row r="467" ht="15.75" customHeight="1" s="38">
      <c r="A467" s="66" t="inlineStr">
        <is>
          <t>Control Acústico</t>
        </is>
      </c>
      <c r="B467" s="66" t="inlineStr">
        <is>
          <t>Servicios de Control de Ruidos</t>
        </is>
      </c>
      <c r="C467" s="66" t="inlineStr">
        <is>
          <t>Santiago</t>
        </is>
      </c>
      <c r="D467" s="66" t="inlineStr">
        <is>
          <t>info@controlacustico.cl</t>
        </is>
      </c>
      <c r="E467" s="66" t="inlineStr">
        <is>
          <t>(56) 2 2225 7000</t>
        </is>
      </c>
      <c r="F467" s="66" t="n"/>
      <c r="G467" s="66" t="n"/>
      <c r="H467" s="66" t="n"/>
      <c r="I467" s="66" t="inlineStr">
        <is>
          <t>77.031.920-K</t>
        </is>
      </c>
      <c r="J467" s="66" t="n"/>
      <c r="K467" s="66" t="inlineStr">
        <is>
          <t>Ventas: MEDIANA 2 (50.000 - 100.000 UF) | Empleados: 24</t>
        </is>
      </c>
      <c r="L467" s="61" t="n"/>
      <c r="M467" s="61" t="n"/>
      <c r="N467" s="61" t="n"/>
      <c r="O467" s="61" t="n"/>
      <c r="P467" s="61" t="n"/>
      <c r="Q467" s="62" t="n"/>
      <c r="R467" s="61" t="n"/>
    </row>
    <row r="468" ht="15.75" customHeight="1" s="38">
      <c r="A468" s="66" t="inlineStr">
        <is>
          <t>Control Vertical</t>
        </is>
      </c>
      <c r="B468" s="66" t="inlineStr">
        <is>
          <t>Asesorías en Minería, Capacitación en Altura</t>
        </is>
      </c>
      <c r="C468" s="66" t="inlineStr">
        <is>
          <t>Melipilla</t>
        </is>
      </c>
      <c r="D468" s="66" t="inlineStr">
        <is>
          <t>contacto@cro.cl</t>
        </is>
      </c>
      <c r="E468" s="66" t="inlineStr">
        <is>
          <t>(56) 9 9986 4586</t>
        </is>
      </c>
      <c r="F468" s="66" t="n"/>
      <c r="G468" s="66" t="n"/>
      <c r="H468" s="66" t="n"/>
      <c r="I468" s="66" t="inlineStr">
        <is>
          <t>76.343.760-4</t>
        </is>
      </c>
      <c r="J468" s="66" t="n"/>
      <c r="K468" s="66" t="inlineStr">
        <is>
          <t>Ventas: PEQUEÑA 1 (2.400 - 5.000 UF) | Empleados: 1</t>
        </is>
      </c>
      <c r="L468" s="61" t="n"/>
      <c r="M468" s="61" t="n"/>
      <c r="N468" s="61" t="n"/>
      <c r="O468" s="61" t="n"/>
      <c r="P468" s="61" t="n"/>
      <c r="Q468" s="62" t="n"/>
      <c r="R468" s="61" t="n"/>
    </row>
    <row r="469" ht="15.75" customHeight="1" s="38">
      <c r="A469" s="66" t="inlineStr">
        <is>
          <t>Controles Ltda.</t>
        </is>
      </c>
      <c r="B469" s="66" t="inlineStr">
        <is>
          <t>Conductores Eléctricos, Variadores de Frecuencia</t>
        </is>
      </c>
      <c r="C469" s="66" t="inlineStr">
        <is>
          <t>Santiago</t>
        </is>
      </c>
      <c r="D469" s="66" t="inlineStr">
        <is>
          <t>ventas@controls.cl</t>
        </is>
      </c>
      <c r="E469" s="66" t="inlineStr">
        <is>
          <t>(56) 2 2634 5956</t>
        </is>
      </c>
      <c r="F469" s="66" t="n"/>
      <c r="G469" s="66" t="n"/>
      <c r="H469" s="66" t="n"/>
      <c r="I469" s="66" t="inlineStr">
        <is>
          <t>76.012.966-6</t>
        </is>
      </c>
      <c r="J469" s="66" t="n"/>
      <c r="K469" s="66" t="inlineStr">
        <is>
          <t>Ventas: MEDIANA 1 (25.000 - 50.000 UF) | Empleados: 7</t>
        </is>
      </c>
      <c r="L469" s="61" t="n"/>
      <c r="M469" s="61" t="n"/>
      <c r="N469" s="61" t="n"/>
      <c r="O469" s="61" t="n"/>
      <c r="P469" s="61" t="n"/>
      <c r="Q469" s="62" t="n"/>
      <c r="R469" s="61" t="n"/>
    </row>
    <row r="470" ht="15.75" customHeight="1" s="38">
      <c r="A470" s="66" t="inlineStr">
        <is>
          <t>Convertec S.A.</t>
        </is>
      </c>
      <c r="B470" s="66" t="inlineStr">
        <is>
          <t>Baterías</t>
        </is>
      </c>
      <c r="C470" s="66" t="inlineStr">
        <is>
          <t>Santiago</t>
        </is>
      </c>
      <c r="D470" s="66" t="inlineStr">
        <is>
          <t>convertec@convertec.cl</t>
        </is>
      </c>
      <c r="E470" s="66" t="inlineStr">
        <is>
          <t>(56) 2 2775 6832</t>
        </is>
      </c>
      <c r="F470" s="66" t="n"/>
      <c r="G470" s="66" t="n"/>
      <c r="H470" s="66" t="n"/>
      <c r="I470" s="66" t="inlineStr">
        <is>
          <t>77.225.180-7</t>
        </is>
      </c>
      <c r="J470" s="66" t="n"/>
      <c r="K470" s="66" t="inlineStr">
        <is>
          <t>Ventas: MEDIANA 2 (50.000 - 100.000 UF) | Empleados: 44</t>
        </is>
      </c>
      <c r="L470" s="61" t="n"/>
      <c r="M470" s="61" t="n"/>
      <c r="N470" s="61" t="n"/>
      <c r="O470" s="61" t="n"/>
      <c r="P470" s="61" t="n"/>
      <c r="Q470" s="62" t="n"/>
      <c r="R470" s="61" t="n"/>
    </row>
    <row r="471" ht="15.75" customHeight="1" s="38">
      <c r="A471" s="66" t="inlineStr">
        <is>
          <t>Conveyor Belt Technology Ltda.</t>
        </is>
      </c>
      <c r="B471" s="66" t="inlineStr">
        <is>
          <t>Correas Transportadoras, Poleas, Polines</t>
        </is>
      </c>
      <c r="C471" s="66" t="inlineStr">
        <is>
          <t>Santiago</t>
        </is>
      </c>
      <c r="D471" s="66" t="inlineStr">
        <is>
          <t>info@cbtech.cl</t>
        </is>
      </c>
      <c r="E471" s="66" t="inlineStr">
        <is>
          <t>(56) 2 2364 6500</t>
        </is>
      </c>
      <c r="F471" s="66" t="n"/>
      <c r="G471" s="66" t="n"/>
      <c r="H471" s="66" t="n"/>
      <c r="I471" s="66" t="inlineStr">
        <is>
          <t>77.495.650-6</t>
        </is>
      </c>
      <c r="J471" s="66" t="n"/>
      <c r="K471" s="66" t="inlineStr">
        <is>
          <t>Ventas: GRANDE 3 (600.000 - 1.000.000 UF) | Empleados: 87</t>
        </is>
      </c>
      <c r="L471" s="61" t="n"/>
      <c r="M471" s="61" t="n"/>
      <c r="N471" s="61" t="n"/>
      <c r="O471" s="61" t="n"/>
      <c r="P471" s="61" t="n"/>
      <c r="Q471" s="62" t="n"/>
      <c r="R471" s="61" t="n"/>
    </row>
    <row r="472" ht="15.75" customHeight="1" s="38">
      <c r="A472" s="66" t="inlineStr">
        <is>
          <t>Conymet Ltda.</t>
        </is>
      </c>
      <c r="B472" s="66" t="inlineStr">
        <is>
          <t>Baldes para Cargadores Frontales, Tolvas para Camiones</t>
        </is>
      </c>
      <c r="C472" s="66" t="inlineStr">
        <is>
          <t>Antofagasta</t>
        </is>
      </c>
      <c r="D472" s="66" t="inlineStr">
        <is>
          <t>info@conymet.com</t>
        </is>
      </c>
      <c r="E472" s="66" t="inlineStr">
        <is>
          <t>(56) 55 289 3020</t>
        </is>
      </c>
      <c r="F472" s="66" t="n"/>
      <c r="G472" s="66" t="n"/>
      <c r="H472" s="66" t="n"/>
      <c r="I472" s="66" t="inlineStr">
        <is>
          <t>83.483.500-2</t>
        </is>
      </c>
      <c r="J472" s="66" t="n"/>
      <c r="K472" s="66" t="inlineStr">
        <is>
          <t>Ventas: GRANDE 2 (200.000 - 600.000 UF) | Empleados: 73</t>
        </is>
      </c>
      <c r="L472" s="61" t="n"/>
      <c r="M472" s="61" t="n"/>
      <c r="N472" s="61" t="n"/>
      <c r="O472" s="61" t="n"/>
      <c r="P472" s="61" t="n"/>
      <c r="Q472" s="62" t="n"/>
      <c r="R472" s="61" t="n"/>
    </row>
    <row r="473" ht="15.75" customHeight="1" s="38">
      <c r="A473" s="66" t="inlineStr">
        <is>
          <t>Copa</t>
        </is>
      </c>
      <c r="B473" s="66" t="inlineStr">
        <is>
          <t>Sustentabilidad</t>
        </is>
      </c>
      <c r="C473" s="66" t="inlineStr">
        <is>
          <t>Antofagasta</t>
        </is>
      </c>
      <c r="D473" s="66" t="inlineStr">
        <is>
          <t>vriquelme@puertoantofagasta.cl</t>
        </is>
      </c>
      <c r="E473" s="66" t="inlineStr">
        <is>
          <t>(56) 9 8239 6085</t>
        </is>
      </c>
      <c r="F473" s="66" t="n"/>
      <c r="G473" s="66" t="n"/>
      <c r="H473" s="66" t="n"/>
      <c r="I473" s="66" t="inlineStr">
        <is>
          <t>76823561-9</t>
        </is>
      </c>
      <c r="J473" s="66" t="n"/>
      <c r="K473" s="66" t="inlineStr">
        <is>
          <t>Ventas: MICRO 1 (0.01 - 200 UF) | Empleados: 0</t>
        </is>
      </c>
      <c r="L473" s="61" t="n"/>
      <c r="M473" s="61" t="n"/>
      <c r="N473" s="61" t="n"/>
      <c r="O473" s="61" t="n"/>
      <c r="P473" s="61" t="n"/>
      <c r="Q473" s="62" t="n"/>
      <c r="R473" s="61" t="n"/>
    </row>
    <row r="474" ht="15.75" customHeight="1" s="38">
      <c r="A474" s="66" t="inlineStr">
        <is>
          <t>Copal S.A.</t>
        </is>
      </c>
      <c r="B474" s="66" t="inlineStr">
        <is>
          <t>Equipos Industriales</t>
        </is>
      </c>
      <c r="C474" s="66" t="inlineStr">
        <is>
          <t>Santiago</t>
        </is>
      </c>
      <c r="D474" s="66" t="inlineStr">
        <is>
          <t>maxlob@copal.cl</t>
        </is>
      </c>
      <c r="E474" s="66" t="inlineStr">
        <is>
          <t>(56) 2 2733 1093</t>
        </is>
      </c>
      <c r="F474" s="66" t="n"/>
      <c r="G474" s="66" t="n"/>
      <c r="H474" s="66" t="n"/>
      <c r="I474" s="66" t="inlineStr">
        <is>
          <t>96.987.250-1</t>
        </is>
      </c>
      <c r="J474" s="66" t="n"/>
      <c r="K474" s="66" t="inlineStr">
        <is>
          <t>Ventas: MEDIANA 1 (25.000 - 50.000 UF) | Empleados: 0</t>
        </is>
      </c>
      <c r="L474" s="61" t="n"/>
      <c r="M474" s="61" t="n"/>
      <c r="N474" s="61" t="n"/>
      <c r="O474" s="61" t="n"/>
      <c r="P474" s="61" t="n"/>
      <c r="Q474" s="62" t="n"/>
      <c r="R474" s="61" t="n"/>
    </row>
    <row r="475" ht="15.75" customHeight="1" s="38">
      <c r="A475" s="66" t="inlineStr">
        <is>
          <t>Copec</t>
        </is>
      </c>
      <c r="B475" s="66" t="inlineStr">
        <is>
          <t>Combustibles, Distribución de Combustibles y Lubricantes</t>
        </is>
      </c>
      <c r="C475" s="66" t="inlineStr">
        <is>
          <t>Santiago</t>
        </is>
      </c>
      <c r="D475" s="66" t="inlineStr">
        <is>
          <t>llamenos@copec.cl</t>
        </is>
      </c>
      <c r="E475" s="66" t="inlineStr">
        <is>
          <t>(56) 2 2690 7000</t>
        </is>
      </c>
      <c r="F475" s="66" t="n"/>
      <c r="G475" s="66" t="n"/>
      <c r="H475" s="66" t="n"/>
      <c r="I475" s="66" t="inlineStr">
        <is>
          <t>99.520.000-7</t>
        </is>
      </c>
      <c r="J475" s="66" t="n"/>
      <c r="K475" s="66" t="inlineStr">
        <is>
          <t>Ventas: GRANDE (Estimado por Empleados) | Empleados: 1671</t>
        </is>
      </c>
      <c r="L475" s="61" t="n"/>
      <c r="M475" s="61" t="n"/>
      <c r="N475" s="61" t="n"/>
      <c r="O475" s="61" t="n"/>
      <c r="P475" s="61" t="n"/>
      <c r="Q475" s="62" t="n"/>
      <c r="R475" s="61" t="n"/>
    </row>
    <row r="476" ht="15.75" customHeight="1" s="38">
      <c r="A476" s="66" t="inlineStr">
        <is>
          <t>Copec Voltex</t>
        </is>
      </c>
      <c r="B476" s="66" t="inlineStr">
        <is>
          <t>Cargadores para Electromovilidad</t>
        </is>
      </c>
      <c r="C476" s="66" t="inlineStr">
        <is>
          <t>Santiago</t>
        </is>
      </c>
      <c r="D476" s="66" t="inlineStr">
        <is>
          <t>contacto@copecvoltex.cl</t>
        </is>
      </c>
      <c r="E476" s="66" t="inlineStr">
        <is>
          <t>(56) 2 2690 7696</t>
        </is>
      </c>
      <c r="F476" s="66" t="n"/>
      <c r="G476" s="66" t="n"/>
      <c r="H476" s="66" t="n"/>
      <c r="I476" s="66" t="inlineStr">
        <is>
          <t>77107835-4</t>
        </is>
      </c>
      <c r="J476" s="66" t="n"/>
      <c r="K476" s="66" t="inlineStr">
        <is>
          <t>Ventas: GRANDE 2 (200.000 - 600.000 UF) | Empleados: 31</t>
        </is>
      </c>
      <c r="L476" s="61" t="n"/>
      <c r="M476" s="61" t="n"/>
      <c r="N476" s="61" t="n"/>
      <c r="O476" s="61" t="n"/>
      <c r="P476" s="61" t="n"/>
      <c r="Q476" s="62" t="n"/>
      <c r="R476" s="61" t="n"/>
    </row>
    <row r="477" ht="15.75" customHeight="1" s="38">
      <c r="A477" s="66" t="inlineStr">
        <is>
          <t>Coppex SpA</t>
        </is>
      </c>
      <c r="B477" s="66" t="inlineStr">
        <is>
          <t>Plantas para Granulación, Plantas Quimícas</t>
        </is>
      </c>
      <c r="C477" s="66" t="inlineStr">
        <is>
          <t>Santiago</t>
        </is>
      </c>
      <c r="D477" s="66" t="inlineStr">
        <is>
          <t>info@coppex.cl</t>
        </is>
      </c>
      <c r="E477" s="66" t="inlineStr">
        <is>
          <t>(56) 2 2209 3050</t>
        </is>
      </c>
      <c r="F477" s="66" t="n"/>
      <c r="G477" s="66" t="n"/>
      <c r="H477" s="66" t="n"/>
      <c r="I477" s="66" t="inlineStr">
        <is>
          <t>78.347.150-7</t>
        </is>
      </c>
      <c r="J477" s="66" t="n"/>
      <c r="K477" s="66" t="inlineStr">
        <is>
          <t>Ventas: MEDIANA 1 (25.000 - 50.000 UF) | Empleados: 2</t>
        </is>
      </c>
      <c r="L477" s="61" t="n"/>
      <c r="M477" s="61" t="n"/>
      <c r="N477" s="61" t="n"/>
      <c r="O477" s="61" t="n"/>
      <c r="P477" s="61" t="n"/>
      <c r="Q477" s="62" t="n"/>
      <c r="R477" s="61" t="n"/>
    </row>
    <row r="478" ht="15.75" customHeight="1" s="38">
      <c r="A478" s="66" t="inlineStr">
        <is>
          <t>Coprom SpA</t>
        </is>
      </c>
      <c r="B478" s="66" t="inlineStr">
        <is>
          <t>Cúpulas para Correas Transportadoras</t>
        </is>
      </c>
      <c r="C478" s="66" t="inlineStr">
        <is>
          <t>Calama</t>
        </is>
      </c>
      <c r="D478" s="66" t="inlineStr">
        <is>
          <t>atc@coprom.cl</t>
        </is>
      </c>
      <c r="E478" s="66" t="inlineStr">
        <is>
          <t>(56) 9 9457 4042</t>
        </is>
      </c>
      <c r="F478" s="66" t="n"/>
      <c r="G478" s="66" t="n"/>
      <c r="H478" s="66" t="n"/>
      <c r="I478" s="66" t="inlineStr">
        <is>
          <t>76.907.788-K</t>
        </is>
      </c>
      <c r="J478" s="66" t="n"/>
      <c r="K478" s="66" t="inlineStr">
        <is>
          <t>Ventas: MICRO 3 (600 - 2.400 UF) | Empleados: 0</t>
        </is>
      </c>
      <c r="L478" s="61" t="n"/>
      <c r="M478" s="61" t="n"/>
      <c r="N478" s="61" t="n"/>
      <c r="O478" s="61" t="n"/>
      <c r="P478" s="61" t="n"/>
      <c r="Q478" s="62" t="n"/>
      <c r="R478" s="61" t="n"/>
    </row>
    <row r="479" ht="15.75" customHeight="1" s="38">
      <c r="A479" s="66" t="inlineStr">
        <is>
          <t>Coproman Ltda.</t>
        </is>
      </c>
      <c r="B479" s="66" t="inlineStr">
        <is>
          <t>Soldaduras para Mantenimiento</t>
        </is>
      </c>
      <c r="C479" s="66" t="inlineStr">
        <is>
          <t>Antofagasta</t>
        </is>
      </c>
      <c r="D479" s="66" t="inlineStr">
        <is>
          <t>copromanltda@coproman.cl</t>
        </is>
      </c>
      <c r="E479" s="66" t="inlineStr">
        <is>
          <t>(56) 55 248 4838</t>
        </is>
      </c>
      <c r="F479" s="66" t="n"/>
      <c r="G479" s="66" t="n"/>
      <c r="H479" s="66" t="n"/>
      <c r="I479" s="66" t="inlineStr">
        <is>
          <t>77.883.040-K</t>
        </is>
      </c>
      <c r="J479" s="66" t="n"/>
      <c r="K479" s="66" t="inlineStr">
        <is>
          <t>Ventas: MEDIANA 2 (50.000 - 100.000 UF) | Empleados: 5</t>
        </is>
      </c>
      <c r="L479" s="61" t="n"/>
      <c r="M479" s="61" t="n"/>
      <c r="N479" s="61" t="n"/>
      <c r="O479" s="61" t="n"/>
      <c r="P479" s="61" t="n"/>
      <c r="Q479" s="62" t="n"/>
      <c r="R479" s="61" t="n"/>
    </row>
    <row r="480" ht="15.75" customHeight="1" s="38">
      <c r="A480" s="66" t="inlineStr">
        <is>
          <t>Copromatic SpA</t>
        </is>
      </c>
      <c r="B480" s="66" t="inlineStr">
        <is>
          <t>Productos Eléctricos para Automatización y Control Industrial</t>
        </is>
      </c>
      <c r="C480" s="66" t="inlineStr">
        <is>
          <t>Santiago</t>
        </is>
      </c>
      <c r="D480" s="66" t="inlineStr">
        <is>
          <t>ventas@copromatic.cl</t>
        </is>
      </c>
      <c r="E480" s="66" t="inlineStr">
        <is>
          <t>(56) 2 2235 8271</t>
        </is>
      </c>
      <c r="F480" s="66" t="n"/>
      <c r="G480" s="66" t="n"/>
      <c r="H480" s="66" t="n"/>
      <c r="I480" s="66" t="inlineStr">
        <is>
          <t>76.347.600-6</t>
        </is>
      </c>
      <c r="J480" s="66" t="n"/>
      <c r="K480" s="66" t="inlineStr">
        <is>
          <t>Ventas: GRANDE 1 (100.000 - 200.000 UF) | Empleados: 5</t>
        </is>
      </c>
      <c r="L480" s="61" t="n"/>
      <c r="M480" s="61" t="n"/>
      <c r="N480" s="61" t="n"/>
      <c r="O480" s="61" t="n"/>
      <c r="P480" s="61" t="n"/>
      <c r="Q480" s="62" t="n"/>
      <c r="R480" s="61" t="n"/>
    </row>
    <row r="481" ht="15.75" customHeight="1" s="38">
      <c r="A481" s="66" t="inlineStr">
        <is>
          <t>Copromet</t>
        </is>
      </c>
      <c r="B481" s="66" t="inlineStr">
        <is>
          <t>Vigas de Acero Laminadas</t>
        </is>
      </c>
      <c r="C481" s="66" t="inlineStr">
        <is>
          <t>Santiago</t>
        </is>
      </c>
      <c r="D481" s="66" t="inlineStr">
        <is>
          <t>info@copromet.cl</t>
        </is>
      </c>
      <c r="E481" s="66" t="inlineStr">
        <is>
          <t>(56) 2 2558 6716</t>
        </is>
      </c>
      <c r="F481" s="66" t="n"/>
      <c r="G481" s="66" t="n"/>
      <c r="H481" s="66" t="n"/>
      <c r="I481" s="66" t="inlineStr">
        <is>
          <t>96.544.800-4</t>
        </is>
      </c>
      <c r="J481" s="66" t="n"/>
      <c r="K481" s="66" t="inlineStr">
        <is>
          <t>Ventas: GRANDE 3 (600.000 - 1.000.000 UF) | Empleados: 37</t>
        </is>
      </c>
      <c r="L481" s="61" t="n"/>
      <c r="M481" s="61" t="n"/>
      <c r="N481" s="61" t="n"/>
      <c r="O481" s="61" t="n"/>
      <c r="P481" s="61" t="n"/>
      <c r="Q481" s="62" t="n"/>
      <c r="R481" s="61" t="n"/>
    </row>
    <row r="482" ht="15.75" customHeight="1" s="38">
      <c r="A482" s="66" t="inlineStr">
        <is>
          <t>Cordero S.A.</t>
        </is>
      </c>
      <c r="B482" s="66" t="inlineStr">
        <is>
          <t>Transformadores para Distribución</t>
        </is>
      </c>
      <c r="C482" s="66" t="inlineStr">
        <is>
          <t>Santiago</t>
        </is>
      </c>
      <c r="D482" s="66" t="inlineStr">
        <is>
          <t>transformadores@cordero.cl</t>
        </is>
      </c>
      <c r="E482" s="66" t="inlineStr">
        <is>
          <t>(56) 2 2683 3731</t>
        </is>
      </c>
      <c r="F482" s="66" t="n"/>
      <c r="G482" s="66" t="n"/>
      <c r="H482" s="66" t="n"/>
      <c r="I482" s="66" t="inlineStr">
        <is>
          <t>89.435.600-6</t>
        </is>
      </c>
      <c r="J482" s="66" t="n"/>
      <c r="K482" s="66" t="inlineStr">
        <is>
          <t>Ventas: MEDIANA 1 (25.000 - 50.000 UF) | Empleados: 28</t>
        </is>
      </c>
      <c r="L482" s="61" t="n"/>
      <c r="M482" s="61" t="n"/>
      <c r="N482" s="61" t="n"/>
      <c r="O482" s="61" t="n"/>
      <c r="P482" s="61" t="n"/>
      <c r="Q482" s="62" t="n"/>
      <c r="R482" s="61" t="n"/>
    </row>
    <row r="483" ht="15.75" customHeight="1" s="38">
      <c r="A483" s="66" t="inlineStr">
        <is>
          <t>Corental Ing SpA</t>
        </is>
      </c>
      <c r="B483" s="66" t="inlineStr">
        <is>
          <t>Plataformas Elevadoras</t>
        </is>
      </c>
      <c r="C483" s="66" t="inlineStr">
        <is>
          <t>Talcahuano</t>
        </is>
      </c>
      <c r="D483" s="66" t="inlineStr">
        <is>
          <t>corental@corental.cl</t>
        </is>
      </c>
      <c r="E483" s="66" t="inlineStr">
        <is>
          <t>(56) 41 258 5220</t>
        </is>
      </c>
      <c r="F483" s="66" t="n"/>
      <c r="G483" s="66" t="n"/>
      <c r="H483" s="66" t="n"/>
      <c r="I483" s="66" t="inlineStr">
        <is>
          <t>77.231.865-0</t>
        </is>
      </c>
      <c r="J483" s="66" t="n"/>
      <c r="K483" s="66" t="inlineStr">
        <is>
          <t>Ventas: PEQUEÑA 2 (5.000 - 10.000 UF) | Empleados: 0</t>
        </is>
      </c>
      <c r="L483" s="61" t="n"/>
      <c r="M483" s="61" t="n"/>
      <c r="N483" s="61" t="n"/>
      <c r="O483" s="61" t="n"/>
      <c r="P483" s="61" t="n"/>
      <c r="Q483" s="62" t="n"/>
      <c r="R483" s="61" t="n"/>
    </row>
    <row r="484" ht="15.75" customHeight="1" s="38">
      <c r="A484" s="66" t="inlineStr">
        <is>
          <t>Coresa</t>
        </is>
      </c>
      <c r="B484" s="66" t="inlineStr">
        <is>
          <t>Sacos</t>
        </is>
      </c>
      <c r="C484" s="66" t="inlineStr">
        <is>
          <t>Santiago</t>
        </is>
      </c>
      <c r="D484" s="66" t="inlineStr">
        <is>
          <t>coresa@coresa.cl</t>
        </is>
      </c>
      <c r="E484" s="66" t="inlineStr">
        <is>
          <t>(56) 2 2510 8800</t>
        </is>
      </c>
      <c r="F484" s="66" t="n"/>
      <c r="G484" s="66" t="n"/>
      <c r="H484" s="66" t="n"/>
      <c r="I484" s="66" t="inlineStr">
        <is>
          <t>92.723.000-3</t>
        </is>
      </c>
      <c r="J484" s="66" t="n"/>
      <c r="K484" s="66" t="inlineStr">
        <is>
          <t>Ventas: GRANDE 3 (600.000 - 1.000.000 UF) | Empleados: 143</t>
        </is>
      </c>
      <c r="L484" s="61" t="n"/>
      <c r="M484" s="61" t="n"/>
      <c r="N484" s="61" t="n"/>
      <c r="O484" s="61" t="n"/>
      <c r="P484" s="61" t="n"/>
      <c r="Q484" s="62" t="n"/>
      <c r="R484" s="61" t="n"/>
    </row>
    <row r="485" ht="15.75" customHeight="1" s="38">
      <c r="A485" s="66" t="inlineStr">
        <is>
          <t>Corpal Ltda.</t>
        </is>
      </c>
      <c r="B485" s="66" t="inlineStr">
        <is>
          <t>Correas Transportadoras, Rodamientos</t>
        </is>
      </c>
      <c r="C485" s="66" t="inlineStr">
        <is>
          <t>Santiago</t>
        </is>
      </c>
      <c r="D485" s="66" t="inlineStr">
        <is>
          <t>corpal@corpal.cl</t>
        </is>
      </c>
      <c r="E485" s="66" t="inlineStr">
        <is>
          <t>(56) 2 2555 9936</t>
        </is>
      </c>
      <c r="F485" s="66" t="n"/>
      <c r="G485" s="66" t="n"/>
      <c r="H485" s="66" t="n"/>
      <c r="I485" s="66" t="inlineStr">
        <is>
          <t>77.377.330-0</t>
        </is>
      </c>
      <c r="J485" s="66" t="n"/>
      <c r="K485" s="66" t="inlineStr">
        <is>
          <t>Ventas: GRANDE 1 (100.000 - 200.000 UF) | Empleados: 18</t>
        </is>
      </c>
      <c r="L485" s="61" t="n"/>
      <c r="M485" s="61" t="n"/>
      <c r="N485" s="61" t="n"/>
      <c r="O485" s="61" t="n"/>
      <c r="P485" s="61" t="n"/>
      <c r="Q485" s="62" t="n"/>
      <c r="R485" s="61" t="n"/>
    </row>
    <row r="486" ht="15.75" customHeight="1" s="38">
      <c r="A486" s="66" t="inlineStr">
        <is>
          <t>Corpflite</t>
        </is>
      </c>
      <c r="B486" s="66" t="inlineStr">
        <is>
          <t>Transporte Aéreo</t>
        </is>
      </c>
      <c r="C486" s="66" t="inlineStr">
        <is>
          <t>Santiago</t>
        </is>
      </c>
      <c r="D486" s="66" t="inlineStr">
        <is>
          <t>corpflite@manquehue.net</t>
        </is>
      </c>
      <c r="E486" s="66" t="inlineStr">
        <is>
          <t>(56) 2 2946 0756</t>
        </is>
      </c>
      <c r="F486" s="66" t="n"/>
      <c r="G486" s="66" t="n"/>
      <c r="H486" s="66" t="n"/>
      <c r="I486" s="66" t="inlineStr">
        <is>
          <t>76.552.220-K</t>
        </is>
      </c>
      <c r="J486" s="66" t="n"/>
      <c r="K486" s="66" t="inlineStr">
        <is>
          <t>Ventas: MEDIANA 2 (50.000 - 100.000 UF) | Empleados: 13</t>
        </is>
      </c>
      <c r="L486" s="61" t="n"/>
      <c r="M486" s="61" t="n"/>
      <c r="N486" s="61" t="n"/>
      <c r="O486" s="61" t="n"/>
      <c r="P486" s="61" t="n"/>
      <c r="Q486" s="62" t="n"/>
      <c r="R486" s="61" t="n"/>
    </row>
    <row r="487" ht="15.75" customHeight="1" s="38">
      <c r="A487" s="66" t="inlineStr">
        <is>
          <t>Corplastic</t>
        </is>
      </c>
      <c r="B487" s="66" t="inlineStr">
        <is>
          <t>Bolsas para Antióxido</t>
        </is>
      </c>
      <c r="C487" s="66" t="inlineStr">
        <is>
          <t>Santiago</t>
        </is>
      </c>
      <c r="D487" s="66" t="inlineStr">
        <is>
          <t>info@corplastic.cl</t>
        </is>
      </c>
      <c r="E487" s="66" t="inlineStr">
        <is>
          <t>(56) 2 2368 3200</t>
        </is>
      </c>
      <c r="F487" s="66" t="n"/>
      <c r="G487" s="66" t="n"/>
      <c r="H487" s="66" t="n"/>
      <c r="I487" s="66" t="inlineStr">
        <is>
          <t>76.493.327-3</t>
        </is>
      </c>
      <c r="J487" s="66" t="n"/>
      <c r="K487" s="66" t="inlineStr">
        <is>
          <t>Ventas: MEDIANA 1 (25.000 - 50.000 UF) | Empleados: 0</t>
        </is>
      </c>
      <c r="L487" s="61" t="n"/>
      <c r="M487" s="61" t="n"/>
      <c r="N487" s="61" t="n"/>
      <c r="O487" s="61" t="n"/>
      <c r="P487" s="61" t="n"/>
      <c r="Q487" s="62" t="n"/>
      <c r="R487" s="61" t="n"/>
    </row>
    <row r="488" ht="15.75" customHeight="1" s="38">
      <c r="A488" s="66" t="inlineStr">
        <is>
          <t>Corporación Alta Ley</t>
        </is>
      </c>
      <c r="B488" s="66" t="inlineStr">
        <is>
          <t>Desarrollo de Innovaciones, Transferencia de Tecnologías y Trabajo Colaborativo para Entidades del Ecosistema, Programa Nacional de Minería Alta Ley</t>
        </is>
      </c>
      <c r="C488" s="66" t="inlineStr">
        <is>
          <t>Santiago</t>
        </is>
      </c>
      <c r="D488" s="66" t="inlineStr">
        <is>
          <t>info@corporacionaltaley.cl</t>
        </is>
      </c>
      <c r="E488" s="66" t="inlineStr">
        <is>
          <t>(56) 2 2605 2660</t>
        </is>
      </c>
      <c r="F488" s="66" t="n"/>
      <c r="G488" s="66" t="n"/>
      <c r="H488" s="66" t="n"/>
      <c r="I488" s="66" t="inlineStr">
        <is>
          <t>70001300-6</t>
        </is>
      </c>
      <c r="J488" s="66" t="n"/>
      <c r="K488" s="66" t="inlineStr">
        <is>
          <t>Ventas: GRANDE 1 (100.000 - 200.000 UF) | Empleados: 9</t>
        </is>
      </c>
      <c r="L488" s="61" t="n"/>
      <c r="M488" s="61" t="n"/>
      <c r="N488" s="61" t="n"/>
      <c r="O488" s="61" t="n"/>
      <c r="P488" s="61" t="n"/>
      <c r="Q488" s="62" t="n"/>
      <c r="R488" s="61" t="n"/>
    </row>
    <row r="489" ht="15.75" customHeight="1" s="38">
      <c r="A489" s="66" t="inlineStr">
        <is>
          <t>Corroxion</t>
        </is>
      </c>
      <c r="B489" s="66" t="inlineStr">
        <is>
          <t>Revestimientos Anticorrosivos Especializados para Pilotes, Tuberías e Interior de Tanques Hidrocarburos y Aguas</t>
        </is>
      </c>
      <c r="C489" s="66" t="inlineStr">
        <is>
          <t>Santiago</t>
        </is>
      </c>
      <c r="D489" s="66" t="inlineStr">
        <is>
          <t>contacto@corroxion.cl</t>
        </is>
      </c>
      <c r="E489" s="66" t="inlineStr">
        <is>
          <t>(56) 2 2419 8573</t>
        </is>
      </c>
      <c r="F489" s="66" t="n"/>
      <c r="G489" s="66" t="n"/>
      <c r="H489" s="66" t="n"/>
      <c r="I489" s="66" t="inlineStr">
        <is>
          <t>76.503.282-2</t>
        </is>
      </c>
      <c r="J489" s="66" t="n"/>
      <c r="K489" s="66" t="inlineStr">
        <is>
          <t>Ventas: MEDIANA 1 (25.000 - 50.000 UF) | Empleados: 0</t>
        </is>
      </c>
      <c r="L489" s="61" t="n"/>
      <c r="M489" s="61" t="n"/>
      <c r="N489" s="61" t="n"/>
      <c r="O489" s="61" t="n"/>
      <c r="P489" s="61" t="n"/>
      <c r="Q489" s="62" t="n"/>
      <c r="R489" s="61" t="n"/>
    </row>
    <row r="490" ht="15.75" customHeight="1" s="38">
      <c r="A490" s="66" t="inlineStr">
        <is>
          <t>Coseducam S.A.</t>
        </is>
      </c>
      <c r="B490" s="66" t="inlineStr">
        <is>
          <t>Transporte de Concentrados, Transporte de Minerales, Transporte Terrestre</t>
        </is>
      </c>
      <c r="C490" s="66" t="inlineStr">
        <is>
          <t>Melipilla</t>
        </is>
      </c>
      <c r="D490" s="66" t="inlineStr">
        <is>
          <t>presidente@coseducam.cl</t>
        </is>
      </c>
      <c r="E490" s="66" t="inlineStr">
        <is>
          <t>(56) 35 221 2005</t>
        </is>
      </c>
      <c r="F490" s="66" t="n"/>
      <c r="G490" s="66" t="n"/>
      <c r="H490" s="66" t="n"/>
      <c r="I490" s="66" t="inlineStr">
        <is>
          <t>96.963.630-1</t>
        </is>
      </c>
      <c r="J490" s="66" t="n"/>
      <c r="K490" s="66" t="inlineStr">
        <is>
          <t>Ventas: MEDIANA (Estimado por Empleados) | Empleados: 84</t>
        </is>
      </c>
      <c r="L490" s="61" t="n"/>
      <c r="M490" s="61" t="n"/>
      <c r="N490" s="61" t="n"/>
      <c r="O490" s="61" t="n"/>
      <c r="P490" s="61" t="n"/>
      <c r="Q490" s="62" t="n"/>
      <c r="R490" s="61" t="n"/>
    </row>
    <row r="491" ht="15.75" customHeight="1" s="38">
      <c r="A491" s="66" t="inlineStr">
        <is>
          <t>Cosesa S.A.</t>
        </is>
      </c>
      <c r="B491" s="66" t="inlineStr">
        <is>
          <t>Correas Transportadoras, Polines Centradores para Correas Transportadoras</t>
        </is>
      </c>
      <c r="C491" s="66" t="inlineStr">
        <is>
          <t>Santiago</t>
        </is>
      </c>
      <c r="D491" s="66" t="inlineStr">
        <is>
          <t>info@cosesa.cl</t>
        </is>
      </c>
      <c r="E491" s="66" t="inlineStr">
        <is>
          <t>(56) 2 3303 5400</t>
        </is>
      </c>
      <c r="F491" s="66" t="n"/>
      <c r="G491" s="66" t="n"/>
      <c r="H491" s="66" t="n"/>
      <c r="I491" s="66" t="inlineStr">
        <is>
          <t>76.116.526-7</t>
        </is>
      </c>
      <c r="J491" s="66" t="n"/>
      <c r="K491" s="66" t="inlineStr">
        <is>
          <t>Ventas: GRANDE 3 (600.000 - 1.000.000 UF) | Empleados: 136</t>
        </is>
      </c>
      <c r="L491" s="61" t="n"/>
      <c r="M491" s="61" t="n"/>
      <c r="N491" s="61" t="n"/>
      <c r="O491" s="61" t="n"/>
      <c r="P491" s="61" t="n"/>
      <c r="Q491" s="62" t="n"/>
      <c r="R491" s="61" t="n"/>
    </row>
    <row r="492" ht="15.75" customHeight="1" s="38">
      <c r="A492" s="66" t="inlineStr">
        <is>
          <t>Cosmoplas S.A.</t>
        </is>
      </c>
      <c r="B492" s="66" t="inlineStr">
        <is>
          <t>Bombas, Válvulas</t>
        </is>
      </c>
      <c r="C492" s="66" t="inlineStr">
        <is>
          <t>Santiago</t>
        </is>
      </c>
      <c r="D492" s="66" t="inlineStr">
        <is>
          <t>contacto@cosmoplas.com</t>
        </is>
      </c>
      <c r="E492" s="66" t="inlineStr">
        <is>
          <t>(56) 2 2598 7000</t>
        </is>
      </c>
      <c r="F492" s="66" t="n"/>
      <c r="G492" s="66" t="n"/>
      <c r="H492" s="66" t="n"/>
      <c r="I492" s="66" t="inlineStr">
        <is>
          <t>81.187.800-6</t>
        </is>
      </c>
      <c r="J492" s="66" t="n"/>
      <c r="K492" s="66" t="inlineStr">
        <is>
          <t>Ventas: GRANDE (Estimado por Empleados) | Empleados: 432</t>
        </is>
      </c>
      <c r="L492" s="61" t="n"/>
      <c r="M492" s="61" t="n"/>
      <c r="N492" s="61" t="n"/>
      <c r="O492" s="61" t="n"/>
      <c r="P492" s="61" t="n"/>
      <c r="Q492" s="62" t="n"/>
      <c r="R492" s="61" t="n"/>
    </row>
    <row r="493" ht="15.75" customHeight="1" s="38">
      <c r="A493" s="66" t="inlineStr">
        <is>
          <t>Cotaco Ltda.</t>
        </is>
      </c>
      <c r="B493" s="66" t="inlineStr">
        <is>
          <t>Productos Químicos</t>
        </is>
      </c>
      <c r="C493" s="66" t="inlineStr">
        <is>
          <t>Santiago</t>
        </is>
      </c>
      <c r="D493" s="66" t="inlineStr">
        <is>
          <t>cotaco@cotaco.cl</t>
        </is>
      </c>
      <c r="E493" s="66" t="inlineStr">
        <is>
          <t>(56) 2 2582 8800</t>
        </is>
      </c>
      <c r="F493" s="66" t="n"/>
      <c r="G493" s="66" t="n"/>
      <c r="H493" s="66" t="n"/>
      <c r="I493" s="66" t="inlineStr">
        <is>
          <t>81.286.300-2</t>
        </is>
      </c>
      <c r="J493" s="66" t="n"/>
      <c r="K493" s="66" t="inlineStr">
        <is>
          <t>Ventas: GRANDE 2 (200.000 - 600.000 UF) | Empleados: 146</t>
        </is>
      </c>
      <c r="L493" s="61" t="n"/>
      <c r="M493" s="61" t="n"/>
      <c r="N493" s="61" t="n"/>
      <c r="O493" s="61" t="n"/>
      <c r="P493" s="61" t="n"/>
      <c r="Q493" s="62" t="n"/>
      <c r="R493" s="61" t="n"/>
    </row>
    <row r="494" ht="15.75" customHeight="1" s="38">
      <c r="A494" s="66" t="inlineStr">
        <is>
          <t>Cotecna</t>
        </is>
      </c>
      <c r="B494" s="66" t="inlineStr">
        <is>
          <t>Servicios de Prueba, Inspección y Certificación</t>
        </is>
      </c>
      <c r="C494" s="66" t="inlineStr">
        <is>
          <t>Santiago</t>
        </is>
      </c>
      <c r="D494" s="66" t="inlineStr">
        <is>
          <t>cesar.gutierrez@cotecna.com</t>
        </is>
      </c>
      <c r="E494" s="66" t="inlineStr">
        <is>
          <t>(56) 9 5649 8625</t>
        </is>
      </c>
      <c r="F494" s="66" t="n"/>
      <c r="G494" s="66" t="n"/>
      <c r="H494" s="66" t="n"/>
      <c r="I494" s="66" t="inlineStr">
        <is>
          <t>99.504.470-6</t>
        </is>
      </c>
      <c r="J494" s="66" t="n"/>
      <c r="K494" s="66" t="inlineStr">
        <is>
          <t>Ventas: MEDIANA 1 (25.000 - 50.000 UF) | Empleados: 11</t>
        </is>
      </c>
      <c r="L494" s="61" t="n"/>
      <c r="M494" s="61" t="n"/>
      <c r="N494" s="61" t="n"/>
      <c r="O494" s="61" t="n"/>
      <c r="P494" s="61" t="n"/>
      <c r="Q494" s="62" t="n"/>
      <c r="R494" s="61" t="n"/>
    </row>
    <row r="495" ht="15.75" customHeight="1" s="38">
      <c r="A495" s="66" t="inlineStr">
        <is>
          <t>Cotrans Ltda.</t>
        </is>
      </c>
      <c r="B495" s="66" t="inlineStr">
        <is>
          <t>Correas Transportadoras, Tolvas</t>
        </is>
      </c>
      <c r="C495" s="66" t="inlineStr">
        <is>
          <t>Santiago</t>
        </is>
      </c>
      <c r="D495" s="66" t="inlineStr">
        <is>
          <t>contacto@cotrans.cl</t>
        </is>
      </c>
      <c r="E495" s="66" t="inlineStr">
        <is>
          <t>(56) 2 2557 4263</t>
        </is>
      </c>
      <c r="F495" s="66" t="n"/>
      <c r="G495" s="66" t="n"/>
      <c r="H495" s="66" t="n"/>
      <c r="I495" s="66" t="inlineStr">
        <is>
          <t>76.006.020-8</t>
        </is>
      </c>
      <c r="J495" s="66" t="n"/>
      <c r="K495" s="66" t="inlineStr">
        <is>
          <t>Ventas: MEDIANA 2 (50.000 - 100.000 UF) | Empleados: 27</t>
        </is>
      </c>
      <c r="L495" s="61" t="n"/>
      <c r="M495" s="61" t="n"/>
      <c r="N495" s="61" t="n"/>
      <c r="O495" s="61" t="n"/>
      <c r="P495" s="61" t="n"/>
      <c r="Q495" s="62" t="n"/>
      <c r="R495" s="61" t="n"/>
    </row>
    <row r="496" ht="15.75" customHeight="1" s="38">
      <c r="A496" s="66" t="inlineStr">
        <is>
          <t>Covenco S.A.</t>
        </is>
      </c>
      <c r="B496" s="66" t="inlineStr">
        <is>
          <t>Servicios Informáticos</t>
        </is>
      </c>
      <c r="C496" s="66" t="inlineStr">
        <is>
          <t>Santiago</t>
        </is>
      </c>
      <c r="D496" s="66" t="inlineStr">
        <is>
          <t>covenco@covenco.cl</t>
        </is>
      </c>
      <c r="E496" s="66" t="inlineStr">
        <is>
          <t>(56) 2 2979 6000</t>
        </is>
      </c>
      <c r="F496" s="66" t="n"/>
      <c r="G496" s="66" t="n"/>
      <c r="H496" s="66" t="n"/>
      <c r="I496" s="66" t="inlineStr">
        <is>
          <t>96.880.130-9</t>
        </is>
      </c>
      <c r="J496" s="66" t="n"/>
      <c r="K496" s="66" t="inlineStr">
        <is>
          <t>Ventas: GRANDE 1 (100.000 - 200.000 UF) | Empleados: 33</t>
        </is>
      </c>
      <c r="L496" s="61" t="n"/>
      <c r="M496" s="61" t="n"/>
      <c r="N496" s="61" t="n"/>
      <c r="O496" s="61" t="n"/>
      <c r="P496" s="61" t="n"/>
      <c r="Q496" s="62" t="n"/>
      <c r="R496" s="61" t="n"/>
    </row>
    <row r="497" ht="15.75" customHeight="1" s="38">
      <c r="A497" s="66" t="inlineStr">
        <is>
          <t>Coviel S.A.</t>
        </is>
      </c>
      <c r="B497" s="66" t="inlineStr">
        <is>
          <t>Repuestos Camiones Off Road Mineros Eléctricos</t>
        </is>
      </c>
      <c r="C497" s="66" t="inlineStr">
        <is>
          <t>Santiago</t>
        </is>
      </c>
      <c r="D497" s="66" t="inlineStr">
        <is>
          <t>g.escobar@coviel.cl</t>
        </is>
      </c>
      <c r="E497" s="66" t="inlineStr">
        <is>
          <t>(56) 2 2232 7758</t>
        </is>
      </c>
      <c r="F497" s="66" t="n"/>
      <c r="G497" s="66" t="n"/>
      <c r="H497" s="66" t="n"/>
      <c r="I497" s="66" t="inlineStr">
        <is>
          <t>99.510.070-3</t>
        </is>
      </c>
      <c r="J497" s="66" t="n"/>
      <c r="K497" s="66" t="inlineStr">
        <is>
          <t>Ventas: MICRO 2 (200 - 600 UF) | Empleados: 0</t>
        </is>
      </c>
      <c r="L497" s="61" t="n"/>
      <c r="M497" s="61" t="n"/>
      <c r="N497" s="61" t="n"/>
      <c r="O497" s="61" t="n"/>
      <c r="P497" s="61" t="n"/>
      <c r="Q497" s="62" t="n"/>
      <c r="R497" s="61" t="n"/>
    </row>
    <row r="498" ht="15.75" customHeight="1" s="38">
      <c r="A498" s="66" t="inlineStr">
        <is>
          <t>Covisa</t>
        </is>
      </c>
      <c r="B498" s="66" t="inlineStr">
        <is>
          <t>Cables de Distribución y Poder, Cables de Seguridad, Conductores Eléctricos</t>
        </is>
      </c>
      <c r="C498" s="66" t="inlineStr">
        <is>
          <t>Santiago</t>
        </is>
      </c>
      <c r="D498" s="66" t="inlineStr">
        <is>
          <t>santiago@covisa.cl</t>
        </is>
      </c>
      <c r="E498" s="66" t="inlineStr">
        <is>
          <t>(56) 2 2237 7200</t>
        </is>
      </c>
      <c r="F498" s="66" t="n"/>
      <c r="G498" s="66" t="n"/>
      <c r="H498" s="66" t="n"/>
      <c r="I498" s="66" t="inlineStr">
        <is>
          <t>93.698.000-7</t>
        </is>
      </c>
      <c r="J498" s="66" t="n"/>
      <c r="K498" s="66" t="inlineStr">
        <is>
          <t>Ventas: GRANDE (Estimado por Empleados) | Empleados: 216</t>
        </is>
      </c>
      <c r="L498" s="61" t="n"/>
      <c r="M498" s="61" t="n"/>
      <c r="N498" s="61" t="n"/>
      <c r="O498" s="61" t="n"/>
      <c r="P498" s="61" t="n"/>
      <c r="Q498" s="62" t="n"/>
      <c r="R498" s="61" t="n"/>
    </row>
    <row r="499" ht="15.75" customHeight="1" s="38">
      <c r="A499" s="66" t="inlineStr">
        <is>
          <t>CPJ Servicios de Ingeniería S.A.</t>
        </is>
      </c>
      <c r="B499" s="66" t="inlineStr">
        <is>
          <t>Asesorías en Procesos Mineros, Representaciones para la Minería</t>
        </is>
      </c>
      <c r="C499" s="66" t="inlineStr">
        <is>
          <t>Santiago</t>
        </is>
      </c>
      <c r="D499" s="66" t="inlineStr">
        <is>
          <t>ptrautmann@cpjservicios.cl</t>
        </is>
      </c>
      <c r="E499" s="66" t="inlineStr">
        <is>
          <t>(56) 2 2951 5229</t>
        </is>
      </c>
      <c r="F499" s="66" t="n"/>
      <c r="G499" s="66" t="n"/>
      <c r="H499" s="66" t="n"/>
      <c r="I499" s="66" t="inlineStr">
        <is>
          <t>96.974.780-4</t>
        </is>
      </c>
      <c r="J499" s="66" t="n"/>
      <c r="K499" s="66" t="inlineStr">
        <is>
          <t>Ventas: GRANDE 1 (100.000 - 200.000 UF) | Empleados: 7</t>
        </is>
      </c>
      <c r="L499" s="61" t="n"/>
      <c r="M499" s="61" t="n"/>
      <c r="N499" s="61" t="n"/>
      <c r="O499" s="61" t="n"/>
      <c r="P499" s="61" t="n"/>
      <c r="Q499" s="62" t="n"/>
      <c r="R499" s="61" t="n"/>
    </row>
    <row r="500" ht="15.75" customHeight="1" s="38">
      <c r="A500" s="66" t="inlineStr">
        <is>
          <t>CPS Conveyors SpA</t>
        </is>
      </c>
      <c r="B500" s="66" t="inlineStr">
        <is>
          <t>Cintas Transportadoras, Poleas</t>
        </is>
      </c>
      <c r="C500" s="66" t="inlineStr">
        <is>
          <t>Santiago</t>
        </is>
      </c>
      <c r="D500" s="66" t="inlineStr">
        <is>
          <t>comercial@cpsconveyors.cl</t>
        </is>
      </c>
      <c r="E500" s="66" t="inlineStr">
        <is>
          <t>(56) 9 8816 7320</t>
        </is>
      </c>
      <c r="F500" s="66" t="n"/>
      <c r="G500" s="66" t="n"/>
      <c r="H500" s="66" t="n"/>
      <c r="I500" s="66" t="inlineStr">
        <is>
          <t>77112997-8</t>
        </is>
      </c>
      <c r="J500" s="66" t="n"/>
      <c r="K500" s="66" t="inlineStr">
        <is>
          <t>Ventas: MEDIANA 2 (50.000 - 100.000 UF) | Empleados: 10</t>
        </is>
      </c>
      <c r="L500" s="61" t="n"/>
      <c r="M500" s="61" t="n"/>
      <c r="N500" s="61" t="n"/>
      <c r="O500" s="61" t="n"/>
      <c r="P500" s="61" t="n"/>
      <c r="Q500" s="62" t="n"/>
      <c r="R500" s="61" t="n"/>
    </row>
    <row r="501" ht="15.75" customHeight="1" s="38">
      <c r="A501" s="66" t="inlineStr">
        <is>
          <t>CPS Cranes Ltda.</t>
        </is>
      </c>
      <c r="B501" s="66" t="inlineStr">
        <is>
          <t>Equipos de Izaje, Puentes Grúa</t>
        </is>
      </c>
      <c r="C501" s="66" t="inlineStr">
        <is>
          <t>Valparaíso</t>
        </is>
      </c>
      <c r="D501" s="66" t="inlineStr">
        <is>
          <t>contacto@cpscranes.com</t>
        </is>
      </c>
      <c r="E501" s="66" t="inlineStr">
        <is>
          <t>(56) 9 6269 4900</t>
        </is>
      </c>
      <c r="F501" s="66" t="n"/>
      <c r="G501" s="66" t="n"/>
      <c r="H501" s="66" t="n"/>
      <c r="I501" s="66" t="inlineStr">
        <is>
          <t>76.746.409-6</t>
        </is>
      </c>
      <c r="J501" s="66" t="n"/>
      <c r="K501" s="66" t="inlineStr">
        <is>
          <t>Ventas: PEQUEÑA 2 (5.000 - 10.000 UF) | Empleados: 5</t>
        </is>
      </c>
      <c r="L501" s="61" t="n"/>
      <c r="M501" s="61" t="n"/>
      <c r="N501" s="61" t="n"/>
      <c r="O501" s="61" t="n"/>
      <c r="P501" s="61" t="n"/>
      <c r="Q501" s="62" t="n"/>
      <c r="R501" s="61" t="n"/>
    </row>
    <row r="502" ht="15.75" customHeight="1" s="38">
      <c r="A502" s="66" t="inlineStr">
        <is>
          <t>Crisal Salud Laboral</t>
        </is>
      </c>
      <c r="B502" s="66" t="inlineStr">
        <is>
          <t>Proveedor Destacado, Centro Médico Laboral, Vigilancia Epidemiológica</t>
        </is>
      </c>
      <c r="C502" s="66" t="inlineStr">
        <is>
          <t>Viña del Mar</t>
        </is>
      </c>
      <c r="D502" s="66" t="inlineStr">
        <is>
          <t>contacto@crisalsaludlaboral.cl</t>
        </is>
      </c>
      <c r="E502" s="66" t="inlineStr">
        <is>
          <t>(56) 32 346 5021</t>
        </is>
      </c>
      <c r="F502" s="66" t="n"/>
      <c r="G502" s="66" t="n"/>
      <c r="H502" s="66" t="inlineStr">
        <is>
          <t>http://www.crisalsaludlaboral.cl</t>
        </is>
      </c>
      <c r="I502" s="66" t="inlineStr">
        <is>
          <t>76.391.129-2</t>
        </is>
      </c>
      <c r="J502" s="66" t="n"/>
      <c r="K502" s="66" t="inlineStr">
        <is>
          <t>Ventas: PEQUEÑA 3 (10.000 - 25.000 UF) | Empleados: 7</t>
        </is>
      </c>
      <c r="L502" s="61" t="n"/>
      <c r="M502" s="61" t="n"/>
      <c r="N502" s="61" t="n"/>
      <c r="O502" s="61" t="n"/>
      <c r="P502" s="61" t="n"/>
      <c r="Q502" s="62" t="n"/>
      <c r="R502" s="61" t="n"/>
    </row>
    <row r="503" ht="15.75" customHeight="1" s="38">
      <c r="A503" s="66" t="inlineStr">
        <is>
          <t>Cross Pacific Chartering</t>
        </is>
      </c>
      <c r="B503" s="66" t="inlineStr">
        <is>
          <t>Asesorías Comerciales, Servicios de Comercio Exterior</t>
        </is>
      </c>
      <c r="C503" s="66" t="inlineStr">
        <is>
          <t>Santiago</t>
        </is>
      </c>
      <c r="D503" s="66" t="inlineStr">
        <is>
          <t>contact@crosspacific.cl</t>
        </is>
      </c>
      <c r="E503" s="66" t="inlineStr">
        <is>
          <t>(56) 2 2201 8008</t>
        </is>
      </c>
      <c r="F503" s="66" t="n"/>
      <c r="G503" s="66" t="n"/>
      <c r="H503" s="66" t="n"/>
      <c r="I503" s="66" t="inlineStr">
        <is>
          <t>96.856.630-K</t>
        </is>
      </c>
      <c r="J503" s="66" t="n"/>
      <c r="K503" s="66" t="inlineStr">
        <is>
          <t>Ventas: PEQUEÑA 1 (2.400 - 5.000 UF) | Empleados: 1</t>
        </is>
      </c>
      <c r="L503" s="61" t="n"/>
      <c r="M503" s="61" t="n"/>
      <c r="N503" s="61" t="n"/>
      <c r="O503" s="61" t="n"/>
      <c r="P503" s="61" t="n"/>
      <c r="Q503" s="62" t="n"/>
      <c r="R503" s="61" t="n"/>
    </row>
    <row r="504" ht="15.75" customHeight="1" s="38">
      <c r="A504" s="66" t="inlineStr">
        <is>
          <t>Crosspipe Systems S.A.</t>
        </is>
      </c>
      <c r="B504" s="66" t="inlineStr">
        <is>
          <t>Tuberías PE-X</t>
        </is>
      </c>
      <c r="C504" s="66" t="inlineStr">
        <is>
          <t>Antofagasta</t>
        </is>
      </c>
      <c r="D504" s="66" t="inlineStr">
        <is>
          <t>contacto@crosspipe.cl</t>
        </is>
      </c>
      <c r="E504" s="66" t="inlineStr">
        <is>
          <t>(56) 55 268 8048</t>
        </is>
      </c>
      <c r="F504" s="66" t="n"/>
      <c r="G504" s="66" t="n"/>
      <c r="H504" s="66" t="n"/>
      <c r="I504" s="66" t="inlineStr">
        <is>
          <t>76.337.312-6</t>
        </is>
      </c>
      <c r="J504" s="66" t="n"/>
      <c r="K504" s="66" t="inlineStr">
        <is>
          <t>Ventas: GRANDE 3 (600.000 - 1.000.000 UF) | Empleados: 45</t>
        </is>
      </c>
      <c r="L504" s="61" t="n"/>
      <c r="M504" s="61" t="n"/>
      <c r="N504" s="61" t="n"/>
      <c r="O504" s="61" t="n"/>
      <c r="P504" s="61" t="n"/>
      <c r="Q504" s="62" t="n"/>
      <c r="R504" s="61" t="n"/>
    </row>
    <row r="505" ht="15.75" customHeight="1" s="38">
      <c r="A505" s="66" t="inlineStr">
        <is>
          <t>CRU Strategies Consultores Ltda.</t>
        </is>
      </c>
      <c r="B505" s="66" t="inlineStr">
        <is>
          <t>Consultoría en Estrategia, Consultoría en Minería</t>
        </is>
      </c>
      <c r="C505" s="66" t="inlineStr">
        <is>
          <t>Santiago</t>
        </is>
      </c>
      <c r="D505" s="66" t="inlineStr">
        <is>
          <t>juan.fuentes@crugroup.com</t>
        </is>
      </c>
      <c r="E505" s="66" t="inlineStr">
        <is>
          <t>(56) 2 2231 3900</t>
        </is>
      </c>
      <c r="F505" s="66" t="n"/>
      <c r="G505" s="66" t="n"/>
      <c r="H505" s="66" t="n"/>
      <c r="I505" s="66" t="inlineStr">
        <is>
          <t>76.606.510-4</t>
        </is>
      </c>
      <c r="J505" s="66" t="n"/>
      <c r="K505" s="66" t="inlineStr">
        <is>
          <t>Ventas: MEDIANA 2 (50.000 - 100.000 UF) | Empleados: 26</t>
        </is>
      </c>
      <c r="L505" s="61" t="n"/>
      <c r="M505" s="61" t="n"/>
      <c r="N505" s="61" t="n"/>
      <c r="O505" s="61" t="n"/>
      <c r="P505" s="61" t="n"/>
      <c r="Q505" s="62" t="n"/>
      <c r="R505" s="61" t="n"/>
    </row>
    <row r="506" ht="15.75" customHeight="1" s="38">
      <c r="A506" s="66" t="inlineStr">
        <is>
          <t>Cruzat Ingeniería S.A.</t>
        </is>
      </c>
      <c r="B506" s="66" t="inlineStr">
        <is>
          <t>Construcción de Pozos Profundos</t>
        </is>
      </c>
      <c r="C506" s="66" t="inlineStr">
        <is>
          <t>Santiago</t>
        </is>
      </c>
      <c r="D506" s="66" t="inlineStr">
        <is>
          <t>info@cruzat.com</t>
        </is>
      </c>
      <c r="E506" s="66" t="inlineStr">
        <is>
          <t>(56) 2 327 35300</t>
        </is>
      </c>
      <c r="F506" s="66" t="n"/>
      <c r="G506" s="66" t="n"/>
      <c r="H506" s="66" t="n"/>
      <c r="I506" s="66" t="inlineStr">
        <is>
          <t>76.726.410-0</t>
        </is>
      </c>
      <c r="J506" s="66" t="n"/>
      <c r="K506" s="66" t="inlineStr">
        <is>
          <t>Ventas: MEDIANA 1 (25.000 - 50.000 UF) | Empleados: 0</t>
        </is>
      </c>
      <c r="L506" s="61" t="n"/>
      <c r="M506" s="61" t="n"/>
      <c r="N506" s="61" t="n"/>
      <c r="O506" s="61" t="n"/>
      <c r="P506" s="61" t="n"/>
      <c r="Q506" s="62" t="n"/>
      <c r="R506" s="61" t="n"/>
    </row>
    <row r="507" ht="15.75" customHeight="1" s="38">
      <c r="A507" s="66" t="inlineStr">
        <is>
          <t>Cruzeiro Empresas</t>
        </is>
      </c>
      <c r="B507" s="66" t="inlineStr">
        <is>
          <t>Artículos de Goma, Empaquetaduras</t>
        </is>
      </c>
      <c r="C507" s="66" t="inlineStr">
        <is>
          <t>Santiago</t>
        </is>
      </c>
      <c r="D507" s="66" t="inlineStr">
        <is>
          <t>ventas@cruzeiromineria.cl</t>
        </is>
      </c>
      <c r="E507" s="66" t="inlineStr">
        <is>
          <t>(56) 2 2550 4960</t>
        </is>
      </c>
      <c r="F507" s="66" t="n"/>
      <c r="G507" s="66" t="n"/>
      <c r="H507" s="66" t="n"/>
      <c r="I507" s="66" t="inlineStr">
        <is>
          <t>78.131.690-3</t>
        </is>
      </c>
      <c r="J507" s="66" t="n"/>
      <c r="K507" s="66" t="inlineStr">
        <is>
          <t>Ventas: MEDIANA 2 (50.000 - 100.000 UF) | Empleados: 37</t>
        </is>
      </c>
      <c r="L507" s="61" t="n"/>
      <c r="M507" s="61" t="n"/>
      <c r="N507" s="61" t="n"/>
      <c r="O507" s="61" t="n"/>
      <c r="P507" s="61" t="n"/>
      <c r="Q507" s="62" t="n"/>
      <c r="R507" s="61" t="n"/>
    </row>
    <row r="508" ht="15.75" customHeight="1" s="38">
      <c r="A508" s="66" t="inlineStr">
        <is>
          <t>CSAV, Compañía Sudamericana de Vapores</t>
        </is>
      </c>
      <c r="B508" s="66" t="inlineStr">
        <is>
          <t>Transporte Marítimo</t>
        </is>
      </c>
      <c r="C508" s="66" t="inlineStr">
        <is>
          <t>Santiago</t>
        </is>
      </c>
      <c r="D508" s="66" t="n"/>
      <c r="E508" s="66" t="inlineStr">
        <is>
          <t>(56) 2 2588 6000</t>
        </is>
      </c>
      <c r="F508" s="66" t="n"/>
      <c r="G508" s="66" t="n"/>
      <c r="H508" s="66" t="n"/>
      <c r="I508" s="66" t="inlineStr">
        <is>
          <t>90.160.000-7</t>
        </is>
      </c>
      <c r="J508" s="66" t="n"/>
      <c r="K508" s="66" t="inlineStr">
        <is>
          <t>Ventas: PEQUEÑA (Estimado por Empleados) | Empleados: 15</t>
        </is>
      </c>
      <c r="L508" s="61" t="n"/>
      <c r="M508" s="61" t="n"/>
      <c r="N508" s="61" t="n"/>
      <c r="O508" s="61" t="n"/>
      <c r="P508" s="61" t="n"/>
      <c r="Q508" s="62" t="n"/>
      <c r="R508" s="61" t="n"/>
    </row>
    <row r="509" ht="15.75" customHeight="1" s="38">
      <c r="A509" s="66" t="inlineStr">
        <is>
          <t>Cuarta Revolución</t>
        </is>
      </c>
      <c r="B509" s="66" t="inlineStr">
        <is>
          <t>Sistemas de Gestión de Flotas, Software para Gestión de Activos, Software para Inteligencia de Negocios</t>
        </is>
      </c>
      <c r="C509" s="66" t="inlineStr">
        <is>
          <t>Santiago</t>
        </is>
      </c>
      <c r="D509" s="66" t="inlineStr">
        <is>
          <t>contacto@cuartarevolucion.tech</t>
        </is>
      </c>
      <c r="E509" s="66" t="inlineStr">
        <is>
          <t>(56) 9 6344 2310</t>
        </is>
      </c>
      <c r="F509" s="66" t="n"/>
      <c r="G509" s="66" t="n"/>
      <c r="H509" s="66" t="n"/>
      <c r="I509" s="66" t="inlineStr">
        <is>
          <t>76.842.733-K</t>
        </is>
      </c>
      <c r="J509" s="66" t="n"/>
      <c r="K509" s="66" t="inlineStr">
        <is>
          <t>Ventas: MICRO 2 (200 - 600 UF) | Empleados: 0</t>
        </is>
      </c>
      <c r="L509" s="61" t="n"/>
      <c r="M509" s="61" t="n"/>
      <c r="N509" s="61" t="n"/>
      <c r="O509" s="61" t="n"/>
      <c r="P509" s="61" t="n"/>
      <c r="Q509" s="62" t="n"/>
      <c r="R509" s="61" t="n"/>
    </row>
    <row r="510" ht="15.75" customHeight="1" s="38">
      <c r="A510" s="66" t="inlineStr">
        <is>
          <t>Cusatto SpA</t>
        </is>
      </c>
      <c r="B510" s="66" t="inlineStr">
        <is>
          <t>Barras de Carburo de Silicio</t>
        </is>
      </c>
      <c r="C510" s="66" t="inlineStr">
        <is>
          <t>Santiago</t>
        </is>
      </c>
      <c r="D510" s="66" t="inlineStr">
        <is>
          <t>ccusato@cusatto.cl</t>
        </is>
      </c>
      <c r="E510" s="66" t="inlineStr">
        <is>
          <t>(56) 2 2496 6502</t>
        </is>
      </c>
      <c r="F510" s="66" t="n"/>
      <c r="G510" s="66" t="n"/>
      <c r="H510" s="66" t="n"/>
      <c r="I510" s="66" t="inlineStr">
        <is>
          <t>96.689.820-8</t>
        </is>
      </c>
      <c r="J510" s="66" t="n"/>
      <c r="K510" s="66" t="inlineStr">
        <is>
          <t>Ventas: MEDIANA 2 (50.000 - 100.000 UF) | Empleados: 30</t>
        </is>
      </c>
      <c r="L510" s="61" t="n"/>
      <c r="M510" s="61" t="n"/>
      <c r="N510" s="61" t="n"/>
      <c r="O510" s="61" t="n"/>
      <c r="P510" s="61" t="n"/>
      <c r="Q510" s="62" t="n"/>
      <c r="R510" s="61" t="n"/>
    </row>
    <row r="511" ht="15.75" customHeight="1" s="38">
      <c r="A511" s="66" t="inlineStr">
        <is>
          <t>Cuñado Intercontinental S.A.</t>
        </is>
      </c>
      <c r="B511" s="66" t="inlineStr">
        <is>
          <t>Tubos de Acero, Válvulas</t>
        </is>
      </c>
      <c r="C511" s="66" t="inlineStr">
        <is>
          <t>Santiago</t>
        </is>
      </c>
      <c r="D511" s="66" t="inlineStr">
        <is>
          <t>info@grupocunado.com</t>
        </is>
      </c>
      <c r="E511" s="66" t="inlineStr">
        <is>
          <t>(56) 2 2787 0300</t>
        </is>
      </c>
      <c r="F511" s="66" t="n"/>
      <c r="G511" s="66" t="n"/>
      <c r="H511" s="66" t="n"/>
      <c r="I511" s="66" t="inlineStr">
        <is>
          <t>96.713.640-9</t>
        </is>
      </c>
      <c r="J511" s="66" t="n"/>
      <c r="K511" s="66" t="inlineStr">
        <is>
          <t>Ventas: GRANDE 3 (600.000 - 1.000.000 UF) | Empleados: 24</t>
        </is>
      </c>
      <c r="L511" s="61" t="n"/>
      <c r="M511" s="61" t="n"/>
      <c r="N511" s="61" t="n"/>
      <c r="O511" s="61" t="n"/>
      <c r="P511" s="61" t="n"/>
      <c r="Q511" s="62" t="n"/>
      <c r="R511" s="61" t="n"/>
    </row>
    <row r="512" ht="15.75" customHeight="1" s="38">
      <c r="A512" s="66" t="inlineStr">
        <is>
          <t>CV Driller Ltda.</t>
        </is>
      </c>
      <c r="B512" s="66" t="inlineStr">
        <is>
          <t>Aditivos para Perforación, Bombas</t>
        </is>
      </c>
      <c r="C512" s="66" t="inlineStr">
        <is>
          <t>Santiago</t>
        </is>
      </c>
      <c r="D512" s="66" t="inlineStr">
        <is>
          <t>contacto@cvdriller.cl</t>
        </is>
      </c>
      <c r="E512" s="66" t="inlineStr">
        <is>
          <t>(56) 2 2784 0324</t>
        </is>
      </c>
      <c r="F512" s="66" t="n"/>
      <c r="G512" s="66" t="n"/>
      <c r="H512" s="66" t="n"/>
      <c r="I512" s="66" t="inlineStr">
        <is>
          <t>77.758.230-5</t>
        </is>
      </c>
      <c r="J512" s="66" t="n"/>
      <c r="K512" s="66" t="inlineStr">
        <is>
          <t>Ventas: PEQUEÑA 1 (2.400 - 5.000 UF) | Empleados: 0</t>
        </is>
      </c>
      <c r="L512" s="61" t="n"/>
      <c r="M512" s="61" t="n"/>
      <c r="N512" s="61" t="n"/>
      <c r="O512" s="61" t="n"/>
      <c r="P512" s="61" t="n"/>
      <c r="Q512" s="62" t="n"/>
      <c r="R512" s="61" t="n"/>
    </row>
    <row r="513" ht="15.75" customHeight="1" s="38">
      <c r="A513" s="66" t="inlineStr">
        <is>
          <t>CyD Ingeniería</t>
        </is>
      </c>
      <c r="B513" s="66" t="inlineStr">
        <is>
          <t>Proveedor Destacado, Asesorías en Siniestros, Proyectos de Energía, Servicios de Ingeniería, Servicios para el Sector Industrial, Servicios para Minería</t>
        </is>
      </c>
      <c r="C513" s="66" t="inlineStr">
        <is>
          <t>Santiago</t>
        </is>
      </c>
      <c r="D513" s="66" t="inlineStr">
        <is>
          <t>contacto@cydingenieria.com</t>
        </is>
      </c>
      <c r="E513" s="66" t="inlineStr">
        <is>
          <t>(56) 2 2370 2600</t>
        </is>
      </c>
      <c r="F513" s="66" t="n"/>
      <c r="G513" s="66" t="n"/>
      <c r="H513" s="66" t="inlineStr">
        <is>
          <t>http://www.cydingenieria.com</t>
        </is>
      </c>
      <c r="I513" s="66" t="inlineStr">
        <is>
          <t>87.930.900-K</t>
        </is>
      </c>
      <c r="J513" s="66" t="n"/>
      <c r="K513" s="66" t="inlineStr">
        <is>
          <t>Ventas: GRANDE (Estimado por Empleados) | Empleados: 2558</t>
        </is>
      </c>
      <c r="L513" s="61" t="n"/>
      <c r="M513" s="61" t="n"/>
      <c r="N513" s="61" t="n"/>
      <c r="O513" s="61" t="n"/>
      <c r="P513" s="61" t="n"/>
      <c r="Q513" s="62" t="n"/>
      <c r="R513" s="61" t="n"/>
    </row>
    <row r="514" ht="15.75" customHeight="1" s="38">
      <c r="A514" s="66" t="inlineStr">
        <is>
          <t>Cygsa Chile S.A.</t>
        </is>
      </c>
      <c r="B514" s="66" t="inlineStr">
        <is>
          <t>Asesorías en Ingeniería, Asesorías en Obras Hidráulicas</t>
        </is>
      </c>
      <c r="C514" s="66" t="inlineStr">
        <is>
          <t>Santiago</t>
        </is>
      </c>
      <c r="D514" s="66" t="inlineStr">
        <is>
          <t>rdiaz@cygsachile.cl</t>
        </is>
      </c>
      <c r="E514" s="66" t="inlineStr">
        <is>
          <t>(56) 2 2636 0600</t>
        </is>
      </c>
      <c r="F514" s="66" t="n"/>
      <c r="G514" s="66" t="n"/>
      <c r="H514" s="66" t="n"/>
      <c r="I514" s="66" t="inlineStr">
        <is>
          <t>96.768.800-2</t>
        </is>
      </c>
      <c r="J514" s="66" t="n"/>
      <c r="K514" s="66" t="inlineStr">
        <is>
          <t>Ventas: GRANDE 2 (200.000 - 600.000 UF) | Empleados: 173</t>
        </is>
      </c>
      <c r="L514" s="61" t="n"/>
      <c r="M514" s="61" t="n"/>
      <c r="N514" s="61" t="n"/>
      <c r="O514" s="61" t="n"/>
      <c r="P514" s="61" t="n"/>
      <c r="Q514" s="62" t="n"/>
      <c r="R514" s="61" t="n"/>
    </row>
    <row r="515" ht="15.75" customHeight="1" s="38">
      <c r="A515" s="66" t="inlineStr">
        <is>
          <t>CZM Empaquetaduras Industriales</t>
        </is>
      </c>
      <c r="B515" s="66" t="inlineStr">
        <is>
          <t>Aislantes Térmicos, Sellado de Fluidos</t>
        </is>
      </c>
      <c r="C515" s="66" t="inlineStr">
        <is>
          <t>Santiago</t>
        </is>
      </c>
      <c r="D515" s="66" t="inlineStr">
        <is>
          <t>ventas@czm.cl</t>
        </is>
      </c>
      <c r="E515" s="66" t="inlineStr">
        <is>
          <t>(56) 2 2294 4606</t>
        </is>
      </c>
      <c r="F515" s="66" t="n"/>
      <c r="G515" s="66" t="n"/>
      <c r="H515" s="66" t="n"/>
      <c r="I515" s="66" t="inlineStr">
        <is>
          <t>50.047.370-3</t>
        </is>
      </c>
      <c r="J515" s="66" t="n"/>
      <c r="K515" s="66" t="inlineStr">
        <is>
          <t>Ventas: PEQUEÑA 3 (10.000 - 25.000 UF) | Empleados: 13</t>
        </is>
      </c>
      <c r="L515" s="61" t="n"/>
      <c r="M515" s="61" t="n"/>
      <c r="N515" s="61" t="n"/>
      <c r="O515" s="61" t="n"/>
      <c r="P515" s="61" t="n"/>
      <c r="Q515" s="62" t="n"/>
      <c r="R515" s="61" t="n"/>
    </row>
    <row r="516" ht="15.75" customHeight="1" s="38">
      <c r="A516" s="66" t="inlineStr">
        <is>
          <t>Daff S.A.</t>
        </is>
      </c>
      <c r="B516" s="66" t="inlineStr">
        <is>
          <t>Productos Alimenticios para Campamentos y Sitios Remotos</t>
        </is>
      </c>
      <c r="C516" s="66" t="inlineStr">
        <is>
          <t>Santiago</t>
        </is>
      </c>
      <c r="D516" s="66" t="inlineStr">
        <is>
          <t>contacto@daff.cl</t>
        </is>
      </c>
      <c r="E516" s="66" t="inlineStr">
        <is>
          <t>(56) 2 2240 5206</t>
        </is>
      </c>
      <c r="F516" s="66" t="n"/>
      <c r="G516" s="66" t="n"/>
      <c r="H516" s="66" t="n"/>
      <c r="I516" s="66" t="inlineStr">
        <is>
          <t>76.730.550-8</t>
        </is>
      </c>
      <c r="J516" s="66" t="n"/>
      <c r="K516" s="66" t="inlineStr">
        <is>
          <t>Ventas: GRANDE 2 (200.000 - 600.000 UF) | Empleados: 67</t>
        </is>
      </c>
      <c r="L516" s="61" t="n"/>
      <c r="M516" s="61" t="n"/>
      <c r="N516" s="61" t="n"/>
      <c r="O516" s="61" t="n"/>
      <c r="P516" s="61" t="n"/>
      <c r="Q516" s="62" t="n"/>
      <c r="R516" s="61" t="n"/>
    </row>
    <row r="517" ht="15.75" customHeight="1" s="38">
      <c r="A517" s="66" t="inlineStr">
        <is>
          <t>Dandilion Ingeniería SpA</t>
        </is>
      </c>
      <c r="B517" s="66" t="inlineStr">
        <is>
          <t>Sistemas de Gestión de integridad de Ductos (SGID)</t>
        </is>
      </c>
      <c r="C517" s="66" t="inlineStr">
        <is>
          <t>Santiago</t>
        </is>
      </c>
      <c r="D517" s="66" t="inlineStr">
        <is>
          <t>contacto@dandilion.cl</t>
        </is>
      </c>
      <c r="E517" s="66" t="inlineStr">
        <is>
          <t>(56) 2 2428 0801</t>
        </is>
      </c>
      <c r="F517" s="66" t="n"/>
      <c r="G517" s="66" t="n"/>
      <c r="H517" s="66" t="n"/>
      <c r="I517" s="66" t="inlineStr">
        <is>
          <t>76.020.349-1</t>
        </is>
      </c>
      <c r="J517" s="66" t="n"/>
      <c r="K517" s="66" t="inlineStr">
        <is>
          <t>Ventas: MEDIANA 1 (25.000 - 50.000 UF) | Empleados: 13</t>
        </is>
      </c>
      <c r="L517" s="61" t="n"/>
      <c r="M517" s="61" t="n"/>
      <c r="N517" s="61" t="n"/>
      <c r="O517" s="61" t="n"/>
      <c r="P517" s="61" t="n"/>
      <c r="Q517" s="62" t="n"/>
      <c r="R517" s="61" t="n"/>
    </row>
    <row r="518" ht="15.75" customHeight="1" s="38">
      <c r="A518" s="66" t="inlineStr">
        <is>
          <t>Danfoss Chile Ltda.</t>
        </is>
      </c>
      <c r="B518" s="66" t="inlineStr">
        <is>
          <t>Bombas, Convertidores de Frecuencia</t>
        </is>
      </c>
      <c r="C518" s="66" t="inlineStr">
        <is>
          <t>Santiago</t>
        </is>
      </c>
      <c r="D518" s="66" t="n"/>
      <c r="E518" s="66" t="inlineStr">
        <is>
          <t>(56) 2 2897 8800</t>
        </is>
      </c>
      <c r="F518" s="66" t="inlineStr">
        <is>
          <t>Gerente de TI / CIO (Director de Tecnología)</t>
        </is>
      </c>
      <c r="G518" s="66" t="n"/>
      <c r="H518" s="66" t="n"/>
      <c r="I518" s="66" t="inlineStr">
        <is>
          <t>78.923.930-4</t>
        </is>
      </c>
      <c r="J518" s="66" t="n"/>
      <c r="K518" s="66" t="inlineStr">
        <is>
          <t>Ventas: GRANDE 4 (Mas de 1.000.000 UF) | Empleados: 31</t>
        </is>
      </c>
      <c r="L518" s="61" t="n"/>
      <c r="M518" s="61" t="n"/>
      <c r="N518" s="61" t="n"/>
      <c r="O518" s="61" t="n"/>
      <c r="P518" s="61" t="n"/>
      <c r="Q518" s="62" t="n"/>
      <c r="R518" s="61" t="n"/>
    </row>
    <row r="519" ht="15.75" customHeight="1" s="38">
      <c r="A519" s="66" t="inlineStr">
        <is>
          <t>Danish Business Ltda. / IBIX Chile</t>
        </is>
      </c>
      <c r="B519" s="66" t="inlineStr">
        <is>
          <t>Arenadoras, Revestimientos Impermeables</t>
        </is>
      </c>
      <c r="C519" s="66" t="inlineStr">
        <is>
          <t>Santiago</t>
        </is>
      </c>
      <c r="D519" s="66" t="inlineStr">
        <is>
          <t>info@dbltda.cl</t>
        </is>
      </c>
      <c r="E519" s="66" t="inlineStr">
        <is>
          <t>(56) 2 2570 9656</t>
        </is>
      </c>
      <c r="F519" s="66" t="n"/>
      <c r="G519" s="66" t="n"/>
      <c r="H519" s="66" t="n"/>
      <c r="I519" s="66" t="inlineStr">
        <is>
          <t>76.097.187-1</t>
        </is>
      </c>
      <c r="J519" s="66" t="n"/>
      <c r="K519" s="66" t="inlineStr">
        <is>
          <t>Ventas: PEQUEÑA 3 (10.000 - 25.000 UF) | Empleados: 0</t>
        </is>
      </c>
      <c r="L519" s="61" t="n"/>
      <c r="M519" s="61" t="n"/>
      <c r="N519" s="61" t="n"/>
      <c r="O519" s="61" t="n"/>
      <c r="P519" s="61" t="n"/>
      <c r="Q519" s="62" t="n"/>
      <c r="R519" s="61" t="n"/>
    </row>
    <row r="520" ht="15.75" customHeight="1" s="38">
      <c r="A520" s="66" t="inlineStr">
        <is>
          <t>Dank Consultores FPG SpA</t>
        </is>
      </c>
      <c r="B520" s="66" t="inlineStr">
        <is>
          <t>Ventilación Industrial</t>
        </is>
      </c>
      <c r="C520" s="66" t="inlineStr">
        <is>
          <t>Santiago</t>
        </is>
      </c>
      <c r="D520" s="66" t="inlineStr">
        <is>
          <t>ventas@dankconsultores.cl</t>
        </is>
      </c>
      <c r="E520" s="66" t="inlineStr">
        <is>
          <t>(56) 9 4473 8414</t>
        </is>
      </c>
      <c r="F520" s="66" t="n"/>
      <c r="G520" s="66" t="n"/>
      <c r="H520" s="66" t="n"/>
      <c r="I520" s="66" t="inlineStr">
        <is>
          <t>77.008.491-1</t>
        </is>
      </c>
      <c r="J520" s="66" t="n"/>
      <c r="K520" s="66" t="inlineStr">
        <is>
          <t>Ventas: GRANDE 2 (200.000 - 600.000 UF) | Empleados: 13</t>
        </is>
      </c>
      <c r="L520" s="61" t="n"/>
      <c r="M520" s="61" t="n"/>
      <c r="N520" s="61" t="n"/>
      <c r="O520" s="61" t="n"/>
      <c r="P520" s="61" t="n"/>
      <c r="Q520" s="62" t="n"/>
      <c r="R520" s="61" t="n"/>
    </row>
    <row r="521" ht="15.75" customHeight="1" s="38">
      <c r="A521" s="66" t="inlineStr">
        <is>
          <t>Danús Conexiones Ltda.</t>
        </is>
      </c>
      <c r="B521" s="66" t="inlineStr">
        <is>
          <t>Acoplamientos</t>
        </is>
      </c>
      <c r="C521" s="66" t="inlineStr">
        <is>
          <t>Santiago</t>
        </is>
      </c>
      <c r="D521" s="66" t="inlineStr">
        <is>
          <t>ventas@danus.cl</t>
        </is>
      </c>
      <c r="E521" s="66" t="inlineStr">
        <is>
          <t>(56) 2 2676 5200</t>
        </is>
      </c>
      <c r="F521" s="66" t="n"/>
      <c r="G521" s="66" t="n"/>
      <c r="H521" s="66" t="n"/>
      <c r="I521" s="66" t="inlineStr">
        <is>
          <t>96.576.200-0</t>
        </is>
      </c>
      <c r="J521" s="66" t="n"/>
      <c r="K521" s="66" t="inlineStr">
        <is>
          <t>Ventas: GRANDE 2 (200.000 - 600.000 UF) | Empleados: 64</t>
        </is>
      </c>
      <c r="L521" s="61" t="n"/>
      <c r="M521" s="61" t="n"/>
      <c r="N521" s="61" t="n"/>
      <c r="O521" s="61" t="n"/>
      <c r="P521" s="61" t="n"/>
      <c r="Q521" s="62" t="n"/>
      <c r="R521" s="61" t="n"/>
    </row>
    <row r="522" ht="15.75" customHeight="1" s="38">
      <c r="A522" s="66" t="inlineStr">
        <is>
          <t>Dartel Electricidad</t>
        </is>
      </c>
      <c r="B522" s="66" t="inlineStr">
        <is>
          <t>Automatización y Control, Transformadores para Distribución</t>
        </is>
      </c>
      <c r="C522" s="66" t="inlineStr">
        <is>
          <t>Santiago</t>
        </is>
      </c>
      <c r="D522" s="66" t="inlineStr">
        <is>
          <t>ventasweb@dartel.cl</t>
        </is>
      </c>
      <c r="E522" s="66" t="inlineStr">
        <is>
          <t>(56) 2 2757 2200</t>
        </is>
      </c>
      <c r="F522" s="66" t="n"/>
      <c r="G522" s="66" t="n"/>
      <c r="H522" s="66" t="n"/>
      <c r="I522" s="66" t="inlineStr">
        <is>
          <t>96.806.110-0</t>
        </is>
      </c>
      <c r="J522" s="66" t="n"/>
      <c r="K522" s="66" t="inlineStr">
        <is>
          <t>Ventas: GRANDE (Estimado por Empleados) | Empleados: 832</t>
        </is>
      </c>
      <c r="L522" s="61" t="n"/>
      <c r="M522" s="61" t="n"/>
      <c r="N522" s="61" t="n"/>
      <c r="O522" s="61" t="n"/>
      <c r="P522" s="61" t="n"/>
      <c r="Q522" s="62" t="n"/>
      <c r="R522" s="61" t="n"/>
    </row>
    <row r="523" ht="15.75" customHeight="1" s="38">
      <c r="A523" s="66" t="inlineStr">
        <is>
          <t>Dassault Systemes</t>
        </is>
      </c>
      <c r="B523" s="66" t="inlineStr">
        <is>
          <t>Plataforma Empresarial y de Innovación</t>
        </is>
      </c>
      <c r="C523" s="66" t="inlineStr">
        <is>
          <t>Santiago</t>
        </is>
      </c>
      <c r="D523" s="66" t="n"/>
      <c r="E523" s="66" t="inlineStr">
        <is>
          <t>(56) 2 2899 8001</t>
        </is>
      </c>
      <c r="F523" s="66" t="n"/>
      <c r="G523" s="66" t="n"/>
      <c r="H523" s="66" t="n"/>
      <c r="I523" s="66" t="inlineStr">
        <is>
          <t>96823920-1</t>
        </is>
      </c>
      <c r="J523" s="66" t="n"/>
      <c r="K523" s="66" t="inlineStr">
        <is>
          <t>Ventas: GRANDE 1 (100.000 - 200.000 UF) | Empleados: 20</t>
        </is>
      </c>
      <c r="L523" s="61" t="n"/>
      <c r="M523" s="61" t="n"/>
      <c r="N523" s="61" t="n"/>
      <c r="O523" s="61" t="n"/>
      <c r="P523" s="61" t="n"/>
      <c r="Q523" s="62" t="n"/>
      <c r="R523" s="61" t="n"/>
    </row>
    <row r="524" ht="15.75" customHeight="1" s="38">
      <c r="A524" s="59" t="inlineStr">
        <is>
          <t>Datamine</t>
        </is>
      </c>
      <c r="B524" s="59" t="inlineStr">
        <is>
          <t>Consultoría en Minería, Software</t>
        </is>
      </c>
      <c r="C524" s="59" t="inlineStr">
        <is>
          <t>Santiago</t>
        </is>
      </c>
      <c r="D524" s="59" t="inlineStr">
        <is>
          <t>sales@dataminesoftware.com</t>
        </is>
      </c>
      <c r="E524" s="59" t="inlineStr">
        <is>
          <t>(56) 2 2963 9920</t>
        </is>
      </c>
      <c r="F524" s="59" t="inlineStr">
        <is>
          <t>Elio Cespedes B (Gerente General Hispanoamerica)</t>
        </is>
      </c>
      <c r="G524" s="59" t="n"/>
      <c r="H524" s="59" t="n"/>
      <c r="I524" s="59" t="inlineStr">
        <is>
          <t>96.783.640-0</t>
        </is>
      </c>
      <c r="J524" s="59" t="inlineStr">
        <is>
          <t>Transf. Digital &amp; Software Eficiencia Minera</t>
        </is>
      </c>
      <c r="K524" s="59" t="inlineStr">
        <is>
          <t>Ventas: GRANDE 2 (200.000 - 600.000 UF) | Empleados: 72</t>
        </is>
      </c>
      <c r="L524" s="61" t="n"/>
      <c r="M524" s="61" t="n"/>
      <c r="N524" s="61" t="n"/>
      <c r="O524" s="61" t="n"/>
      <c r="P524" s="61" t="n"/>
      <c r="Q524" s="62" t="n"/>
      <c r="R524" s="61" t="n"/>
    </row>
    <row r="525" ht="15.75" customHeight="1" s="38">
      <c r="A525" s="66" t="inlineStr">
        <is>
          <t>Datco Chile S.A.</t>
        </is>
      </c>
      <c r="B525" s="66" t="inlineStr">
        <is>
          <t>Computación, Servicios Informáticos</t>
        </is>
      </c>
      <c r="C525" s="66" t="inlineStr">
        <is>
          <t>Santiago</t>
        </is>
      </c>
      <c r="D525" s="66" t="inlineStr">
        <is>
          <t>marcela.solis@datco.cl</t>
        </is>
      </c>
      <c r="E525" s="66" t="inlineStr">
        <is>
          <t>(56) 2 2253 5200</t>
        </is>
      </c>
      <c r="F525" s="66" t="n"/>
      <c r="G525" s="66" t="n"/>
      <c r="H525" s="66" t="n"/>
      <c r="I525" s="66" t="inlineStr">
        <is>
          <t>96.897.630-3</t>
        </is>
      </c>
      <c r="J525" s="66" t="n"/>
      <c r="K525" s="66" t="inlineStr">
        <is>
          <t>Ventas: GRANDE 3 (600.000 - 1.000.000 UF) | Empleados: 132</t>
        </is>
      </c>
      <c r="L525" s="61" t="n"/>
      <c r="M525" s="61" t="n"/>
      <c r="N525" s="61" t="n"/>
      <c r="O525" s="61" t="n"/>
      <c r="P525" s="61" t="n"/>
      <c r="Q525" s="62" t="n"/>
      <c r="R525" s="61" t="n"/>
    </row>
    <row r="526" ht="15.75" customHeight="1" s="38">
      <c r="A526" s="66" t="inlineStr">
        <is>
          <t>Davey Bickford Chile SpA</t>
        </is>
      </c>
      <c r="B526" s="66" t="inlineStr">
        <is>
          <t>Accesorios para Tronaduras, Detonantes Electrónicos</t>
        </is>
      </c>
      <c r="C526" s="66" t="inlineStr">
        <is>
          <t>Santiago</t>
        </is>
      </c>
      <c r="D526" s="66" t="inlineStr">
        <is>
          <t>info@daveybickford.cl</t>
        </is>
      </c>
      <c r="E526" s="66" t="inlineStr">
        <is>
          <t>(56) 2 2837 9000</t>
        </is>
      </c>
      <c r="F526" s="66" t="n"/>
      <c r="G526" s="66" t="n"/>
      <c r="H526" s="66" t="n"/>
      <c r="I526" s="66" t="inlineStr">
        <is>
          <t>76.020.551-6</t>
        </is>
      </c>
      <c r="J526" s="66" t="n"/>
      <c r="K526" s="66" t="inlineStr">
        <is>
          <t>Ventas: No en base SII | Empleados: S/I</t>
        </is>
      </c>
      <c r="L526" s="61" t="n"/>
      <c r="M526" s="61" t="n"/>
      <c r="N526" s="61" t="n"/>
      <c r="O526" s="61" t="n"/>
      <c r="P526" s="61" t="n"/>
      <c r="Q526" s="62" t="n"/>
      <c r="R526" s="61" t="n"/>
    </row>
    <row r="527" ht="15.75" customHeight="1" s="38">
      <c r="A527" s="66" t="inlineStr">
        <is>
          <t>Daycro GPS</t>
        </is>
      </c>
      <c r="B527" s="66" t="inlineStr">
        <is>
          <t>Control y Gestión de Flotas GPS, Puertas Automáticas, Seguridad Electrónica</t>
        </is>
      </c>
      <c r="C527" s="66" t="inlineStr">
        <is>
          <t>Santiago</t>
        </is>
      </c>
      <c r="D527" s="66" t="inlineStr">
        <is>
          <t>info@daycro.cl</t>
        </is>
      </c>
      <c r="E527" s="66" t="inlineStr">
        <is>
          <t>(56) 2 2915 7102</t>
        </is>
      </c>
      <c r="F527" s="66" t="n"/>
      <c r="G527" s="66" t="n"/>
      <c r="H527" s="66" t="n"/>
      <c r="I527" s="66" t="inlineStr">
        <is>
          <t>78.830.070-0</t>
        </is>
      </c>
      <c r="J527" s="66" t="n"/>
      <c r="K527" s="66" t="inlineStr">
        <is>
          <t>Ventas: MEDIANA 2 (50.000 - 100.000 UF) | Empleados: 56</t>
        </is>
      </c>
      <c r="L527" s="61" t="n"/>
      <c r="M527" s="61" t="n"/>
      <c r="N527" s="61" t="n"/>
      <c r="O527" s="61" t="n"/>
      <c r="P527" s="61" t="n"/>
      <c r="Q527" s="62" t="n"/>
      <c r="R527" s="61" t="n"/>
    </row>
    <row r="528" ht="15.75" customHeight="1" s="38">
      <c r="A528" s="66" t="inlineStr">
        <is>
          <t>DB Santasalo</t>
        </is>
      </c>
      <c r="B528" s="66" t="inlineStr">
        <is>
          <t>Engranajes, Equipos para la Minería</t>
        </is>
      </c>
      <c r="C528" s="66" t="inlineStr">
        <is>
          <t>Santiago</t>
        </is>
      </c>
      <c r="D528" s="66" t="inlineStr">
        <is>
          <t>chile@dbsantasalo.com</t>
        </is>
      </c>
      <c r="E528" s="66" t="inlineStr">
        <is>
          <t>(56) 2 3263 4271</t>
        </is>
      </c>
      <c r="F528" s="66" t="n"/>
      <c r="G528" s="66" t="n"/>
      <c r="H528" s="66" t="n"/>
      <c r="I528" s="66" t="inlineStr">
        <is>
          <t>76.130.276-0</t>
        </is>
      </c>
      <c r="J528" s="66" t="n"/>
      <c r="K528" s="66" t="inlineStr">
        <is>
          <t>Ventas: GRANDE 3 (600.000 - 1.000.000 UF) | Empleados: 90</t>
        </is>
      </c>
      <c r="L528" s="61" t="n"/>
      <c r="M528" s="61" t="n"/>
      <c r="N528" s="61" t="n"/>
      <c r="O528" s="61" t="n"/>
      <c r="P528" s="61" t="n"/>
      <c r="Q528" s="62" t="n"/>
      <c r="R528" s="61" t="n"/>
    </row>
    <row r="529" ht="15.75" customHeight="1" s="38">
      <c r="A529" s="66" t="inlineStr">
        <is>
          <t>DB Schenker Chile</t>
        </is>
      </c>
      <c r="B529" s="66" t="inlineStr">
        <is>
          <t>Transporte Aéreo, Transporte Marítimo, Transporte Terrestre</t>
        </is>
      </c>
      <c r="C529" s="66" t="inlineStr">
        <is>
          <t>Santiago</t>
        </is>
      </c>
      <c r="D529" s="66" t="inlineStr">
        <is>
          <t>contact.cl@bdschenker.com</t>
        </is>
      </c>
      <c r="E529" s="66" t="inlineStr">
        <is>
          <t>(56) 2 3210 4630</t>
        </is>
      </c>
      <c r="F529" s="66" t="inlineStr">
        <is>
          <t>Gerente de TI / CIO (Director de Tecnología)</t>
        </is>
      </c>
      <c r="G529" s="66" t="n"/>
      <c r="H529" s="66" t="n"/>
      <c r="I529" s="66" t="inlineStr">
        <is>
          <t>78.141.230-9</t>
        </is>
      </c>
      <c r="J529" s="66" t="n"/>
      <c r="K529" s="66" t="inlineStr">
        <is>
          <t>Ventas: GRANDE 4 (Mas de 1.000.000 UF) | Empleados: 221</t>
        </is>
      </c>
      <c r="L529" s="61" t="n"/>
      <c r="M529" s="61" t="n"/>
      <c r="N529" s="61" t="n"/>
      <c r="O529" s="61" t="n"/>
      <c r="P529" s="61" t="n"/>
      <c r="Q529" s="62" t="n"/>
      <c r="R529" s="61" t="n"/>
    </row>
    <row r="530" ht="15.75" customHeight="1" s="38">
      <c r="A530" s="66" t="inlineStr">
        <is>
          <t>DBA Ingeniería</t>
        </is>
      </c>
      <c r="B530" s="66" t="inlineStr">
        <is>
          <t>Aislantes Acústicos, Análisis de Vibraciones</t>
        </is>
      </c>
      <c r="C530" s="66" t="inlineStr">
        <is>
          <t>Santiago</t>
        </is>
      </c>
      <c r="D530" s="66" t="inlineStr">
        <is>
          <t>info@dbaingenieria.cl</t>
        </is>
      </c>
      <c r="E530" s="66" t="inlineStr">
        <is>
          <t>(56) 2 2717 0218</t>
        </is>
      </c>
      <c r="F530" s="66" t="n"/>
      <c r="G530" s="66" t="n"/>
      <c r="H530" s="66" t="n"/>
      <c r="I530" s="66" t="inlineStr">
        <is>
          <t>76.174.538-7</t>
        </is>
      </c>
      <c r="J530" s="66" t="n"/>
      <c r="K530" s="66" t="inlineStr">
        <is>
          <t>Ventas: MEDIANA 1 (25.000 - 50.000 UF) | Empleados: 9</t>
        </is>
      </c>
      <c r="L530" s="61" t="n"/>
      <c r="M530" s="61" t="n"/>
      <c r="N530" s="61" t="n"/>
      <c r="O530" s="61" t="n"/>
      <c r="P530" s="61" t="n"/>
      <c r="Q530" s="62" t="n"/>
      <c r="R530" s="61" t="n"/>
    </row>
    <row r="531" ht="15.75" customHeight="1" s="38">
      <c r="A531" s="66" t="inlineStr">
        <is>
          <t>Dealind SpA</t>
        </is>
      </c>
      <c r="B531" s="66" t="inlineStr">
        <is>
          <t>Rodamientos, Transmisión de Potencia</t>
        </is>
      </c>
      <c r="C531" s="66" t="inlineStr">
        <is>
          <t>Santiago</t>
        </is>
      </c>
      <c r="D531" s="66" t="inlineStr">
        <is>
          <t>contacto@dealind.cl</t>
        </is>
      </c>
      <c r="E531" s="66" t="inlineStr">
        <is>
          <t>(56) 2 6465 9886</t>
        </is>
      </c>
      <c r="F531" s="66" t="n"/>
      <c r="G531" s="66" t="n"/>
      <c r="H531" s="66" t="n"/>
      <c r="I531" s="66" t="inlineStr">
        <is>
          <t>77.098.185-9</t>
        </is>
      </c>
      <c r="J531" s="66" t="n"/>
      <c r="K531" s="66" t="inlineStr">
        <is>
          <t>Ventas: MEDIANA 1 (25.000 - 50.000 UF) | Empleados: 11</t>
        </is>
      </c>
      <c r="L531" s="61" t="n"/>
      <c r="M531" s="61" t="n"/>
      <c r="N531" s="61" t="n"/>
      <c r="O531" s="61" t="n"/>
      <c r="P531" s="61" t="n"/>
      <c r="Q531" s="62" t="n"/>
      <c r="R531" s="61" t="n"/>
    </row>
    <row r="532" ht="15.75" customHeight="1" s="38">
      <c r="A532" s="66" t="inlineStr">
        <is>
          <t>Deca Express S.A.</t>
        </is>
      </c>
      <c r="B532" s="66" t="inlineStr">
        <is>
          <t>Transporte Terrestre</t>
        </is>
      </c>
      <c r="C532" s="66" t="inlineStr">
        <is>
          <t>Santiago</t>
        </is>
      </c>
      <c r="D532" s="66" t="inlineStr">
        <is>
          <t>decaexpress@decaexpress.cl</t>
        </is>
      </c>
      <c r="E532" s="66" t="inlineStr">
        <is>
          <t>(56) 2 2488 1000</t>
        </is>
      </c>
      <c r="F532" s="66" t="n"/>
      <c r="G532" s="66" t="n"/>
      <c r="H532" s="66" t="n"/>
      <c r="I532" s="66" t="inlineStr">
        <is>
          <t>96.658.590-0</t>
        </is>
      </c>
      <c r="J532" s="66" t="n"/>
      <c r="K532" s="66" t="inlineStr">
        <is>
          <t>Ventas: MICRO 2 (200 - 600 UF) | Empleados: 1</t>
        </is>
      </c>
      <c r="L532" s="61" t="n"/>
      <c r="M532" s="61" t="n"/>
      <c r="N532" s="61" t="n"/>
      <c r="O532" s="61" t="n"/>
      <c r="P532" s="61" t="n"/>
      <c r="Q532" s="62" t="n"/>
      <c r="R532" s="61" t="n"/>
    </row>
    <row r="533" ht="15.75" customHeight="1" s="38">
      <c r="A533" s="66" t="inlineStr">
        <is>
          <t>Degraf Ltda.</t>
        </is>
      </c>
      <c r="B533" s="66" t="inlineStr">
        <is>
          <t>Reciclaje de Residuos Electrónicos</t>
        </is>
      </c>
      <c r="C533" s="66" t="inlineStr">
        <is>
          <t>Santiago</t>
        </is>
      </c>
      <c r="D533" s="66" t="inlineStr">
        <is>
          <t>electronicos@degraf.cl</t>
        </is>
      </c>
      <c r="E533" s="66" t="inlineStr">
        <is>
          <t>(56) 2 2958 2656</t>
        </is>
      </c>
      <c r="F533" s="66" t="n"/>
      <c r="G533" s="66" t="n"/>
      <c r="H533" s="66" t="n"/>
      <c r="I533" s="66" t="inlineStr">
        <is>
          <t>77.179.750-4</t>
        </is>
      </c>
      <c r="J533" s="66" t="n"/>
      <c r="K533" s="66" t="inlineStr">
        <is>
          <t>Ventas: GRANDE 1 (100.000 - 200.000 UF) | Empleados: 87</t>
        </is>
      </c>
      <c r="L533" s="61" t="n"/>
      <c r="M533" s="61" t="n"/>
      <c r="N533" s="61" t="n"/>
      <c r="O533" s="61" t="n"/>
      <c r="P533" s="61" t="n"/>
      <c r="Q533" s="62" t="n"/>
      <c r="R533" s="61" t="n"/>
    </row>
    <row r="534" ht="15.75" customHeight="1" s="38">
      <c r="A534" s="66" t="inlineStr">
        <is>
          <t>Del Pino Ingenieros Ltda.</t>
        </is>
      </c>
      <c r="B534" s="66" t="inlineStr">
        <is>
          <t>Servicios de Ingeniería</t>
        </is>
      </c>
      <c r="C534" s="66" t="inlineStr">
        <is>
          <t>Antofagasta</t>
        </is>
      </c>
      <c r="D534" s="66" t="inlineStr">
        <is>
          <t>info@delpinoingenieros.cl</t>
        </is>
      </c>
      <c r="E534" s="66" t="inlineStr">
        <is>
          <t>(56) 55 237 1166</t>
        </is>
      </c>
      <c r="F534" s="66" t="n"/>
      <c r="G534" s="66" t="n"/>
      <c r="H534" s="66" t="n"/>
      <c r="I534" s="66" t="inlineStr">
        <is>
          <t>77.400.880-2</t>
        </is>
      </c>
      <c r="J534" s="66" t="n"/>
      <c r="K534" s="66" t="inlineStr">
        <is>
          <t>Ventas: PEQUEÑA 2 (5.000 - 10.000 UF) | Empleados: 2</t>
        </is>
      </c>
      <c r="L534" s="61" t="n"/>
      <c r="M534" s="61" t="n"/>
      <c r="N534" s="61" t="n"/>
      <c r="O534" s="61" t="n"/>
      <c r="P534" s="61" t="n"/>
      <c r="Q534" s="62" t="n"/>
      <c r="R534" s="61" t="n"/>
    </row>
    <row r="535" ht="15.75" customHeight="1" s="38">
      <c r="A535" s="66" t="inlineStr">
        <is>
          <t>Della Toffola Sudamérica S.A.</t>
        </is>
      </c>
      <c r="B535" s="66" t="inlineStr">
        <is>
          <t>Correas Transportadoras</t>
        </is>
      </c>
      <c r="C535" s="66" t="inlineStr">
        <is>
          <t>Santiago</t>
        </is>
      </c>
      <c r="D535" s="66" t="inlineStr">
        <is>
          <t>jfuentes@dellatoffola.cl</t>
        </is>
      </c>
      <c r="E535" s="66" t="inlineStr">
        <is>
          <t>(56) 2 2854 1170</t>
        </is>
      </c>
      <c r="F535" s="66" t="n"/>
      <c r="G535" s="66" t="n"/>
      <c r="H535" s="66" t="n"/>
      <c r="I535" s="66" t="inlineStr">
        <is>
          <t>78.971.430-4</t>
        </is>
      </c>
      <c r="J535" s="66" t="n"/>
      <c r="K535" s="66" t="inlineStr">
        <is>
          <t>Ventas: GRANDE 1 (100.000 - 200.000 UF) | Empleados: 23</t>
        </is>
      </c>
      <c r="L535" s="61" t="n"/>
      <c r="M535" s="61" t="n"/>
      <c r="N535" s="61" t="n"/>
      <c r="O535" s="61" t="n"/>
      <c r="P535" s="61" t="n"/>
      <c r="Q535" s="62" t="n"/>
      <c r="R535" s="61" t="n"/>
    </row>
    <row r="536" ht="15.75" customHeight="1" s="38">
      <c r="A536" s="66" t="inlineStr">
        <is>
          <t>Deloitte Auditores y Consultores Ltda.</t>
        </is>
      </c>
      <c r="B536" s="66" t="inlineStr">
        <is>
          <t>Auditoría, Consultoría</t>
        </is>
      </c>
      <c r="C536" s="66" t="inlineStr">
        <is>
          <t>Santiago</t>
        </is>
      </c>
      <c r="D536" s="66" t="inlineStr">
        <is>
          <t>deloittechile@deloitte.com</t>
        </is>
      </c>
      <c r="E536" s="66" t="inlineStr">
        <is>
          <t>(56) 2 2729 7000</t>
        </is>
      </c>
      <c r="F536" s="66" t="n"/>
      <c r="G536" s="66" t="n"/>
      <c r="H536" s="66" t="n"/>
      <c r="I536" s="66" t="inlineStr">
        <is>
          <t>80.276.200-3</t>
        </is>
      </c>
      <c r="J536" s="66" t="n"/>
      <c r="K536" s="66" t="inlineStr">
        <is>
          <t>Ventas: GRANDE (Estimado por Empleados) | Empleados: 786</t>
        </is>
      </c>
      <c r="L536" s="61" t="n"/>
      <c r="M536" s="61" t="n"/>
      <c r="N536" s="61" t="n"/>
      <c r="O536" s="61" t="n"/>
      <c r="P536" s="61" t="n"/>
      <c r="Q536" s="62" t="n"/>
      <c r="R536" s="61" t="n"/>
    </row>
    <row r="537" ht="15.75" customHeight="1" s="38">
      <c r="A537" s="66" t="inlineStr">
        <is>
          <t>Delpa Group</t>
        </is>
      </c>
      <c r="B537" s="66" t="inlineStr">
        <is>
          <t>Transporte de Carga Terrestre, Aérea y Marítima, Transporte, Almacenaje y Logística para el Comercio, Transporte, Almacenaje y Logística para la Minería</t>
        </is>
      </c>
      <c r="C537" s="66" t="inlineStr">
        <is>
          <t>Santiago</t>
        </is>
      </c>
      <c r="D537" s="66" t="inlineStr">
        <is>
          <t>contacto@delpagroup.com</t>
        </is>
      </c>
      <c r="E537" s="66" t="inlineStr">
        <is>
          <t>(56) 2 2924 4520</t>
        </is>
      </c>
      <c r="F537" s="66" t="n"/>
      <c r="G537" s="66" t="n"/>
      <c r="H537" s="66" t="n"/>
      <c r="I537" s="66" t="inlineStr">
        <is>
          <t>78.795.960-1</t>
        </is>
      </c>
      <c r="J537" s="66" t="n"/>
      <c r="K537" s="66" t="inlineStr">
        <is>
          <t>Ventas: GRANDE 1 (100.000 - 200.000 UF) | Empleados: 25</t>
        </is>
      </c>
      <c r="L537" s="61" t="n"/>
      <c r="M537" s="61" t="n"/>
      <c r="N537" s="61" t="n"/>
      <c r="O537" s="61" t="n"/>
      <c r="P537" s="61" t="n"/>
      <c r="Q537" s="62" t="n"/>
      <c r="R537" s="61" t="n"/>
    </row>
    <row r="538" ht="15.75" customHeight="1" s="38">
      <c r="A538" s="66" t="inlineStr">
        <is>
          <t>Delpro</t>
        </is>
      </c>
      <c r="B538" s="66" t="inlineStr">
        <is>
          <t>Project Management</t>
        </is>
      </c>
      <c r="C538" s="66" t="inlineStr">
        <is>
          <t>Viña del Mar</t>
        </is>
      </c>
      <c r="D538" s="66" t="inlineStr">
        <is>
          <t>contacto@delpro.cl</t>
        </is>
      </c>
      <c r="E538" s="66" t="inlineStr">
        <is>
          <t>(56) 32 335 7809</t>
        </is>
      </c>
      <c r="F538" s="66" t="n"/>
      <c r="G538" s="66" t="n"/>
      <c r="H538" s="66" t="n"/>
      <c r="I538" s="66" t="inlineStr">
        <is>
          <t>76796007-7</t>
        </is>
      </c>
      <c r="J538" s="66" t="n"/>
      <c r="K538" s="66" t="inlineStr">
        <is>
          <t>Ventas: PEQUEÑA 3 (10.000 - 25.000 UF) | Empleados: 2</t>
        </is>
      </c>
      <c r="L538" s="61" t="n"/>
      <c r="M538" s="61" t="n"/>
      <c r="N538" s="61" t="n"/>
      <c r="O538" s="61" t="n"/>
      <c r="P538" s="61" t="n"/>
      <c r="Q538" s="62" t="n"/>
      <c r="R538" s="61" t="n"/>
    </row>
    <row r="539" ht="15.75" customHeight="1" s="38">
      <c r="A539" s="66" t="inlineStr">
        <is>
          <t>Demo Modular</t>
        </is>
      </c>
      <c r="B539" s="66" t="inlineStr">
        <is>
          <t>Construcciones Modulares, Containers</t>
        </is>
      </c>
      <c r="C539" s="66" t="inlineStr">
        <is>
          <t>Santiago</t>
        </is>
      </c>
      <c r="D539" s="66" t="inlineStr">
        <is>
          <t>pmontti@democorp.com</t>
        </is>
      </c>
      <c r="E539" s="66" t="inlineStr">
        <is>
          <t>(56) 9 6227 7540</t>
        </is>
      </c>
      <c r="F539" s="66" t="n"/>
      <c r="G539" s="66" t="n"/>
      <c r="H539" s="66" t="n"/>
      <c r="I539" s="66" t="inlineStr">
        <is>
          <t>77244627-6</t>
        </is>
      </c>
      <c r="J539" s="66" t="n"/>
      <c r="K539" s="66" t="inlineStr">
        <is>
          <t>Ventas: MEDIANA 1 (25.000 - 50.000 UF) | Empleados: 6</t>
        </is>
      </c>
      <c r="L539" s="61" t="n"/>
      <c r="M539" s="61" t="n"/>
      <c r="N539" s="61" t="n"/>
      <c r="O539" s="61" t="n"/>
      <c r="P539" s="61" t="n"/>
      <c r="Q539" s="62" t="n"/>
      <c r="R539" s="61" t="n"/>
    </row>
    <row r="540" ht="15.75" customHeight="1" s="38">
      <c r="A540" s="66" t="inlineStr">
        <is>
          <t>Departamento de Industrias - Universidad Técnica Federico Santa María</t>
        </is>
      </c>
      <c r="B540" s="66" t="inlineStr">
        <is>
          <t>Diplomados, Educación superior</t>
        </is>
      </c>
      <c r="C540" s="66" t="inlineStr">
        <is>
          <t>Valparaíso</t>
        </is>
      </c>
      <c r="D540" s="66" t="inlineStr">
        <is>
          <t>comunicaciones.industrias@usm.cl</t>
        </is>
      </c>
      <c r="E540" s="66" t="inlineStr">
        <is>
          <t>(56) 32 265 4272</t>
        </is>
      </c>
      <c r="F540" s="66" t="n"/>
      <c r="G540" s="66" t="n"/>
      <c r="H540" s="66" t="n"/>
      <c r="I540" s="66" t="inlineStr">
        <is>
          <t>81.668.700-4</t>
        </is>
      </c>
      <c r="J540" s="66" t="n"/>
      <c r="K540" s="66" t="inlineStr">
        <is>
          <t>Ventas: GRANDE (Estimado por Empleados) | Empleados: 2458</t>
        </is>
      </c>
      <c r="L540" s="61" t="n"/>
      <c r="M540" s="61" t="n"/>
      <c r="N540" s="61" t="n"/>
      <c r="O540" s="61" t="n"/>
      <c r="P540" s="61" t="n"/>
      <c r="Q540" s="62" t="n"/>
      <c r="R540" s="61" t="n"/>
    </row>
    <row r="541" ht="15.75" customHeight="1" s="38">
      <c r="A541" s="66" t="inlineStr">
        <is>
          <t>Derco S.A.</t>
        </is>
      </c>
      <c r="B541" s="66" t="inlineStr">
        <is>
          <t>Repuestos para Vehículos, Vehículos Motorizados</t>
        </is>
      </c>
      <c r="C541" s="66" t="inlineStr">
        <is>
          <t>Santiago</t>
        </is>
      </c>
      <c r="D541" s="66" t="inlineStr">
        <is>
          <t>ccenter@derco.cl</t>
        </is>
      </c>
      <c r="E541" s="66" t="inlineStr">
        <is>
          <t>(56) 2 2560 1500</t>
        </is>
      </c>
      <c r="F541" s="66" t="n"/>
      <c r="G541" s="66" t="n"/>
      <c r="H541" s="66" t="n"/>
      <c r="I541" s="66" t="inlineStr">
        <is>
          <t>94.141.000-6</t>
        </is>
      </c>
      <c r="J541" s="66" t="n"/>
      <c r="K541" s="66" t="inlineStr">
        <is>
          <t>Ventas: GRANDE (Estimado por Empleados) | Empleados: 895</t>
        </is>
      </c>
      <c r="L541" s="61" t="n"/>
      <c r="M541" s="61" t="n"/>
      <c r="N541" s="61" t="n"/>
      <c r="O541" s="61" t="n"/>
      <c r="P541" s="61" t="n"/>
      <c r="Q541" s="62" t="n"/>
      <c r="R541" s="61" t="n"/>
    </row>
    <row r="542" ht="15.75" customHeight="1" s="38">
      <c r="A542" s="66" t="inlineStr">
        <is>
          <t>DercoMaq</t>
        </is>
      </c>
      <c r="B542" s="66" t="inlineStr">
        <is>
          <t>Apiladores, Cargadores Frontales</t>
        </is>
      </c>
      <c r="C542" s="66" t="inlineStr">
        <is>
          <t>Santiago</t>
        </is>
      </c>
      <c r="D542" s="66" t="inlineStr">
        <is>
          <t>clientes@dercomaq.cl</t>
        </is>
      </c>
      <c r="E542" s="66" t="inlineStr">
        <is>
          <t>600 786 1000</t>
        </is>
      </c>
      <c r="F542" s="66" t="n"/>
      <c r="G542" s="66" t="n"/>
      <c r="H542" s="66" t="n"/>
      <c r="I542" s="66" t="inlineStr">
        <is>
          <t>96.545.450-0</t>
        </is>
      </c>
      <c r="J542" s="66" t="n"/>
      <c r="K542" s="66" t="inlineStr">
        <is>
          <t>Ventas: GRANDE (Estimado por Empleados) | Empleados: 536</t>
        </is>
      </c>
      <c r="L542" s="61" t="n"/>
      <c r="M542" s="61" t="n"/>
      <c r="N542" s="61" t="n"/>
      <c r="O542" s="61" t="n"/>
      <c r="P542" s="61" t="n"/>
      <c r="Q542" s="62" t="n"/>
      <c r="R542" s="61" t="n"/>
    </row>
    <row r="543" ht="15.75" customHeight="1" s="38">
      <c r="A543" s="66" t="inlineStr">
        <is>
          <t>Derk Ingeniería y Geología</t>
        </is>
      </c>
      <c r="B543" s="66" t="inlineStr">
        <is>
          <t>Consultoría en Ingeniería Geotécnica</t>
        </is>
      </c>
      <c r="C543" s="66" t="inlineStr">
        <is>
          <t>Santiago</t>
        </is>
      </c>
      <c r="D543" s="66" t="inlineStr">
        <is>
          <t>clientes@derk.cl</t>
        </is>
      </c>
      <c r="E543" s="66" t="inlineStr">
        <is>
          <t>(56) 2 2236 2850</t>
        </is>
      </c>
      <c r="F543" s="66" t="n"/>
      <c r="G543" s="66" t="n"/>
      <c r="H543" s="66" t="n"/>
      <c r="I543" s="66" t="inlineStr">
        <is>
          <t>77.329.510-7</t>
        </is>
      </c>
      <c r="J543" s="66" t="n"/>
      <c r="K543" s="66" t="inlineStr">
        <is>
          <t>Ventas: GRANDE 3 (600.000 - 1.000.000 UF) | Empleados: 506</t>
        </is>
      </c>
      <c r="L543" s="61" t="n"/>
      <c r="M543" s="61" t="n"/>
      <c r="N543" s="61" t="n"/>
      <c r="O543" s="61" t="n"/>
      <c r="P543" s="61" t="n"/>
      <c r="Q543" s="62" t="n"/>
      <c r="R543" s="61" t="n"/>
    </row>
    <row r="544" ht="15.75" customHeight="1" s="38">
      <c r="A544" s="66" t="inlineStr">
        <is>
          <t>Despurifil Ltda.</t>
        </is>
      </c>
      <c r="B544" s="66" t="inlineStr">
        <is>
          <t>Plantas para Osmosis Inversa, Tratamiento de Aguas</t>
        </is>
      </c>
      <c r="C544" s="66" t="inlineStr">
        <is>
          <t>Santiago</t>
        </is>
      </c>
      <c r="D544" s="66" t="inlineStr">
        <is>
          <t>despurifil@vtr.net</t>
        </is>
      </c>
      <c r="E544" s="66" t="inlineStr">
        <is>
          <t>(56) 2 2316 7420</t>
        </is>
      </c>
      <c r="F544" s="66" t="n"/>
      <c r="G544" s="66" t="n"/>
      <c r="H544" s="66" t="n"/>
      <c r="I544" s="66" t="inlineStr">
        <is>
          <t>76.190.290-3</t>
        </is>
      </c>
      <c r="J544" s="66" t="n"/>
      <c r="K544" s="66" t="inlineStr">
        <is>
          <t>Ventas: PEQUEÑA 2 (5.000 - 10.000 UF) | Empleados: 0</t>
        </is>
      </c>
      <c r="L544" s="61" t="n"/>
      <c r="M544" s="61" t="n"/>
      <c r="N544" s="61" t="n"/>
      <c r="O544" s="61" t="n"/>
      <c r="P544" s="61" t="n"/>
      <c r="Q544" s="62" t="n"/>
      <c r="R544" s="61" t="n"/>
    </row>
    <row r="545" ht="15.75" customHeight="1" s="38">
      <c r="A545" s="66" t="inlineStr">
        <is>
          <t>Deswik</t>
        </is>
      </c>
      <c r="B545" s="66" t="inlineStr">
        <is>
          <t>Consultoría en Minería, Software para la Minería</t>
        </is>
      </c>
      <c r="C545" s="66" t="inlineStr">
        <is>
          <t>Santiago</t>
        </is>
      </c>
      <c r="D545" s="66" t="inlineStr">
        <is>
          <t>info.santiago@deswik.com</t>
        </is>
      </c>
      <c r="E545" s="66" t="inlineStr">
        <is>
          <t>(56) 2 3278 3890</t>
        </is>
      </c>
      <c r="F545" s="66" t="n"/>
      <c r="G545" s="66" t="n"/>
      <c r="H545" s="66" t="n"/>
      <c r="I545" s="66" t="inlineStr">
        <is>
          <t>76388284-5</t>
        </is>
      </c>
      <c r="J545" s="66" t="n"/>
      <c r="K545" s="66" t="inlineStr">
        <is>
          <t>Ventas: GRANDE 1 (100.000 - 200.000 UF) | Empleados: 16</t>
        </is>
      </c>
      <c r="L545" s="61" t="n"/>
      <c r="M545" s="61" t="n"/>
      <c r="N545" s="61" t="n"/>
      <c r="O545" s="61" t="n"/>
      <c r="P545" s="61" t="n"/>
      <c r="Q545" s="62" t="n"/>
      <c r="R545" s="61" t="n"/>
    </row>
    <row r="546" ht="15.75" customHeight="1" s="38">
      <c r="A546" s="66" t="inlineStr">
        <is>
          <t>Detroit Chile S.A.</t>
        </is>
      </c>
      <c r="B546" s="66" t="inlineStr">
        <is>
          <t>Ventiladores</t>
        </is>
      </c>
      <c r="C546" s="66" t="inlineStr">
        <is>
          <t>Santiago</t>
        </is>
      </c>
      <c r="D546" s="66" t="inlineStr">
        <is>
          <t>detroit@detroit.cl</t>
        </is>
      </c>
      <c r="E546" s="66" t="inlineStr">
        <is>
          <t>(56) 2 2440 8500</t>
        </is>
      </c>
      <c r="F546" s="66" t="n"/>
      <c r="G546" s="66" t="n"/>
      <c r="H546" s="66" t="n"/>
      <c r="I546" s="66" t="inlineStr">
        <is>
          <t>81.271.100-8</t>
        </is>
      </c>
      <c r="J546" s="66" t="n"/>
      <c r="K546" s="66" t="inlineStr">
        <is>
          <t>Ventas: GRANDE (Estimado por Empleados) | Empleados: 902</t>
        </is>
      </c>
      <c r="L546" s="61" t="n"/>
      <c r="M546" s="61" t="n"/>
      <c r="N546" s="61" t="n"/>
      <c r="O546" s="61" t="n"/>
      <c r="P546" s="61" t="n"/>
      <c r="Q546" s="62" t="n"/>
      <c r="R546" s="61" t="n"/>
    </row>
    <row r="547" ht="15.75" customHeight="1" s="38">
      <c r="A547" s="66" t="inlineStr">
        <is>
          <t>Dexima SpA</t>
        </is>
      </c>
      <c r="B547" s="66" t="inlineStr">
        <is>
          <t>Arcilla Calcinada, Bentonita, Bórax Anhidro, Penta y Decahidratado, Cemento Aluminoso, Ceniza de Soda Densa, Ceniza de Soda Liviana, Combustibles Iso Octano, N-Heptano y Tolueno, Resina Epoxi-Viniléster, Resina Viniléster</t>
        </is>
      </c>
      <c r="C547" s="66" t="inlineStr">
        <is>
          <t>Santiago</t>
        </is>
      </c>
      <c r="D547" s="66" t="inlineStr">
        <is>
          <t>info@dexima.com</t>
        </is>
      </c>
      <c r="E547" s="66" t="inlineStr">
        <is>
          <t>(56) 2 2233 4000</t>
        </is>
      </c>
      <c r="F547" s="66" t="n"/>
      <c r="G547" s="66" t="n"/>
      <c r="H547" s="66" t="n"/>
      <c r="I547" s="66" t="inlineStr">
        <is>
          <t>78.265.630-9</t>
        </is>
      </c>
      <c r="J547" s="66" t="n"/>
      <c r="K547" s="66" t="inlineStr">
        <is>
          <t>Ventas: GRANDE 2 (200.000 - 600.000 UF) | Empleados: 41</t>
        </is>
      </c>
      <c r="L547" s="61" t="n"/>
      <c r="M547" s="61" t="n"/>
      <c r="N547" s="61" t="n"/>
      <c r="O547" s="61" t="n"/>
      <c r="P547" s="61" t="n"/>
      <c r="Q547" s="62" t="n"/>
      <c r="R547" s="61" t="n"/>
    </row>
    <row r="548" ht="15.75" customHeight="1" s="38">
      <c r="A548" s="66" t="inlineStr">
        <is>
          <t>DHL Express Chile Ltda.</t>
        </is>
      </c>
      <c r="B548" s="66" t="inlineStr">
        <is>
          <t>Couriers</t>
        </is>
      </c>
      <c r="C548" s="66" t="inlineStr">
        <is>
          <t>Santiago</t>
        </is>
      </c>
      <c r="D548" s="66" t="n"/>
      <c r="E548" s="66" t="inlineStr">
        <is>
          <t>800 800 345</t>
        </is>
      </c>
      <c r="F548" s="66" t="n"/>
      <c r="G548" s="66" t="n"/>
      <c r="H548" s="66" t="n"/>
      <c r="I548" s="66" t="inlineStr">
        <is>
          <t>86.966.100-7</t>
        </is>
      </c>
      <c r="J548" s="66" t="n"/>
      <c r="K548" s="66" t="inlineStr">
        <is>
          <t>Ventas: GRANDE (Estimado por Empleados) | Empleados: 523</t>
        </is>
      </c>
      <c r="L548" s="61" t="n"/>
      <c r="M548" s="61" t="n"/>
      <c r="N548" s="61" t="n"/>
      <c r="O548" s="61" t="n"/>
      <c r="P548" s="61" t="n"/>
      <c r="Q548" s="62" t="n"/>
      <c r="R548" s="61" t="n"/>
    </row>
    <row r="549" ht="15.75" customHeight="1" s="38">
      <c r="A549" s="66" t="inlineStr">
        <is>
          <t>Dictuc S.A.</t>
        </is>
      </c>
      <c r="B549" s="66" t="inlineStr">
        <is>
          <t>Servicios de Ingeniería</t>
        </is>
      </c>
      <c r="C549" s="66" t="inlineStr">
        <is>
          <t>Santiago</t>
        </is>
      </c>
      <c r="D549" s="66" t="inlineStr">
        <is>
          <t>miguel.berrios@dictuc.cl</t>
        </is>
      </c>
      <c r="E549" s="66" t="inlineStr">
        <is>
          <t>(56) 2 2354 4886</t>
        </is>
      </c>
      <c r="F549" s="66" t="n"/>
      <c r="G549" s="66" t="n"/>
      <c r="H549" s="66" t="n"/>
      <c r="I549" s="66" t="inlineStr">
        <is>
          <t>96.691.630-4</t>
        </is>
      </c>
      <c r="J549" s="66" t="n"/>
      <c r="K549" s="66" t="inlineStr">
        <is>
          <t>Ventas: MEDIANA 2 (50.000 - 100.000 UF) | Empleados: 9</t>
        </is>
      </c>
      <c r="L549" s="61" t="n"/>
      <c r="M549" s="61" t="n"/>
      <c r="N549" s="61" t="n"/>
      <c r="O549" s="61" t="n"/>
      <c r="P549" s="61" t="n"/>
      <c r="Q549" s="62" t="n"/>
      <c r="R549" s="61" t="n"/>
    </row>
    <row r="550" ht="15.75" customHeight="1" s="38">
      <c r="A550" s="66" t="inlineStr">
        <is>
          <t>Dieselmine Ltda.</t>
        </is>
      </c>
      <c r="B550" s="66" t="inlineStr">
        <is>
          <t>Aceros Especiales, Tubos de Acero</t>
        </is>
      </c>
      <c r="C550" s="66" t="inlineStr">
        <is>
          <t>Valparaíso</t>
        </is>
      </c>
      <c r="D550" s="66" t="inlineStr">
        <is>
          <t>kbachman@dieselmine.cl</t>
        </is>
      </c>
      <c r="E550" s="66" t="inlineStr">
        <is>
          <t>(56) 55 223 3773</t>
        </is>
      </c>
      <c r="F550" s="66" t="n"/>
      <c r="G550" s="66" t="n"/>
      <c r="H550" s="66" t="n"/>
      <c r="I550" s="66" t="inlineStr">
        <is>
          <t>77.964.310-7</t>
        </is>
      </c>
      <c r="J550" s="66" t="n"/>
      <c r="K550" s="66" t="inlineStr">
        <is>
          <t>Ventas: GRANDE 1 (100.000 - 200.000 UF) | Empleados: 8</t>
        </is>
      </c>
      <c r="L550" s="61" t="n"/>
      <c r="M550" s="61" t="n"/>
      <c r="N550" s="61" t="n"/>
      <c r="O550" s="61" t="n"/>
      <c r="P550" s="61" t="n"/>
      <c r="Q550" s="62" t="n"/>
      <c r="R550" s="61" t="n"/>
    </row>
    <row r="551" ht="15.75" customHeight="1" s="38">
      <c r="A551" s="66" t="inlineStr">
        <is>
          <t>Diexa S.A.</t>
        </is>
      </c>
      <c r="B551" s="66" t="inlineStr">
        <is>
          <t>Sistemas para Tronaduras</t>
        </is>
      </c>
      <c r="C551" s="66" t="inlineStr">
        <is>
          <t>Santiago</t>
        </is>
      </c>
      <c r="D551" s="66" t="inlineStr">
        <is>
          <t>secretaria@diexa.cl</t>
        </is>
      </c>
      <c r="E551" s="66" t="inlineStr">
        <is>
          <t>(56) 2 2728 0004</t>
        </is>
      </c>
      <c r="F551" s="66" t="inlineStr">
        <is>
          <t>Gerente de TI / CIO (Director de Tecnología)</t>
        </is>
      </c>
      <c r="G551" s="66" t="n"/>
      <c r="H551" s="66" t="n"/>
      <c r="I551" s="66" t="inlineStr">
        <is>
          <t>99.505.900-2</t>
        </is>
      </c>
      <c r="J551" s="66" t="n"/>
      <c r="K551" s="66" t="inlineStr">
        <is>
          <t>Ventas: GRANDE 4 (Mas de 1.000.000 UF) | Empleados: 397</t>
        </is>
      </c>
      <c r="L551" s="61" t="n"/>
      <c r="M551" s="61" t="n"/>
      <c r="N551" s="61" t="n"/>
      <c r="O551" s="61" t="n"/>
      <c r="P551" s="61" t="n"/>
      <c r="Q551" s="62" t="n"/>
      <c r="R551" s="61" t="n"/>
    </row>
    <row r="552" ht="15.75" customHeight="1" s="38">
      <c r="A552" s="66" t="inlineStr">
        <is>
          <t>Digimapas Chile Aerofotogrametría Ltda.</t>
        </is>
      </c>
      <c r="B552" s="66" t="inlineStr">
        <is>
          <t>Aerofotogrametría</t>
        </is>
      </c>
      <c r="C552" s="66" t="inlineStr">
        <is>
          <t>Santiago</t>
        </is>
      </c>
      <c r="D552" s="66" t="inlineStr">
        <is>
          <t>info@digimapas.cl</t>
        </is>
      </c>
      <c r="E552" s="66" t="inlineStr">
        <is>
          <t>(56) 2 2335 3393</t>
        </is>
      </c>
      <c r="F552" s="66" t="n"/>
      <c r="G552" s="66" t="n"/>
      <c r="H552" s="66" t="n"/>
      <c r="I552" s="66" t="inlineStr">
        <is>
          <t>76.428.720-7</t>
        </is>
      </c>
      <c r="J552" s="66" t="n"/>
      <c r="K552" s="66" t="inlineStr">
        <is>
          <t>Ventas: MICRO 1 (0.01 - 200 UF) | Empleados: 0</t>
        </is>
      </c>
      <c r="L552" s="61" t="n"/>
      <c r="M552" s="61" t="n"/>
      <c r="N552" s="61" t="n"/>
      <c r="O552" s="61" t="n"/>
      <c r="P552" s="61" t="n"/>
      <c r="Q552" s="62" t="n"/>
      <c r="R552" s="61" t="n"/>
    </row>
    <row r="553" ht="15.75" customHeight="1" s="38">
      <c r="A553" s="66" t="inlineStr">
        <is>
          <t>Dima Express Ltda.</t>
        </is>
      </c>
      <c r="B553" s="66" t="inlineStr">
        <is>
          <t>Arriendo de Contenedores, Camiones Pluma</t>
        </is>
      </c>
      <c r="C553" s="66" t="inlineStr">
        <is>
          <t>Copiapó</t>
        </is>
      </c>
      <c r="D553" s="66" t="inlineStr">
        <is>
          <t>contacto@dimaexpress.cl</t>
        </is>
      </c>
      <c r="E553" s="66" t="inlineStr">
        <is>
          <t>(56) 52 222 7423</t>
        </is>
      </c>
      <c r="F553" s="66" t="n"/>
      <c r="G553" s="66" t="n"/>
      <c r="H553" s="66" t="n"/>
      <c r="I553" s="66" t="inlineStr">
        <is>
          <t>77.914.830-0</t>
        </is>
      </c>
      <c r="J553" s="66" t="n"/>
      <c r="K553" s="66" t="inlineStr">
        <is>
          <t>Ventas: MEDIANA 1 (25.000 - 50.000 UF) | Empleados: 11</t>
        </is>
      </c>
      <c r="L553" s="61" t="n"/>
      <c r="M553" s="61" t="n"/>
      <c r="N553" s="61" t="n"/>
      <c r="O553" s="61" t="n"/>
      <c r="P553" s="61" t="n"/>
      <c r="Q553" s="62" t="n"/>
      <c r="R553" s="61" t="n"/>
    </row>
    <row r="554" ht="15.75" customHeight="1" s="38">
      <c r="A554" s="66" t="inlineStr">
        <is>
          <t>Dimar Lobos Ltda.</t>
        </is>
      </c>
      <c r="B554" s="66" t="inlineStr">
        <is>
          <t>Anclajes</t>
        </is>
      </c>
      <c r="C554" s="66" t="inlineStr">
        <is>
          <t>Santiago</t>
        </is>
      </c>
      <c r="D554" s="66" t="inlineStr">
        <is>
          <t>dimarlobos@dimarlobos.cl</t>
        </is>
      </c>
      <c r="E554" s="66" t="inlineStr">
        <is>
          <t>(56) 2 2773 0466</t>
        </is>
      </c>
      <c r="F554" s="66" t="n"/>
      <c r="G554" s="66" t="n"/>
      <c r="H554" s="66" t="n"/>
      <c r="I554" s="66" t="inlineStr">
        <is>
          <t>78.473.560-5</t>
        </is>
      </c>
      <c r="J554" s="66" t="n"/>
      <c r="K554" s="66" t="inlineStr">
        <is>
          <t>Ventas: PEQUEÑA 2 (5.000 - 10.000 UF) | Empleados: 8</t>
        </is>
      </c>
      <c r="L554" s="61" t="n"/>
      <c r="M554" s="61" t="n"/>
      <c r="N554" s="61" t="n"/>
      <c r="O554" s="61" t="n"/>
      <c r="P554" s="61" t="n"/>
      <c r="Q554" s="62" t="n"/>
      <c r="R554" s="61" t="n"/>
    </row>
    <row r="555" ht="15.75" customHeight="1" s="38">
      <c r="A555" s="66" t="inlineStr">
        <is>
          <t>Dimension Data Chile S.A.</t>
        </is>
      </c>
      <c r="B555" s="66" t="inlineStr">
        <is>
          <t>Redes de Comunicación</t>
        </is>
      </c>
      <c r="C555" s="66" t="inlineStr">
        <is>
          <t>Santiago</t>
        </is>
      </c>
      <c r="D555" s="66" t="n"/>
      <c r="E555" s="66" t="inlineStr">
        <is>
          <t>(56) 2 2240 8100</t>
        </is>
      </c>
      <c r="F555" s="66" t="n"/>
      <c r="G555" s="66" t="n"/>
      <c r="H555" s="66" t="n"/>
      <c r="I555" s="66" t="inlineStr">
        <is>
          <t>96.522.300-2</t>
        </is>
      </c>
      <c r="J555" s="66" t="n"/>
      <c r="K555" s="66" t="inlineStr">
        <is>
          <t>Ventas: GRANDE (Estimado por Empleados) | Empleados: 372</t>
        </is>
      </c>
      <c r="L555" s="61" t="n"/>
      <c r="M555" s="61" t="n"/>
      <c r="N555" s="61" t="n"/>
      <c r="O555" s="61" t="n"/>
      <c r="P555" s="61" t="n"/>
      <c r="Q555" s="62" t="n"/>
      <c r="R555" s="61" t="n"/>
    </row>
    <row r="556" ht="15.75" customHeight="1" s="38">
      <c r="A556" s="66" t="inlineStr">
        <is>
          <t>Dimerc</t>
        </is>
      </c>
      <c r="B556" s="66" t="inlineStr">
        <is>
          <t>Artículos para Aseo, Artículos para Oficinas, Artículos para Seguridad</t>
        </is>
      </c>
      <c r="C556" s="66" t="inlineStr">
        <is>
          <t>Santiago</t>
        </is>
      </c>
      <c r="D556" s="66" t="inlineStr">
        <is>
          <t>info@dimerc.cl</t>
        </is>
      </c>
      <c r="E556" s="66" t="inlineStr">
        <is>
          <t>(56) 2 2385 8119</t>
        </is>
      </c>
      <c r="F556" s="66" t="n"/>
      <c r="G556" s="66" t="n"/>
      <c r="H556" s="66" t="n"/>
      <c r="I556" s="66" t="inlineStr">
        <is>
          <t>96.670.840-9</t>
        </is>
      </c>
      <c r="J556" s="66" t="n"/>
      <c r="K556" s="66" t="inlineStr">
        <is>
          <t>Ventas: GRANDE (Estimado por Empleados) | Empleados: 373</t>
        </is>
      </c>
      <c r="L556" s="61" t="n"/>
      <c r="M556" s="61" t="n"/>
      <c r="N556" s="61" t="n"/>
      <c r="O556" s="61" t="n"/>
      <c r="P556" s="61" t="n"/>
      <c r="Q556" s="62" t="n"/>
      <c r="R556" s="61" t="n"/>
    </row>
    <row r="557" ht="15.75" customHeight="1" s="38">
      <c r="A557" s="66" t="inlineStr">
        <is>
          <t>Dimet Ltda.</t>
        </is>
      </c>
      <c r="B557" s="66" t="inlineStr">
        <is>
          <t>Accesorios para Correas Transportadoras, Acoplamientos Flexibles</t>
        </is>
      </c>
      <c r="C557" s="66" t="inlineStr">
        <is>
          <t>Santiago</t>
        </is>
      </c>
      <c r="D557" s="66" t="n"/>
      <c r="E557" s="66" t="inlineStr">
        <is>
          <t>(56) 2 2457 0808</t>
        </is>
      </c>
      <c r="F557" s="66" t="n"/>
      <c r="G557" s="66" t="n"/>
      <c r="H557" s="66" t="n"/>
      <c r="I557" s="66" t="inlineStr">
        <is>
          <t>78.702.210-3</t>
        </is>
      </c>
      <c r="J557" s="66" t="n"/>
      <c r="K557" s="66" t="inlineStr">
        <is>
          <t>Ventas: GRANDE 1 (100.000 - 200.000 UF) | Empleados: 44</t>
        </is>
      </c>
      <c r="L557" s="61" t="n"/>
      <c r="M557" s="61" t="n"/>
      <c r="N557" s="61" t="n"/>
      <c r="O557" s="61" t="n"/>
      <c r="P557" s="61" t="n"/>
      <c r="Q557" s="62" t="n"/>
      <c r="R557" s="61" t="n"/>
    </row>
    <row r="558" ht="15.75" customHeight="1" s="38">
      <c r="A558" s="66" t="inlineStr">
        <is>
          <t>Dinagal SpA</t>
        </is>
      </c>
      <c r="B558" s="66" t="inlineStr">
        <is>
          <t>Válvulas</t>
        </is>
      </c>
      <c r="C558" s="66" t="inlineStr">
        <is>
          <t>Santiago</t>
        </is>
      </c>
      <c r="D558" s="66" t="inlineStr">
        <is>
          <t>ventas@dinagal.cl</t>
        </is>
      </c>
      <c r="E558" s="66" t="inlineStr">
        <is>
          <t>(56) 2 2854 2555</t>
        </is>
      </c>
      <c r="F558" s="66" t="n"/>
      <c r="G558" s="66" t="n"/>
      <c r="H558" s="66" t="n"/>
      <c r="I558" s="66" t="inlineStr">
        <is>
          <t>85.918.900-8</t>
        </is>
      </c>
      <c r="J558" s="66" t="n"/>
      <c r="K558" s="66" t="inlineStr">
        <is>
          <t>Ventas: MEDIANA 2 (50.000 - 100.000 UF) | Empleados: 20</t>
        </is>
      </c>
      <c r="L558" s="61" t="n"/>
      <c r="M558" s="61" t="n"/>
      <c r="N558" s="61" t="n"/>
      <c r="O558" s="61" t="n"/>
      <c r="P558" s="61" t="n"/>
      <c r="Q558" s="62" t="n"/>
      <c r="R558" s="61" t="n"/>
    </row>
    <row r="559" ht="15.75" customHeight="1" s="38">
      <c r="A559" s="66" t="inlineStr">
        <is>
          <t>Dinatex Ltda.</t>
        </is>
      </c>
      <c r="B559" s="66" t="inlineStr">
        <is>
          <t>Sistemas contra Incendios</t>
        </is>
      </c>
      <c r="C559" s="66" t="inlineStr">
        <is>
          <t>Santiago</t>
        </is>
      </c>
      <c r="D559" s="66" t="inlineStr">
        <is>
          <t>sbolton@dinatex.cl</t>
        </is>
      </c>
      <c r="E559" s="66" t="inlineStr">
        <is>
          <t>(56) 9 9299 5265</t>
        </is>
      </c>
      <c r="F559" s="66" t="n"/>
      <c r="G559" s="66" t="n"/>
      <c r="H559" s="66" t="n"/>
      <c r="I559" s="66" t="inlineStr">
        <is>
          <t>79.929.670-5</t>
        </is>
      </c>
      <c r="J559" s="66" t="n"/>
      <c r="K559" s="66" t="inlineStr">
        <is>
          <t>Ventas: MEDIANA 1 (25.000 - 50.000 UF) | Empleados: 6</t>
        </is>
      </c>
      <c r="L559" s="61" t="n"/>
      <c r="M559" s="61" t="n"/>
      <c r="N559" s="61" t="n"/>
      <c r="O559" s="61" t="n"/>
      <c r="P559" s="61" t="n"/>
      <c r="Q559" s="62" t="n"/>
      <c r="R559" s="61" t="n"/>
    </row>
    <row r="560" ht="15.75" customHeight="1" s="38">
      <c r="A560" s="66" t="inlineStr">
        <is>
          <t>Dinámica Plataforma</t>
        </is>
      </c>
      <c r="B560" s="66" t="inlineStr">
        <is>
          <t>Diseño de Estrategias de Vínculo e Inserción Territorial</t>
        </is>
      </c>
      <c r="C560" s="66" t="inlineStr">
        <is>
          <t>Santiago</t>
        </is>
      </c>
      <c r="D560" s="66" t="inlineStr">
        <is>
          <t>info@dinamicaplataforma.com</t>
        </is>
      </c>
      <c r="E560" s="66" t="inlineStr">
        <is>
          <t>(56) 2 3286 4194</t>
        </is>
      </c>
      <c r="F560" s="66" t="n"/>
      <c r="G560" s="66" t="n"/>
      <c r="H560" s="66" t="n"/>
      <c r="I560" s="66" t="inlineStr">
        <is>
          <t>76.454.803-5</t>
        </is>
      </c>
      <c r="J560" s="66" t="n"/>
      <c r="K560" s="66" t="inlineStr">
        <is>
          <t>Ventas: GRANDE 1 (100.000 - 200.000 UF) | Empleados: 59</t>
        </is>
      </c>
      <c r="L560" s="61" t="n"/>
      <c r="M560" s="61" t="n"/>
      <c r="N560" s="61" t="n"/>
      <c r="O560" s="61" t="n"/>
      <c r="P560" s="61" t="n"/>
      <c r="Q560" s="62" t="n"/>
      <c r="R560" s="61" t="n"/>
    </row>
    <row r="561" ht="15.75" customHeight="1" s="38">
      <c r="A561" s="66" t="inlineStr">
        <is>
          <t>Disemaq Ltda.</t>
        </is>
      </c>
      <c r="B561" s="66" t="inlineStr">
        <is>
          <t>Repuestos para Maquinaria Minera</t>
        </is>
      </c>
      <c r="C561" s="66" t="inlineStr">
        <is>
          <t>Santiago</t>
        </is>
      </c>
      <c r="D561" s="66" t="inlineStr">
        <is>
          <t>gerencia@disemaq.cl</t>
        </is>
      </c>
      <c r="E561" s="66" t="inlineStr">
        <is>
          <t>(56) 2 2551 9704</t>
        </is>
      </c>
      <c r="F561" s="66" t="n"/>
      <c r="G561" s="66" t="n"/>
      <c r="H561" s="66" t="n"/>
      <c r="I561" s="66" t="inlineStr">
        <is>
          <t>78.365.890-9</t>
        </is>
      </c>
      <c r="J561" s="66" t="n"/>
      <c r="K561" s="66" t="inlineStr">
        <is>
          <t>Ventas: PEQUEÑA 2 (5.000 - 10.000 UF) | Empleados: 3</t>
        </is>
      </c>
      <c r="L561" s="61" t="n"/>
      <c r="M561" s="61" t="n"/>
      <c r="N561" s="61" t="n"/>
      <c r="O561" s="61" t="n"/>
      <c r="P561" s="61" t="n"/>
      <c r="Q561" s="62" t="n"/>
      <c r="R561" s="61" t="n"/>
    </row>
    <row r="562" ht="15.75" customHeight="1" s="38">
      <c r="A562" s="66" t="inlineStr">
        <is>
          <t>Distintec</t>
        </is>
      </c>
      <c r="B562" s="66" t="inlineStr">
        <is>
          <t>Equipos Magnéticos para Levante, Equipos para Carguío</t>
        </is>
      </c>
      <c r="C562" s="66" t="inlineStr">
        <is>
          <t>Santiago</t>
        </is>
      </c>
      <c r="D562" s="66" t="inlineStr">
        <is>
          <t>ventas@distintec.cl</t>
        </is>
      </c>
      <c r="E562" s="66" t="inlineStr">
        <is>
          <t>(56) 2 2328 4200</t>
        </is>
      </c>
      <c r="F562" s="66" t="n"/>
      <c r="G562" s="66" t="n"/>
      <c r="H562" s="66" t="n"/>
      <c r="I562" s="66" t="inlineStr">
        <is>
          <t>79.693.620-7</t>
        </is>
      </c>
      <c r="J562" s="66" t="n"/>
      <c r="K562" s="66" t="inlineStr">
        <is>
          <t>Ventas: GRANDE 3 (600.000 - 1.000.000 UF) | Empleados: 85</t>
        </is>
      </c>
      <c r="L562" s="61" t="n"/>
      <c r="M562" s="61" t="n"/>
      <c r="N562" s="61" t="n"/>
      <c r="O562" s="61" t="n"/>
      <c r="P562" s="61" t="n"/>
      <c r="Q562" s="62" t="n"/>
      <c r="R562" s="61" t="n"/>
    </row>
    <row r="563" ht="15.75" customHeight="1" s="38">
      <c r="A563" s="66" t="inlineStr">
        <is>
          <t>DLC</t>
        </is>
      </c>
      <c r="B563" s="66" t="inlineStr">
        <is>
          <t>Tratamiento de Riles y Aguas Servidas</t>
        </is>
      </c>
      <c r="C563" s="66" t="inlineStr">
        <is>
          <t>Santiago</t>
        </is>
      </c>
      <c r="D563" s="66" t="inlineStr">
        <is>
          <t>info@dlc.cl</t>
        </is>
      </c>
      <c r="E563" s="66" t="inlineStr">
        <is>
          <t>(56) 2 2774 5500</t>
        </is>
      </c>
      <c r="F563" s="66" t="n"/>
      <c r="G563" s="66" t="n"/>
      <c r="H563" s="66" t="n"/>
      <c r="I563" s="66" t="inlineStr">
        <is>
          <t>99.562.100-2</t>
        </is>
      </c>
      <c r="J563" s="66" t="n"/>
      <c r="K563" s="66" t="inlineStr">
        <is>
          <t>Ventas: MICRO 1 (0.01 - 200 UF) | Empleados: 0</t>
        </is>
      </c>
      <c r="L563" s="61" t="n"/>
      <c r="M563" s="61" t="n"/>
      <c r="N563" s="61" t="n"/>
      <c r="O563" s="61" t="n"/>
      <c r="P563" s="61" t="n"/>
      <c r="Q563" s="62" t="n"/>
      <c r="R563" s="61" t="n"/>
    </row>
    <row r="564" ht="15.75" customHeight="1" s="38">
      <c r="A564" s="66" t="inlineStr">
        <is>
          <t>DMC Mining Services</t>
        </is>
      </c>
      <c r="B564" s="66" t="inlineStr">
        <is>
          <t>Proveedor Destacado, Chimeneas con Metodología Boxhole y RaiseBorer, Rampas de Acceso. Rampas Descendentes. Galería de Avance. Corte Transversal, Reparación y Construcción Minera, Servicio de Captura, Control y Procesamiento de Información Geológica y Geotécnica a Partir de la Perforación de Sondajes, Sondajes DDH y RC</t>
        </is>
      </c>
      <c r="C564" s="66" t="inlineStr">
        <is>
          <t>Santiago</t>
        </is>
      </c>
      <c r="D564" s="66" t="inlineStr">
        <is>
          <t>postulaciones.chile@dmcmining.com</t>
        </is>
      </c>
      <c r="E564" s="66" t="inlineStr">
        <is>
          <t>(56) 44 221 2348</t>
        </is>
      </c>
      <c r="F564" s="66" t="n"/>
      <c r="G564" s="66" t="n"/>
      <c r="H564" s="66" t="inlineStr">
        <is>
          <t>http://www.dmcmining.com</t>
        </is>
      </c>
      <c r="I564" s="66" t="inlineStr">
        <is>
          <t>77.014.665-8</t>
        </is>
      </c>
      <c r="J564" s="66" t="n"/>
      <c r="K564" s="66" t="inlineStr">
        <is>
          <t>Ventas: GRANDE (Estimado por Empleados) | Empleados: 1763</t>
        </is>
      </c>
      <c r="L564" s="61" t="n"/>
      <c r="M564" s="61" t="n"/>
      <c r="N564" s="61" t="n"/>
      <c r="O564" s="61" t="n"/>
      <c r="P564" s="61" t="n"/>
      <c r="Q564" s="62" t="n"/>
      <c r="R564" s="61" t="n"/>
    </row>
    <row r="565" ht="15.75" customHeight="1" s="38">
      <c r="A565" s="66" t="inlineStr">
        <is>
          <t>DNK Water SpA</t>
        </is>
      </c>
      <c r="B565" s="66" t="inlineStr">
        <is>
          <t>Detección de Fugas de Agua</t>
        </is>
      </c>
      <c r="C565" s="66" t="inlineStr">
        <is>
          <t>Santiago</t>
        </is>
      </c>
      <c r="D565" s="66" t="inlineStr">
        <is>
          <t>info@dnk-water.com</t>
        </is>
      </c>
      <c r="E565" s="66" t="inlineStr">
        <is>
          <t>(56) 2 2951 5646</t>
        </is>
      </c>
      <c r="F565" s="66" t="n"/>
      <c r="G565" s="66" t="n"/>
      <c r="H565" s="66" t="n"/>
      <c r="I565" s="66" t="inlineStr">
        <is>
          <t>76.190.645-3</t>
        </is>
      </c>
      <c r="J565" s="66" t="n"/>
      <c r="K565" s="66" t="inlineStr">
        <is>
          <t>Ventas: MEDIANA 2 (50.000 - 100.000 UF) | Empleados: 44</t>
        </is>
      </c>
      <c r="L565" s="61" t="n"/>
      <c r="M565" s="61" t="n"/>
      <c r="N565" s="61" t="n"/>
      <c r="O565" s="61" t="n"/>
      <c r="P565" s="61" t="n"/>
      <c r="Q565" s="62" t="n"/>
      <c r="R565" s="61" t="n"/>
    </row>
    <row r="566" ht="15.75" customHeight="1" s="38">
      <c r="A566" s="66" t="inlineStr">
        <is>
          <t>Doka Chile</t>
        </is>
      </c>
      <c r="B566" s="66" t="inlineStr">
        <is>
          <t>Andamios, Encofrados</t>
        </is>
      </c>
      <c r="C566" s="66" t="inlineStr">
        <is>
          <t>Santiago</t>
        </is>
      </c>
      <c r="D566" s="66" t="inlineStr">
        <is>
          <t>chile@doka.com</t>
        </is>
      </c>
      <c r="E566" s="66" t="inlineStr">
        <is>
          <t>(56) 2 2413 1600</t>
        </is>
      </c>
      <c r="F566" s="66" t="n"/>
      <c r="G566" s="66" t="n"/>
      <c r="H566" s="66" t="n"/>
      <c r="I566" s="66" t="inlineStr">
        <is>
          <t>76.955.360-6</t>
        </is>
      </c>
      <c r="J566" s="66" t="n"/>
      <c r="K566" s="66" t="inlineStr">
        <is>
          <t>Ventas: GRANDE 3 (600.000 - 1.000.000 UF) | Empleados: 50</t>
        </is>
      </c>
      <c r="L566" s="61" t="n"/>
      <c r="M566" s="61" t="n"/>
      <c r="N566" s="61" t="n"/>
      <c r="O566" s="61" t="n"/>
      <c r="P566" s="61" t="n"/>
      <c r="Q566" s="62" t="n"/>
      <c r="R566" s="61" t="n"/>
    </row>
    <row r="567" ht="15.75" customHeight="1" s="38">
      <c r="A567" s="66" t="inlineStr">
        <is>
          <t>Dom S.A.</t>
        </is>
      </c>
      <c r="B567" s="66" t="inlineStr">
        <is>
          <t>Andamios, Encofrados</t>
        </is>
      </c>
      <c r="C567" s="66" t="inlineStr">
        <is>
          <t>Santiago</t>
        </is>
      </c>
      <c r="D567" s="66" t="inlineStr">
        <is>
          <t>domsa@dom.cl</t>
        </is>
      </c>
      <c r="E567" s="66" t="inlineStr">
        <is>
          <t>(56) 2 2306 7100</t>
        </is>
      </c>
      <c r="F567" s="66" t="n"/>
      <c r="G567" s="66" t="n"/>
      <c r="H567" s="66" t="n"/>
      <c r="I567" s="66" t="inlineStr">
        <is>
          <t>77613743-K</t>
        </is>
      </c>
      <c r="J567" s="66" t="n"/>
      <c r="K567" s="66" t="inlineStr">
        <is>
          <t>Ventas: MICRO 3 (600 - 2.400 UF) | Empleados: 0</t>
        </is>
      </c>
      <c r="L567" s="61" t="n"/>
      <c r="M567" s="61" t="n"/>
      <c r="N567" s="61" t="n"/>
      <c r="O567" s="61" t="n"/>
      <c r="P567" s="61" t="n"/>
      <c r="Q567" s="62" t="n"/>
      <c r="R567" s="61" t="n"/>
    </row>
    <row r="568" ht="15.75" customHeight="1" s="38">
      <c r="A568" s="66" t="inlineStr">
        <is>
          <t>Dominion Chile</t>
        </is>
      </c>
      <c r="B568" s="66" t="inlineStr">
        <is>
          <t>Automatización Industrial, Construcciones Industriales</t>
        </is>
      </c>
      <c r="C568" s="66" t="inlineStr">
        <is>
          <t>Santiago</t>
        </is>
      </c>
      <c r="D568" s="66" t="inlineStr">
        <is>
          <t>julio.arroyo@dominion-global.com</t>
        </is>
      </c>
      <c r="E568" s="66" t="inlineStr">
        <is>
          <t>(56) 9 8768 0797</t>
        </is>
      </c>
      <c r="F568" s="66" t="n"/>
      <c r="G568" s="66" t="n"/>
      <c r="H568" s="66" t="n"/>
      <c r="I568" s="66" t="inlineStr">
        <is>
          <t>99597170-4</t>
        </is>
      </c>
      <c r="J568" s="66" t="n"/>
      <c r="K568" s="66" t="inlineStr">
        <is>
          <t>Ventas: GRANDE (Estimado por Empleados) | Empleados: 1763</t>
        </is>
      </c>
      <c r="L568" s="61" t="n"/>
      <c r="M568" s="61" t="n"/>
      <c r="N568" s="61" t="n"/>
      <c r="O568" s="61" t="n"/>
      <c r="P568" s="61" t="n"/>
      <c r="Q568" s="62" t="n"/>
      <c r="R568" s="61" t="n"/>
    </row>
    <row r="569" ht="15.75" customHeight="1" s="38">
      <c r="A569" s="66" t="inlineStr">
        <is>
          <t>Donaldson Chile</t>
        </is>
      </c>
      <c r="B569" s="66" t="inlineStr">
        <is>
          <t>Equipos para Purificación de Aire Comprimido, Gas, Vapor y Líquidos, Sistemas de Admisión de Aire para Turbinas a Gas y Compresores Industriales, Sistemas de Filtración para Tanques a Granel, Soluciones de Filtración de Aire Comprimido, Gas y Procesos, Soluciones de Filtración para Fabricantes de Equipos Originales (OEM)</t>
        </is>
      </c>
      <c r="C569" s="66" t="inlineStr">
        <is>
          <t>Santiago</t>
        </is>
      </c>
      <c r="D569" s="66" t="inlineStr">
        <is>
          <t>claudio.brito@donaldson.com</t>
        </is>
      </c>
      <c r="E569" s="66" t="inlineStr">
        <is>
          <t>(56) 2 3263 5200</t>
        </is>
      </c>
      <c r="F569" s="66" t="n"/>
      <c r="G569" s="66" t="n"/>
      <c r="H569" s="66" t="inlineStr">
        <is>
          <t>http://www.donaldson.com</t>
        </is>
      </c>
      <c r="I569" s="66" t="inlineStr">
        <is>
          <t>76.134.151-0</t>
        </is>
      </c>
      <c r="J569" s="66" t="n"/>
      <c r="K569" s="66" t="inlineStr">
        <is>
          <t>Ventas: GRANDE 3 (600.000 - 1.000.000 UF) | Empleados: 12</t>
        </is>
      </c>
      <c r="L569" s="61" t="n"/>
      <c r="M569" s="61" t="n"/>
      <c r="N569" s="61" t="n"/>
      <c r="O569" s="61" t="n"/>
      <c r="P569" s="61" t="n"/>
      <c r="Q569" s="62" t="n"/>
      <c r="R569" s="61" t="n"/>
    </row>
    <row r="570" ht="15.75" customHeight="1" s="38">
      <c r="A570" s="66" t="inlineStr">
        <is>
          <t>Doppelmayr</t>
        </is>
      </c>
      <c r="B570" s="66" t="inlineStr">
        <is>
          <t>Correas Transportadoras, Transferencia de Material en general</t>
        </is>
      </c>
      <c r="C570" s="66" t="inlineStr">
        <is>
          <t>Santiago</t>
        </is>
      </c>
      <c r="D570" s="66" t="inlineStr">
        <is>
          <t>ggoyeneche@ibd-team.com</t>
        </is>
      </c>
      <c r="E570" s="66" t="inlineStr">
        <is>
          <t>(56) 2 2222 9633</t>
        </is>
      </c>
      <c r="F570" s="66" t="n"/>
      <c r="G570" s="66" t="n"/>
      <c r="H570" s="66" t="n"/>
      <c r="I570" s="66" t="inlineStr">
        <is>
          <t>76.579.005-0</t>
        </is>
      </c>
      <c r="J570" s="66" t="n"/>
      <c r="K570" s="66" t="inlineStr">
        <is>
          <t>Ventas: MEDIANA 1 (25.000 - 50.000 UF) | Empleados: 14</t>
        </is>
      </c>
      <c r="L570" s="61" t="n"/>
      <c r="M570" s="61" t="n"/>
      <c r="N570" s="61" t="n"/>
      <c r="O570" s="61" t="n"/>
      <c r="P570" s="61" t="n"/>
      <c r="Q570" s="62" t="n"/>
      <c r="R570" s="61" t="n"/>
    </row>
    <row r="571" ht="15.75" customHeight="1" s="38">
      <c r="A571" s="66" t="inlineStr">
        <is>
          <t>DOS20</t>
        </is>
      </c>
      <c r="B571" s="66" t="inlineStr">
        <is>
          <t>Bombas</t>
        </is>
      </c>
      <c r="C571" s="66" t="inlineStr">
        <is>
          <t>Concón</t>
        </is>
      </c>
      <c r="D571" s="66" t="inlineStr">
        <is>
          <t>web@dos20.cl</t>
        </is>
      </c>
      <c r="E571" s="66" t="inlineStr">
        <is>
          <t>(56) 32 281 8480</t>
        </is>
      </c>
      <c r="F571" s="66" t="n"/>
      <c r="G571" s="66" t="n"/>
      <c r="H571" s="66" t="n"/>
      <c r="I571" s="66" t="inlineStr">
        <is>
          <t>76108934-K</t>
        </is>
      </c>
      <c r="J571" s="66" t="n"/>
      <c r="K571" s="66" t="inlineStr">
        <is>
          <t>Ventas: MEDIANA 2 (50.000 - 100.000 UF) | Empleados: 14</t>
        </is>
      </c>
      <c r="L571" s="61" t="n"/>
      <c r="M571" s="61" t="n"/>
      <c r="N571" s="61" t="n"/>
      <c r="O571" s="61" t="n"/>
      <c r="P571" s="61" t="n"/>
      <c r="Q571" s="62" t="n"/>
      <c r="R571" s="61" t="n"/>
    </row>
    <row r="572" ht="15.75" customHeight="1" s="38">
      <c r="A572" s="66" t="inlineStr">
        <is>
          <t>Dow Química</t>
        </is>
      </c>
      <c r="B572" s="66" t="inlineStr">
        <is>
          <t>Productos Químicos, Productos Químicos para Flotación</t>
        </is>
      </c>
      <c r="C572" s="66" t="inlineStr">
        <is>
          <t>Santiago</t>
        </is>
      </c>
      <c r="D572" s="66" t="inlineStr">
        <is>
          <t>varivascasilla@dow.com</t>
        </is>
      </c>
      <c r="E572" s="66" t="inlineStr">
        <is>
          <t>1 230 020 1124</t>
        </is>
      </c>
      <c r="F572" s="66" t="n"/>
      <c r="G572" s="66" t="n"/>
      <c r="H572" s="66" t="n"/>
      <c r="I572" s="66" t="inlineStr">
        <is>
          <t>92.879.000-2</t>
        </is>
      </c>
      <c r="J572" s="66" t="n"/>
      <c r="K572" s="66" t="inlineStr">
        <is>
          <t>Ventas: GRANDE 2 (200.000 - 600.000 UF) | Empleados: 2</t>
        </is>
      </c>
      <c r="L572" s="61" t="n"/>
      <c r="M572" s="61" t="n"/>
      <c r="N572" s="61" t="n"/>
      <c r="O572" s="61" t="n"/>
      <c r="P572" s="61" t="n"/>
      <c r="Q572" s="62" t="n"/>
      <c r="R572" s="61" t="n"/>
    </row>
    <row r="573" ht="15.75" customHeight="1" s="38">
      <c r="A573" s="66" t="inlineStr">
        <is>
          <t>Downing Teal Chile SpA</t>
        </is>
      </c>
      <c r="B573" s="66" t="inlineStr">
        <is>
          <t>Asesorías en Recursos Humanos, Consultoría en Recursos Humanos</t>
        </is>
      </c>
      <c r="C573" s="66" t="inlineStr">
        <is>
          <t>Santiago</t>
        </is>
      </c>
      <c r="D573" s="66" t="inlineStr">
        <is>
          <t>info@downingteal.cl</t>
        </is>
      </c>
      <c r="E573" s="66" t="inlineStr">
        <is>
          <t>(56) 2 2947 4800</t>
        </is>
      </c>
      <c r="F573" s="66" t="n"/>
      <c r="G573" s="66" t="n"/>
      <c r="H573" s="66" t="n"/>
      <c r="I573" s="66" t="inlineStr">
        <is>
          <t>96.953.910-1</t>
        </is>
      </c>
      <c r="J573" s="66" t="n"/>
      <c r="K573" s="66" t="inlineStr">
        <is>
          <t>Ventas: GRANDE 1 (100.000 - 200.000 UF) | Empleados: 13</t>
        </is>
      </c>
      <c r="L573" s="61" t="n"/>
      <c r="M573" s="61" t="n"/>
      <c r="N573" s="61" t="n"/>
      <c r="O573" s="61" t="n"/>
      <c r="P573" s="61" t="n"/>
      <c r="Q573" s="62" t="n"/>
      <c r="R573" s="61" t="n"/>
    </row>
    <row r="574" ht="15.75" customHeight="1" s="38">
      <c r="A574" s="66" t="inlineStr">
        <is>
          <t>DP Chile Industrial</t>
        </is>
      </c>
      <c r="B574" s="66" t="inlineStr">
        <is>
          <t>Ventiladores</t>
        </is>
      </c>
      <c r="C574" s="66" t="inlineStr">
        <is>
          <t>Paine</t>
        </is>
      </c>
      <c r="D574" s="66" t="inlineStr">
        <is>
          <t>contacto@dpchileindustrial.cl</t>
        </is>
      </c>
      <c r="E574" s="66" t="inlineStr">
        <is>
          <t>(56) 2 2825 0510</t>
        </is>
      </c>
      <c r="F574" s="66" t="n"/>
      <c r="G574" s="66" t="n"/>
      <c r="H574" s="66" t="n"/>
      <c r="I574" s="66" t="inlineStr">
        <is>
          <t>76.465.845-0</t>
        </is>
      </c>
      <c r="J574" s="66" t="n"/>
      <c r="K574" s="66" t="inlineStr">
        <is>
          <t>Ventas: MEDIANA 1 (25.000 - 50.000 UF) | Empleados: 21</t>
        </is>
      </c>
      <c r="L574" s="61" t="n"/>
      <c r="M574" s="61" t="n"/>
      <c r="N574" s="61" t="n"/>
      <c r="O574" s="61" t="n"/>
      <c r="P574" s="61" t="n"/>
      <c r="Q574" s="62" t="n"/>
      <c r="R574" s="61" t="n"/>
    </row>
    <row r="575" ht="15.75" customHeight="1" s="38">
      <c r="A575" s="66" t="inlineStr">
        <is>
          <t>DP-Fire</t>
        </is>
      </c>
      <c r="B575" s="66" t="inlineStr">
        <is>
          <t>Sistemas para Detección de Incendios</t>
        </is>
      </c>
      <c r="C575" s="66" t="inlineStr">
        <is>
          <t>Antofagasta</t>
        </is>
      </c>
      <c r="D575" s="66" t="inlineStr">
        <is>
          <t>ventas@dpfire.cl</t>
        </is>
      </c>
      <c r="E575" s="66" t="inlineStr">
        <is>
          <t>(56) 9 3450 1342</t>
        </is>
      </c>
      <c r="F575" s="66" t="n"/>
      <c r="G575" s="66" t="n"/>
      <c r="H575" s="66" t="n"/>
      <c r="I575" s="66" t="inlineStr">
        <is>
          <t>76.356.183-6</t>
        </is>
      </c>
      <c r="J575" s="66" t="n"/>
      <c r="K575" s="66" t="inlineStr">
        <is>
          <t>Ventas: GRANDE 2 (200.000 - 600.000 UF) | Empleados: 123</t>
        </is>
      </c>
      <c r="L575" s="61" t="n"/>
      <c r="M575" s="61" t="n"/>
      <c r="N575" s="61" t="n"/>
      <c r="O575" s="61" t="n"/>
      <c r="P575" s="61" t="n"/>
      <c r="Q575" s="62" t="n"/>
      <c r="R575" s="61" t="n"/>
    </row>
    <row r="576" ht="15.75" customHeight="1" s="38">
      <c r="A576" s="66" t="inlineStr">
        <is>
          <t>DPA Ingeniería Ltda.</t>
        </is>
      </c>
      <c r="B576" s="66" t="inlineStr">
        <is>
          <t>Automatización, Servicios de Ingeniería</t>
        </is>
      </c>
      <c r="C576" s="66" t="inlineStr">
        <is>
          <t>Santiago</t>
        </is>
      </c>
      <c r="D576" s="66" t="inlineStr">
        <is>
          <t>contacto@dpa.cl</t>
        </is>
      </c>
      <c r="E576" s="66" t="inlineStr">
        <is>
          <t>(56) 2 2522 1069</t>
        </is>
      </c>
      <c r="F576" s="66" t="n"/>
      <c r="G576" s="66" t="n"/>
      <c r="H576" s="66" t="n"/>
      <c r="I576" s="66" t="inlineStr">
        <is>
          <t>78.334.740-7</t>
        </is>
      </c>
      <c r="J576" s="66" t="n"/>
      <c r="K576" s="66" t="inlineStr">
        <is>
          <t>Ventas: GRANDE 3 (600.000 - 1.000.000 UF) | Empleados: 101</t>
        </is>
      </c>
      <c r="L576" s="61" t="n"/>
      <c r="M576" s="61" t="n"/>
      <c r="N576" s="61" t="n"/>
      <c r="O576" s="61" t="n"/>
      <c r="P576" s="61" t="n"/>
      <c r="Q576" s="62" t="n"/>
      <c r="R576" s="61" t="n"/>
    </row>
    <row r="577" ht="15.75" customHeight="1" s="38">
      <c r="A577" s="66" t="inlineStr">
        <is>
          <t>DPL Grout Ltda.</t>
        </is>
      </c>
      <c r="B577" s="66" t="inlineStr">
        <is>
          <t>Bombeo de Hormigón, Shotcrete</t>
        </is>
      </c>
      <c r="C577" s="66" t="inlineStr">
        <is>
          <t>Santiago</t>
        </is>
      </c>
      <c r="D577" s="66" t="inlineStr">
        <is>
          <t>informacion@dplgrout.cl</t>
        </is>
      </c>
      <c r="E577" s="66" t="inlineStr">
        <is>
          <t>(56) 9 9515 3123</t>
        </is>
      </c>
      <c r="F577" s="66" t="n"/>
      <c r="G577" s="66" t="n"/>
      <c r="H577" s="66" t="n"/>
      <c r="I577" s="66" t="inlineStr">
        <is>
          <t>76.575.848-3</t>
        </is>
      </c>
      <c r="J577" s="66" t="n"/>
      <c r="K577" s="66" t="inlineStr">
        <is>
          <t>Ventas: MICRO 1 (0.01 - 200 UF) | Empleados: 7</t>
        </is>
      </c>
      <c r="L577" s="61" t="n"/>
      <c r="M577" s="61" t="n"/>
      <c r="N577" s="61" t="n"/>
      <c r="O577" s="61" t="n"/>
      <c r="P577" s="61" t="n"/>
      <c r="Q577" s="62" t="n"/>
      <c r="R577" s="61" t="n"/>
    </row>
    <row r="578" ht="15.75" customHeight="1" s="38">
      <c r="A578" s="66" t="inlineStr">
        <is>
          <t>DPP Holding Chile</t>
        </is>
      </c>
      <c r="B578" s="66" t="inlineStr">
        <is>
          <t>Desarrollo de Proyectos Solares</t>
        </is>
      </c>
      <c r="C578" s="66" t="inlineStr">
        <is>
          <t>Santiago</t>
        </is>
      </c>
      <c r="D578" s="66" t="inlineStr">
        <is>
          <t>hgerdin@distributedpowerpartners.com</t>
        </is>
      </c>
      <c r="E578" s="66" t="inlineStr">
        <is>
          <t>(56) 2 2434 1800</t>
        </is>
      </c>
      <c r="F578" s="66" t="n"/>
      <c r="G578" s="66" t="n"/>
      <c r="H578" s="66" t="n"/>
      <c r="I578" s="66" t="inlineStr">
        <is>
          <t>76379276-5</t>
        </is>
      </c>
      <c r="J578" s="66" t="n"/>
      <c r="K578" s="66" t="inlineStr">
        <is>
          <t>Ventas: MEDIANA 1 (25.000 - 50.000 UF) | Empleados: 7</t>
        </is>
      </c>
      <c r="L578" s="61" t="n"/>
      <c r="M578" s="61" t="n"/>
      <c r="N578" s="61" t="n"/>
      <c r="O578" s="61" t="n"/>
      <c r="P578" s="61" t="n"/>
      <c r="Q578" s="62" t="n"/>
      <c r="R578" s="61" t="n"/>
    </row>
    <row r="579" ht="15.75" customHeight="1" s="38">
      <c r="A579" s="66" t="inlineStr">
        <is>
          <t>DQS, Detroit Quick Services Ltda.</t>
        </is>
      </c>
      <c r="B579" s="66" t="inlineStr">
        <is>
          <t>Arriendo de Grupos Electrógenos, Reparación de Maquinaria para la Minería</t>
        </is>
      </c>
      <c r="C579" s="66" t="inlineStr">
        <is>
          <t>Iquique</t>
        </is>
      </c>
      <c r="D579" s="66" t="inlineStr">
        <is>
          <t>dqs@dqs.cl</t>
        </is>
      </c>
      <c r="E579" s="66" t="inlineStr">
        <is>
          <t>(56) 57 224 8000</t>
        </is>
      </c>
      <c r="F579" s="66" t="n"/>
      <c r="G579" s="66" t="n"/>
      <c r="H579" s="66" t="n"/>
      <c r="I579" s="66" t="inlineStr">
        <is>
          <t>77.537.180-3</t>
        </is>
      </c>
      <c r="J579" s="66" t="n"/>
      <c r="K579" s="66" t="inlineStr">
        <is>
          <t>Ventas: PEQUEÑA 3 (10.000 - 25.000 UF) | Empleados: 15</t>
        </is>
      </c>
      <c r="L579" s="61" t="n"/>
      <c r="M579" s="61" t="n"/>
      <c r="N579" s="61" t="n"/>
      <c r="O579" s="61" t="n"/>
      <c r="P579" s="61" t="n"/>
      <c r="Q579" s="62" t="n"/>
      <c r="R579" s="61" t="n"/>
    </row>
    <row r="580" ht="15.75" customHeight="1" s="38">
      <c r="A580" s="66" t="inlineStr">
        <is>
          <t>Dreizon Chile SpA</t>
        </is>
      </c>
      <c r="B580" s="66" t="inlineStr">
        <is>
          <t>Cadenas de Transmisión, Correas de Transmisión, Corta Cadenas, Conectores de Cadenas, Poleas, Rodamientos, Servicios de Análisis de Aceites, Sistemas de Filtrado por Sobrepresión para Cabinas, Tensores de Cadenas</t>
        </is>
      </c>
      <c r="C580" s="66" t="inlineStr">
        <is>
          <t>Santiago</t>
        </is>
      </c>
      <c r="D580" s="66" t="inlineStr">
        <is>
          <t>info@dreizon.cl</t>
        </is>
      </c>
      <c r="E580" s="66" t="inlineStr">
        <is>
          <t>(56) 2 3347 3108</t>
        </is>
      </c>
      <c r="F580" s="66" t="n"/>
      <c r="G580" s="66" t="n"/>
      <c r="H580" s="66" t="n"/>
      <c r="I580" s="66" t="inlineStr">
        <is>
          <t>76.986.723-6</t>
        </is>
      </c>
      <c r="J580" s="66" t="n"/>
      <c r="K580" s="66" t="inlineStr">
        <is>
          <t>Ventas: MEDIANA 1 (25.000 - 50.000 UF) | Empleados: 4</t>
        </is>
      </c>
      <c r="L580" s="61" t="n"/>
      <c r="M580" s="61" t="n"/>
      <c r="N580" s="61" t="n"/>
      <c r="O580" s="61" t="n"/>
      <c r="P580" s="61" t="n"/>
      <c r="Q580" s="62" t="n"/>
      <c r="R580" s="61" t="n"/>
    </row>
    <row r="581" ht="15.75" customHeight="1" s="38">
      <c r="A581" s="66" t="inlineStr">
        <is>
          <t>Drillco S.A.</t>
        </is>
      </c>
      <c r="B581" s="66" t="inlineStr">
        <is>
          <t>Brocas</t>
        </is>
      </c>
      <c r="C581" s="66" t="inlineStr">
        <is>
          <t>Santiago</t>
        </is>
      </c>
      <c r="D581" s="66" t="inlineStr">
        <is>
          <t>infochile@drillco.com</t>
        </is>
      </c>
      <c r="E581" s="66" t="inlineStr">
        <is>
          <t>(56) 2 2431 2200</t>
        </is>
      </c>
      <c r="F581" s="66" t="inlineStr">
        <is>
          <t>Gerente de TI / CIO (Director de Tecnología)</t>
        </is>
      </c>
      <c r="G581" s="66" t="n"/>
      <c r="H581" s="66" t="n"/>
      <c r="I581" s="66" t="inlineStr">
        <is>
          <t>88.859.600-3</t>
        </is>
      </c>
      <c r="J581" s="66" t="n"/>
      <c r="K581" s="66" t="inlineStr">
        <is>
          <t>Ventas: GRANDE 4 (Mas de 1.000.000 UF) | Empleados: 141</t>
        </is>
      </c>
      <c r="L581" s="61" t="n"/>
      <c r="M581" s="61" t="n"/>
      <c r="N581" s="61" t="n"/>
      <c r="O581" s="61" t="n"/>
      <c r="P581" s="61" t="n"/>
      <c r="Q581" s="62" t="n"/>
      <c r="R581" s="61" t="n"/>
    </row>
    <row r="582" ht="15.75" customHeight="1" s="38">
      <c r="A582" s="66" t="inlineStr">
        <is>
          <t>Drilling Services &amp; Solutions</t>
        </is>
      </c>
      <c r="B582" s="66" t="inlineStr">
        <is>
          <t>Equipos de Perforación</t>
        </is>
      </c>
      <c r="C582" s="66" t="inlineStr">
        <is>
          <t>Coquimbo</t>
        </is>
      </c>
      <c r="D582" s="66" t="inlineStr">
        <is>
          <t>administracion@dsschile.com</t>
        </is>
      </c>
      <c r="E582" s="66" t="inlineStr">
        <is>
          <t>(56) 9 7698 3741</t>
        </is>
      </c>
      <c r="F582" s="66" t="n"/>
      <c r="G582" s="66" t="n"/>
      <c r="H582" s="66" t="n"/>
      <c r="I582" s="66" t="inlineStr">
        <is>
          <t>77.093.724-8</t>
        </is>
      </c>
      <c r="J582" s="66" t="n"/>
      <c r="K582" s="66" t="inlineStr">
        <is>
          <t>Ventas: GRANDE 2 (200.000 - 600.000 UF) | Empleados: 93</t>
        </is>
      </c>
      <c r="L582" s="61" t="n"/>
      <c r="M582" s="61" t="n"/>
      <c r="N582" s="61" t="n"/>
      <c r="O582" s="61" t="n"/>
      <c r="P582" s="61" t="n"/>
      <c r="Q582" s="62" t="n"/>
      <c r="R582" s="61" t="n"/>
    </row>
    <row r="583" ht="15.75" customHeight="1" s="38">
      <c r="A583" s="66" t="inlineStr">
        <is>
          <t>DRM Chile - DRM Latam Subsuelo Seguro</t>
        </is>
      </c>
      <c r="B583" s="66" t="inlineStr">
        <is>
          <t>Equipos para Geofísica</t>
        </is>
      </c>
      <c r="C583" s="66" t="inlineStr">
        <is>
          <t>Santiago</t>
        </is>
      </c>
      <c r="D583" s="66" t="inlineStr">
        <is>
          <t>alvaro.martinez@drmchile.cl</t>
        </is>
      </c>
      <c r="E583" s="66" t="inlineStr">
        <is>
          <t>(56) 2 2752 7984</t>
        </is>
      </c>
      <c r="F583" s="66" t="n"/>
      <c r="G583" s="66" t="n"/>
      <c r="H583" s="66" t="n"/>
      <c r="I583" s="66" t="inlineStr">
        <is>
          <t>76.357.799-6</t>
        </is>
      </c>
      <c r="J583" s="66" t="n"/>
      <c r="K583" s="66" t="inlineStr">
        <is>
          <t>Ventas: PEQUEÑA 2 (5.000 - 10.000 UF) | Empleados: 1</t>
        </is>
      </c>
      <c r="L583" s="61" t="n"/>
      <c r="M583" s="61" t="n"/>
      <c r="N583" s="61" t="n"/>
      <c r="O583" s="61" t="n"/>
      <c r="P583" s="61" t="n"/>
      <c r="Q583" s="62" t="n"/>
      <c r="R583" s="61" t="n"/>
    </row>
    <row r="584" ht="15.75" customHeight="1" s="38">
      <c r="A584" s="66" t="inlineStr">
        <is>
          <t>Dräger Chile</t>
        </is>
      </c>
      <c r="B584" s="66" t="inlineStr">
        <is>
          <t>Equipos de Emergencia, Equipos de Protección Personal (EPP), Equipos de Protección Respiratoria</t>
        </is>
      </c>
      <c r="C584" s="66" t="inlineStr">
        <is>
          <t>Santiago</t>
        </is>
      </c>
      <c r="D584" s="66" t="inlineStr">
        <is>
          <t>chile@draeger.com</t>
        </is>
      </c>
      <c r="E584" s="66" t="inlineStr">
        <is>
          <t>600 006 0001</t>
        </is>
      </c>
      <c r="F584" s="66" t="inlineStr">
        <is>
          <t>Gerente de TI / CIO (Director de Tecnología)</t>
        </is>
      </c>
      <c r="G584" s="66" t="n"/>
      <c r="H584" s="66" t="n"/>
      <c r="I584" s="66" t="inlineStr">
        <is>
          <t>76.033.880-K</t>
        </is>
      </c>
      <c r="J584" s="66" t="n"/>
      <c r="K584" s="66" t="inlineStr">
        <is>
          <t>Ventas: GRANDE 4 (Mas de 1.000.000 UF) | Empleados: 143</t>
        </is>
      </c>
      <c r="L584" s="61" t="n"/>
      <c r="M584" s="61" t="n"/>
      <c r="N584" s="61" t="n"/>
      <c r="O584" s="61" t="n"/>
      <c r="P584" s="61" t="n"/>
      <c r="Q584" s="62" t="n"/>
      <c r="R584" s="61" t="n"/>
    </row>
    <row r="585" ht="15.75" customHeight="1" s="38">
      <c r="A585" s="66" t="inlineStr">
        <is>
          <t>DSV Chile</t>
        </is>
      </c>
      <c r="B585" s="66" t="inlineStr">
        <is>
          <t>Transporte Internacional</t>
        </is>
      </c>
      <c r="C585" s="66" t="inlineStr">
        <is>
          <t>Santiago</t>
        </is>
      </c>
      <c r="D585" s="66" t="inlineStr">
        <is>
          <t>elizabeth.cabello@cl.dsv.com</t>
        </is>
      </c>
      <c r="E585" s="66" t="inlineStr">
        <is>
          <t>(56) 2 2483 1900</t>
        </is>
      </c>
      <c r="F585" s="66" t="n"/>
      <c r="G585" s="66" t="n"/>
      <c r="H585" s="66" t="n"/>
      <c r="I585" s="66" t="inlineStr">
        <is>
          <t>96.570.750-6</t>
        </is>
      </c>
      <c r="J585" s="66" t="n"/>
      <c r="K585" s="66" t="inlineStr">
        <is>
          <t>Ventas: GRANDE (Estimado por Empleados) | Empleados: 241</t>
        </is>
      </c>
      <c r="L585" s="61" t="n"/>
      <c r="M585" s="61" t="n"/>
      <c r="N585" s="61" t="n"/>
      <c r="O585" s="61" t="n"/>
      <c r="P585" s="61" t="n"/>
      <c r="Q585" s="62" t="n"/>
      <c r="R585" s="61" t="n"/>
    </row>
    <row r="586" ht="15.75" customHeight="1" s="38">
      <c r="A586" s="66" t="inlineStr">
        <is>
          <t>DT Hi-Load</t>
        </is>
      </c>
      <c r="B586" s="66" t="inlineStr">
        <is>
          <t>Proveedor Destacado, Baldes, Tolvas y Palas para Maquinaria Pesada, Componentes para Equipos Mineros, Equipamiento para Carguío, Equipos para la Minería, Equipos para Movimineto de Tierra, Tolvas, Tolvas para Camiones</t>
        </is>
      </c>
      <c r="C586" s="66" t="inlineStr">
        <is>
          <t>Santiago</t>
        </is>
      </c>
      <c r="D586" s="66" t="inlineStr">
        <is>
          <t>contact@dthi-load.com</t>
        </is>
      </c>
      <c r="E586" s="66" t="inlineStr">
        <is>
          <t>(56) 2 2365 3301</t>
        </is>
      </c>
      <c r="F586" s="66" t="n"/>
      <c r="G586" s="66" t="n"/>
      <c r="H586" s="66" t="inlineStr">
        <is>
          <t>http://www.dthi-load.com</t>
        </is>
      </c>
      <c r="I586" s="66" t="inlineStr">
        <is>
          <t>96.780.490-8</t>
        </is>
      </c>
      <c r="J586" s="66" t="n"/>
      <c r="K586" s="66" t="inlineStr">
        <is>
          <t>Ventas: MEDIANA (Estimado por Empleados) | Empleados: 180</t>
        </is>
      </c>
      <c r="L586" s="61" t="n"/>
      <c r="M586" s="61" t="n"/>
      <c r="N586" s="61" t="n"/>
      <c r="O586" s="61" t="n"/>
      <c r="P586" s="61" t="n"/>
      <c r="Q586" s="62" t="n"/>
      <c r="R586" s="61" t="n"/>
    </row>
    <row r="587" ht="15.75" customHeight="1" s="38">
      <c r="A587" s="66" t="inlineStr">
        <is>
          <t>DTS</t>
        </is>
      </c>
      <c r="B587" s="66" t="inlineStr">
        <is>
          <t>Bancos de Pruebas</t>
        </is>
      </c>
      <c r="C587" s="66" t="inlineStr">
        <is>
          <t>Santiago</t>
        </is>
      </c>
      <c r="D587" s="66" t="inlineStr">
        <is>
          <t>info@dts.cl</t>
        </is>
      </c>
      <c r="E587" s="66" t="inlineStr">
        <is>
          <t>(56) 2 2397 1000</t>
        </is>
      </c>
      <c r="F587" s="66" t="n"/>
      <c r="G587" s="66" t="n"/>
      <c r="H587" s="66" t="n"/>
      <c r="I587" s="66" t="inlineStr">
        <is>
          <t>78.080.440-8</t>
        </is>
      </c>
      <c r="J587" s="66" t="n"/>
      <c r="K587" s="66" t="inlineStr">
        <is>
          <t>Ventas: GRANDE 3 (600.000 - 1.000.000 UF) | Empleados: 243</t>
        </is>
      </c>
      <c r="L587" s="61" t="n"/>
      <c r="M587" s="61" t="n"/>
      <c r="N587" s="61" t="n"/>
      <c r="O587" s="61" t="n"/>
      <c r="P587" s="61" t="n"/>
      <c r="Q587" s="62" t="n"/>
      <c r="R587" s="61" t="n"/>
    </row>
    <row r="588" ht="15.75" customHeight="1" s="38">
      <c r="A588" s="66" t="inlineStr">
        <is>
          <t>Ducasse Comercial Ltda.</t>
        </is>
      </c>
      <c r="B588" s="66" t="inlineStr">
        <is>
          <t>Rodamientos</t>
        </is>
      </c>
      <c r="C588" s="66" t="inlineStr">
        <is>
          <t>Santiago</t>
        </is>
      </c>
      <c r="D588" s="66" t="inlineStr">
        <is>
          <t>contacto@ducasse.cl</t>
        </is>
      </c>
      <c r="E588" s="66" t="inlineStr">
        <is>
          <t>(56) 2 2355 7000</t>
        </is>
      </c>
      <c r="F588" s="66" t="n"/>
      <c r="G588" s="66" t="n"/>
      <c r="H588" s="66" t="n"/>
      <c r="I588" s="66" t="inlineStr">
        <is>
          <t>93.441.000-9</t>
        </is>
      </c>
      <c r="J588" s="66" t="n"/>
      <c r="K588" s="66" t="inlineStr">
        <is>
          <t>Ventas: GRANDE (Estimado por Empleados) | Empleados: 334</t>
        </is>
      </c>
      <c r="L588" s="61" t="n"/>
      <c r="M588" s="61" t="n"/>
      <c r="N588" s="61" t="n"/>
      <c r="O588" s="61" t="n"/>
      <c r="P588" s="61" t="n"/>
      <c r="Q588" s="62" t="n"/>
      <c r="R588" s="61" t="n"/>
    </row>
    <row r="589" ht="15.75" customHeight="1" s="38">
      <c r="A589" s="66" t="inlineStr">
        <is>
          <t>Duhovit Ingeniería</t>
        </is>
      </c>
      <c r="B589" s="66" t="inlineStr">
        <is>
          <t>Plataformas Informáticas, Servicios de Ingeniería</t>
        </is>
      </c>
      <c r="C589" s="66" t="inlineStr">
        <is>
          <t>Antofagasta</t>
        </is>
      </c>
      <c r="D589" s="66" t="inlineStr">
        <is>
          <t>lvaldebenito@duhovitingenieria.cl</t>
        </is>
      </c>
      <c r="E589" s="66" t="inlineStr">
        <is>
          <t>(56) 9 8149 7708</t>
        </is>
      </c>
      <c r="F589" s="66" t="n"/>
      <c r="G589" s="66" t="n"/>
      <c r="H589" s="66" t="n"/>
      <c r="I589" s="66" t="inlineStr">
        <is>
          <t>76928328-5</t>
        </is>
      </c>
      <c r="J589" s="66" t="n"/>
      <c r="K589" s="66" t="inlineStr">
        <is>
          <t>Ventas: MEDIANA 1 (25.000 - 50.000 UF) | Empleados: 23</t>
        </is>
      </c>
      <c r="L589" s="61" t="n"/>
      <c r="M589" s="61" t="n"/>
      <c r="N589" s="61" t="n"/>
      <c r="O589" s="61" t="n"/>
      <c r="P589" s="61" t="n"/>
      <c r="Q589" s="62" t="n"/>
      <c r="R589" s="61" t="n"/>
    </row>
    <row r="590" ht="15.75" customHeight="1" s="38">
      <c r="A590" s="66" t="inlineStr">
        <is>
          <t>Duncan Ingeniería Industrial Ltda.</t>
        </is>
      </c>
      <c r="B590" s="66" t="inlineStr">
        <is>
          <t>Bombas, Compresores</t>
        </is>
      </c>
      <c r="C590" s="66" t="inlineStr">
        <is>
          <t>Antofagasta</t>
        </is>
      </c>
      <c r="D590" s="66" t="inlineStr">
        <is>
          <t>jduncan@duncaningenieria.cl</t>
        </is>
      </c>
      <c r="E590" s="66" t="inlineStr">
        <is>
          <t>(56) 55 223 1016</t>
        </is>
      </c>
      <c r="F590" s="66" t="n"/>
      <c r="G590" s="66" t="n"/>
      <c r="H590" s="66" t="n"/>
      <c r="I590" s="66" t="inlineStr">
        <is>
          <t>77.268.080-5</t>
        </is>
      </c>
      <c r="J590" s="66" t="n"/>
      <c r="K590" s="66" t="inlineStr">
        <is>
          <t>Ventas: MICRO 1 (0.01 - 200 UF) | Empleados: 0</t>
        </is>
      </c>
      <c r="L590" s="61" t="n"/>
      <c r="M590" s="61" t="n"/>
      <c r="N590" s="61" t="n"/>
      <c r="O590" s="61" t="n"/>
      <c r="P590" s="61" t="n"/>
      <c r="Q590" s="62" t="n"/>
      <c r="R590" s="61" t="n"/>
    </row>
    <row r="591" ht="15.75" customHeight="1" s="38">
      <c r="A591" s="66" t="inlineStr">
        <is>
          <t>Duplex S.A.</t>
        </is>
      </c>
      <c r="B591" s="66" t="inlineStr">
        <is>
          <t>Ascensores</t>
        </is>
      </c>
      <c r="C591" s="66" t="inlineStr">
        <is>
          <t>Santiago</t>
        </is>
      </c>
      <c r="D591" s="66" t="inlineStr">
        <is>
          <t>llacerna@duplexchile.cl</t>
        </is>
      </c>
      <c r="E591" s="66" t="inlineStr">
        <is>
          <t>(56) 2 2758 3315</t>
        </is>
      </c>
      <c r="F591" s="66" t="n"/>
      <c r="G591" s="66" t="n"/>
      <c r="H591" s="66" t="n"/>
      <c r="I591" s="66" t="inlineStr">
        <is>
          <t>96.933.760-6</t>
        </is>
      </c>
      <c r="J591" s="66" t="n"/>
      <c r="K591" s="66" t="inlineStr">
        <is>
          <t>Ventas: GRANDE 1 (100.000 - 200.000 UF) | Empleados: 74</t>
        </is>
      </c>
      <c r="L591" s="61" t="n"/>
      <c r="M591" s="61" t="n"/>
      <c r="N591" s="61" t="n"/>
      <c r="O591" s="61" t="n"/>
      <c r="P591" s="61" t="n"/>
      <c r="Q591" s="62" t="n"/>
      <c r="R591" s="61" t="n"/>
    </row>
    <row r="592" ht="15.75" customHeight="1" s="38">
      <c r="A592" s="66" t="inlineStr">
        <is>
          <t>DuPont</t>
        </is>
      </c>
      <c r="B592" s="66" t="inlineStr">
        <is>
          <t>Equipos para Protección Personal, Ropa para Protección contra Fuego, Ropa para Seguridad</t>
        </is>
      </c>
      <c r="C592" s="66" t="inlineStr">
        <is>
          <t>Santiago</t>
        </is>
      </c>
      <c r="D592" s="66" t="inlineStr">
        <is>
          <t>info.argentina@arg.dupont.com</t>
        </is>
      </c>
      <c r="E592" s="66" t="inlineStr">
        <is>
          <t>(56) 2 2362 2200</t>
        </is>
      </c>
      <c r="F592" s="66" t="n"/>
      <c r="G592" s="66" t="n"/>
      <c r="H592" s="66" t="n"/>
      <c r="I592" s="66" t="inlineStr">
        <is>
          <t>96.783.280-4</t>
        </is>
      </c>
      <c r="J592" s="66" t="n"/>
      <c r="K592" s="66" t="inlineStr">
        <is>
          <t>Ventas: MEDIANA 2 (50.000 - 100.000 UF) | Empleados: 7</t>
        </is>
      </c>
      <c r="L592" s="61" t="n"/>
      <c r="M592" s="61" t="n"/>
      <c r="N592" s="61" t="n"/>
      <c r="O592" s="61" t="n"/>
      <c r="P592" s="61" t="n"/>
      <c r="Q592" s="62" t="n"/>
      <c r="R592" s="61" t="n"/>
    </row>
    <row r="593" ht="15.75" customHeight="1" s="38">
      <c r="A593" s="66" t="inlineStr">
        <is>
          <t>Dust Control S.A.</t>
        </is>
      </c>
      <c r="B593" s="66" t="inlineStr">
        <is>
          <t>Equipos para Control de Emisiones, Supresión de Polvo</t>
        </is>
      </c>
      <c r="C593" s="66" t="inlineStr">
        <is>
          <t>Santiago</t>
        </is>
      </c>
      <c r="D593" s="66" t="inlineStr">
        <is>
          <t>consultas@dustcontrol.cl</t>
        </is>
      </c>
      <c r="E593" s="66" t="inlineStr">
        <is>
          <t>(56) 2 2236 4876</t>
        </is>
      </c>
      <c r="F593" s="66" t="n"/>
      <c r="G593" s="66" t="n"/>
      <c r="H593" s="66" t="n"/>
      <c r="I593" s="66" t="inlineStr">
        <is>
          <t>78.895.370-4</t>
        </is>
      </c>
      <c r="J593" s="66" t="n"/>
      <c r="K593" s="66" t="inlineStr">
        <is>
          <t>Ventas: MICRO 2 (200 - 600 UF) | Empleados: 0</t>
        </is>
      </c>
      <c r="L593" s="61" t="n"/>
      <c r="M593" s="61" t="n"/>
      <c r="N593" s="61" t="n"/>
      <c r="O593" s="61" t="n"/>
      <c r="P593" s="61" t="n"/>
      <c r="Q593" s="62" t="n"/>
      <c r="R593" s="61" t="n"/>
    </row>
    <row r="594" ht="15.75" customHeight="1" s="38">
      <c r="A594" s="66" t="inlineStr">
        <is>
          <t>Dutch Holding</t>
        </is>
      </c>
      <c r="B594" s="66" t="inlineStr">
        <is>
          <t>Equipos para Microfiltrado, Sistemas para Control de Contaminantes Ambientales</t>
        </is>
      </c>
      <c r="C594" s="66" t="inlineStr">
        <is>
          <t>Santiago</t>
        </is>
      </c>
      <c r="D594" s="66" t="inlineStr">
        <is>
          <t>ventas@dutchholding.cl</t>
        </is>
      </c>
      <c r="E594" s="66" t="inlineStr">
        <is>
          <t>(56) 2 2201 2655</t>
        </is>
      </c>
      <c r="F594" s="66" t="n"/>
      <c r="G594" s="66" t="n"/>
      <c r="H594" s="66" t="n"/>
      <c r="I594" s="66" t="inlineStr">
        <is>
          <t>96.715.100-9</t>
        </is>
      </c>
      <c r="J594" s="66" t="n"/>
      <c r="K594" s="66" t="inlineStr">
        <is>
          <t>Ventas: MEDIANA 1 (25.000 - 50.000 UF) | Empleados: 2</t>
        </is>
      </c>
      <c r="L594" s="61" t="n"/>
      <c r="M594" s="61" t="n"/>
      <c r="N594" s="61" t="n"/>
      <c r="O594" s="61" t="n"/>
      <c r="P594" s="61" t="n"/>
      <c r="Q594" s="62" t="n"/>
      <c r="R594" s="61" t="n"/>
    </row>
    <row r="595" ht="15.75" customHeight="1" s="38">
      <c r="A595" s="66" t="inlineStr">
        <is>
          <t>Duxiter</t>
        </is>
      </c>
      <c r="B595" s="66" t="inlineStr">
        <is>
          <t>Proveedor Destacado, Portal de Negocios y Abastecimiento</t>
        </is>
      </c>
      <c r="C595" s="66" t="inlineStr">
        <is>
          <t>Santiago</t>
        </is>
      </c>
      <c r="D595" s="66" t="inlineStr">
        <is>
          <t>contacto@duxiter.cl</t>
        </is>
      </c>
      <c r="E595" s="66" t="inlineStr">
        <is>
          <t>(56) 2 3358 0539</t>
        </is>
      </c>
      <c r="F595" s="66" t="n"/>
      <c r="G595" s="66" t="n"/>
      <c r="H595" s="66" t="inlineStr">
        <is>
          <t>http://www.duxiter.cl</t>
        </is>
      </c>
      <c r="I595" s="66" t="inlineStr">
        <is>
          <t>77.486.093-2</t>
        </is>
      </c>
      <c r="J595" s="66" t="n"/>
      <c r="K595" s="66" t="inlineStr">
        <is>
          <t>Ventas: MICRO 3 (600 - 2.400 UF) | Empleados: 5</t>
        </is>
      </c>
      <c r="L595" s="61" t="n"/>
      <c r="M595" s="61" t="n"/>
      <c r="N595" s="61" t="n"/>
      <c r="O595" s="61" t="n"/>
      <c r="P595" s="61" t="n"/>
      <c r="Q595" s="62" t="n"/>
      <c r="R595" s="61" t="n"/>
    </row>
    <row r="596" ht="15.75" customHeight="1" s="38">
      <c r="A596" s="66" t="inlineStr">
        <is>
          <t>DV Drilling E.I.R.L.</t>
        </is>
      </c>
      <c r="B596" s="66" t="inlineStr">
        <is>
          <t>Captación de Aguas Subterráneas</t>
        </is>
      </c>
      <c r="C596" s="66" t="inlineStr">
        <is>
          <t>Coquimbo</t>
        </is>
      </c>
      <c r="D596" s="66" t="inlineStr">
        <is>
          <t>info@dvdrilling.cl</t>
        </is>
      </c>
      <c r="E596" s="66" t="inlineStr">
        <is>
          <t>(56) 51 224 7900</t>
        </is>
      </c>
      <c r="F596" s="66" t="n"/>
      <c r="G596" s="66" t="n"/>
      <c r="H596" s="66" t="n"/>
      <c r="I596" s="66" t="inlineStr">
        <is>
          <t>76.637.910-9</t>
        </is>
      </c>
      <c r="J596" s="66" t="n"/>
      <c r="K596" s="66" t="inlineStr">
        <is>
          <t>Ventas: GRANDE 2 (200.000 - 600.000 UF) | Empleados: 171</t>
        </is>
      </c>
      <c r="L596" s="61" t="n"/>
      <c r="M596" s="61" t="n"/>
      <c r="N596" s="61" t="n"/>
      <c r="O596" s="61" t="n"/>
      <c r="P596" s="61" t="n"/>
      <c r="Q596" s="62" t="n"/>
      <c r="R596" s="61" t="n"/>
    </row>
    <row r="597" ht="15.75" customHeight="1" s="38">
      <c r="A597" s="66" t="inlineStr">
        <is>
          <t>DVP, de Vicente Plásticos S.A.</t>
        </is>
      </c>
      <c r="B597" s="66" t="inlineStr">
        <is>
          <t>Policarbonatos, Productos de Plástico</t>
        </is>
      </c>
      <c r="C597" s="66" t="inlineStr">
        <is>
          <t>Santiago</t>
        </is>
      </c>
      <c r="D597" s="66" t="inlineStr">
        <is>
          <t>recepcion@dvp.cl</t>
        </is>
      </c>
      <c r="E597" s="66" t="inlineStr">
        <is>
          <t>(56) 2 2392 0000</t>
        </is>
      </c>
      <c r="F597" s="66" t="n"/>
      <c r="G597" s="66" t="n"/>
      <c r="H597" s="66" t="n"/>
      <c r="I597" s="66" t="inlineStr">
        <is>
          <t>89.689.900-7</t>
        </is>
      </c>
      <c r="J597" s="66" t="n"/>
      <c r="K597" s="66" t="inlineStr">
        <is>
          <t>Ventas: GRANDE (Estimado por Empleados) | Empleados: 838</t>
        </is>
      </c>
      <c r="L597" s="61" t="n"/>
      <c r="M597" s="61" t="n"/>
      <c r="N597" s="61" t="n"/>
      <c r="O597" s="61" t="n"/>
      <c r="P597" s="61" t="n"/>
      <c r="Q597" s="62" t="n"/>
      <c r="R597" s="61" t="n"/>
    </row>
    <row r="598" ht="15.75" customHeight="1" s="38">
      <c r="A598" s="66" t="inlineStr">
        <is>
          <t>Dynal Industrial S.A.</t>
        </is>
      </c>
      <c r="B598" s="66" t="inlineStr">
        <is>
          <t>Revestimientos Antiácidos</t>
        </is>
      </c>
      <c r="C598" s="66" t="inlineStr">
        <is>
          <t>Santiago</t>
        </is>
      </c>
      <c r="D598" s="66" t="inlineStr">
        <is>
          <t>info@dynal.cl</t>
        </is>
      </c>
      <c r="E598" s="66" t="inlineStr">
        <is>
          <t>(56) 2 2478 2000</t>
        </is>
      </c>
      <c r="F598" s="66" t="n"/>
      <c r="G598" s="66" t="n"/>
      <c r="H598" s="66" t="n"/>
      <c r="I598" s="66" t="inlineStr">
        <is>
          <t>92.264.000-9</t>
        </is>
      </c>
      <c r="J598" s="66" t="n"/>
      <c r="K598" s="66" t="inlineStr">
        <is>
          <t>Ventas: GRANDE (Estimado por Empleados) | Empleados: 224</t>
        </is>
      </c>
      <c r="L598" s="61" t="n"/>
      <c r="M598" s="61" t="n"/>
      <c r="N598" s="61" t="n"/>
      <c r="O598" s="61" t="n"/>
      <c r="P598" s="61" t="n"/>
      <c r="Q598" s="62" t="n"/>
      <c r="R598" s="61" t="n"/>
    </row>
    <row r="599" ht="15.75" customHeight="1" s="38">
      <c r="A599" s="66" t="inlineStr">
        <is>
          <t>Dynamo Ingeniería y Servicios SpA</t>
        </is>
      </c>
      <c r="B599" s="66" t="inlineStr">
        <is>
          <t>Controles Electrónicos, Reparación de Equipos Mineros</t>
        </is>
      </c>
      <c r="C599" s="66" t="inlineStr">
        <is>
          <t>Antofagasta</t>
        </is>
      </c>
      <c r="D599" s="66" t="inlineStr">
        <is>
          <t>jorge.cabezas@dynamospa.cl</t>
        </is>
      </c>
      <c r="E599" s="66" t="inlineStr">
        <is>
          <t>(56) 9 9161 6416</t>
        </is>
      </c>
      <c r="F599" s="66" t="n"/>
      <c r="G599" s="66" t="n"/>
      <c r="H599" s="66" t="n"/>
      <c r="I599" s="66" t="inlineStr">
        <is>
          <t>76874971-K</t>
        </is>
      </c>
      <c r="J599" s="66" t="n"/>
      <c r="K599" s="66" t="inlineStr">
        <is>
          <t>Ventas: GRANDE 1 (100.000 - 200.000 UF) | Empleados: 17</t>
        </is>
      </c>
      <c r="L599" s="61" t="n"/>
      <c r="M599" s="61" t="n"/>
      <c r="N599" s="61" t="n"/>
      <c r="O599" s="61" t="n"/>
      <c r="P599" s="61" t="n"/>
      <c r="Q599" s="62" t="n"/>
      <c r="R599" s="61" t="n"/>
    </row>
    <row r="600" ht="15.75" customHeight="1" s="38">
      <c r="A600" s="59" t="inlineStr">
        <is>
          <t>Dyno Nobel Explosivos Chile</t>
        </is>
      </c>
      <c r="B600" s="59" t="inlineStr">
        <is>
          <t>Proveedor Destacado, Administración de Polvorines, Asistencia Técnica de Tronadura, Asistencia Técnica Geomecánica, Servicios de Tronadura</t>
        </is>
      </c>
      <c r="C600" s="59" t="inlineStr">
        <is>
          <t>Santiago</t>
        </is>
      </c>
      <c r="D600" s="59" t="inlineStr">
        <is>
          <t>infocomercial@dnec.cl</t>
        </is>
      </c>
      <c r="E600" s="59" t="inlineStr">
        <is>
          <t>(56) 9 3924 1455</t>
        </is>
      </c>
      <c r="F600" s="59" t="inlineStr">
        <is>
          <t>Julio Solari (CIO &amp; CISO)</t>
        </is>
      </c>
      <c r="G600" s="59" t="inlineStr">
        <is>
          <t>julio.solari@am.dynonobel.com</t>
        </is>
      </c>
      <c r="H600" s="59" t="inlineStr">
        <is>
          <t>http://www.dynonobel.lat</t>
        </is>
      </c>
      <c r="I600" s="59" t="inlineStr">
        <is>
          <t>76.040.923-5</t>
        </is>
      </c>
      <c r="J600" s="59" t="inlineStr">
        <is>
          <t>Cibersegurida Industrial</t>
        </is>
      </c>
      <c r="K600" s="59" t="inlineStr">
        <is>
          <t>Ventas: GRANDE 4 (Mas de 1.000.000 UF) | Empleados: 158</t>
        </is>
      </c>
      <c r="L600" s="61" t="n"/>
      <c r="M600" s="61" t="n"/>
      <c r="N600" s="61" t="n"/>
      <c r="O600" s="61" t="n"/>
      <c r="P600" s="61" t="n"/>
      <c r="Q600" s="62" t="n"/>
      <c r="R600" s="61" t="n"/>
    </row>
    <row r="601" ht="15.75" customHeight="1" s="38">
      <c r="A601" s="66" t="inlineStr">
        <is>
          <t>Eagle Copters</t>
        </is>
      </c>
      <c r="B601" s="66" t="inlineStr">
        <is>
          <t>Accesorios para Helicópteros, Arriendo de Helicópteros, Venta de Helicópteros</t>
        </is>
      </c>
      <c r="C601" s="66" t="inlineStr">
        <is>
          <t>Santiago</t>
        </is>
      </c>
      <c r="D601" s="66" t="inlineStr">
        <is>
          <t>info@eaglecopters.cl</t>
        </is>
      </c>
      <c r="E601" s="66" t="inlineStr">
        <is>
          <t>(56) 2 2948 3200</t>
        </is>
      </c>
      <c r="F601" s="66" t="n"/>
      <c r="G601" s="66" t="n"/>
      <c r="H601" s="66" t="n"/>
      <c r="I601" s="66" t="inlineStr">
        <is>
          <t>96.919.400-7</t>
        </is>
      </c>
      <c r="J601" s="66" t="n"/>
      <c r="K601" s="66" t="inlineStr">
        <is>
          <t>Ventas: GRANDE 3 (600.000 - 1.000.000 UF) | Empleados: 5</t>
        </is>
      </c>
      <c r="L601" s="61" t="n"/>
      <c r="M601" s="61" t="n"/>
      <c r="N601" s="61" t="n"/>
      <c r="O601" s="61" t="n"/>
      <c r="P601" s="61" t="n"/>
      <c r="Q601" s="62" t="n"/>
      <c r="R601" s="61" t="n"/>
    </row>
    <row r="602" ht="15.75" customHeight="1" s="38">
      <c r="A602" s="66" t="inlineStr">
        <is>
          <t>Eagle LIF Ltda.</t>
        </is>
      </c>
      <c r="B602" s="66" t="inlineStr">
        <is>
          <t>Aerofotogrametría, Drones, Topografía</t>
        </is>
      </c>
      <c r="C602" s="66" t="inlineStr">
        <is>
          <t>Santiago</t>
        </is>
      </c>
      <c r="D602" s="66" t="inlineStr">
        <is>
          <t>gsv@eaglelif.cl</t>
        </is>
      </c>
      <c r="E602" s="66" t="inlineStr">
        <is>
          <t>(56) 2 2839 5857</t>
        </is>
      </c>
      <c r="F602" s="66" t="n"/>
      <c r="G602" s="66" t="n"/>
      <c r="H602" s="66" t="n"/>
      <c r="I602" s="66" t="inlineStr">
        <is>
          <t>76.075.474-9</t>
        </is>
      </c>
      <c r="J602" s="66" t="n"/>
      <c r="K602" s="66" t="inlineStr">
        <is>
          <t>Ventas: PEQUEÑA 2 (5.000 - 10.000 UF) | Empleados: 2</t>
        </is>
      </c>
      <c r="L602" s="61" t="n"/>
      <c r="M602" s="61" t="n"/>
      <c r="N602" s="61" t="n"/>
      <c r="O602" s="61" t="n"/>
      <c r="P602" s="61" t="n"/>
      <c r="Q602" s="62" t="n"/>
      <c r="R602" s="61" t="n"/>
    </row>
    <row r="603" ht="15.75" customHeight="1" s="38">
      <c r="A603" s="66" t="inlineStr">
        <is>
          <t>EagleBurgmann</t>
        </is>
      </c>
      <c r="B603" s="66" t="inlineStr">
        <is>
          <t>Proveedor Destacado, Protectores de Rodamientos, Sellos Mecánicos nuevos para Bombas Centrífugas, Sellos Mecánicos nuevos para Bombas de Pulpa Minera, Sellos Mecánicos nuevos para Mezcladores, Sellos Mecánicos nuevos para Reactores, Servicios de Reparación de Sellos Mecánicos, Sistemas de Soporte para Sellos Mecánicos (Planes API)</t>
        </is>
      </c>
      <c r="C603" s="66" t="inlineStr">
        <is>
          <t>Santiago</t>
        </is>
      </c>
      <c r="D603" s="66" t="inlineStr">
        <is>
          <t>contacto@eagleburgmann.com</t>
        </is>
      </c>
      <c r="E603" s="66" t="inlineStr">
        <is>
          <t>(56) 2 2948 8400</t>
        </is>
      </c>
      <c r="F603" s="66" t="n"/>
      <c r="G603" s="66" t="n"/>
      <c r="H603" s="66" t="inlineStr">
        <is>
          <t>http://www.eagleburgmann.com/de</t>
        </is>
      </c>
      <c r="I603" s="66" t="inlineStr">
        <is>
          <t>59.169.210-0</t>
        </is>
      </c>
      <c r="J603" s="66" t="n"/>
      <c r="K603" s="66" t="inlineStr">
        <is>
          <t>Ventas: GRANDE 1 (100.000 - 200.000 UF) | Empleados: 14</t>
        </is>
      </c>
      <c r="L603" s="61" t="n"/>
      <c r="M603" s="61" t="n"/>
      <c r="N603" s="61" t="n"/>
      <c r="O603" s="61" t="n"/>
      <c r="P603" s="61" t="n"/>
      <c r="Q603" s="62" t="n"/>
      <c r="R603" s="61" t="n"/>
    </row>
    <row r="604" ht="15.75" customHeight="1" s="38">
      <c r="A604" s="59" t="inlineStr">
        <is>
          <t>Eaton Chile</t>
        </is>
      </c>
      <c r="B604" s="59" t="inlineStr">
        <is>
          <t>Salas Eléctricas, Tableros Eléctricos</t>
        </is>
      </c>
      <c r="C604" s="59" t="inlineStr">
        <is>
          <t>Santiago</t>
        </is>
      </c>
      <c r="D604" s="59" t="inlineStr">
        <is>
          <t>RauliToro@eaton.com</t>
        </is>
      </c>
      <c r="E604" s="59" t="inlineStr">
        <is>
          <t>(56) 2 2640 8165</t>
        </is>
      </c>
      <c r="F604" s="59" t="inlineStr">
        <is>
          <t>Miguel Gonzalez Moraga (Project Manager)</t>
        </is>
      </c>
      <c r="G604" s="59" t="n"/>
      <c r="H604" s="59" t="n"/>
      <c r="I604" s="59" t="inlineStr">
        <is>
          <t>76.103.571-1</t>
        </is>
      </c>
      <c r="J604" s="59" t="inlineStr">
        <is>
          <t>Fabricación Electrónica para Proyectos EPC</t>
        </is>
      </c>
      <c r="K604" s="59" t="inlineStr">
        <is>
          <t>Ventas: GRANDE (Estimado por Empleados) | Empleados: 437</t>
        </is>
      </c>
      <c r="L604" s="61" t="n"/>
      <c r="M604" s="61" t="n"/>
      <c r="N604" s="61" t="n"/>
      <c r="O604" s="61" t="n"/>
      <c r="P604" s="61" t="n"/>
      <c r="Q604" s="62" t="n"/>
      <c r="R604" s="61" t="n"/>
    </row>
    <row r="605" ht="15.75" customHeight="1" s="38">
      <c r="A605" s="66" t="inlineStr">
        <is>
          <t>Ebco S.A.</t>
        </is>
      </c>
      <c r="B605" s="66" t="inlineStr">
        <is>
          <t>Construcción de Obras Eléctricas, Construcción de Obras para Telecomunicaciones, Proyectos Fotovoltaicos</t>
        </is>
      </c>
      <c r="C605" s="66" t="inlineStr">
        <is>
          <t>Santiago</t>
        </is>
      </c>
      <c r="D605" s="66" t="inlineStr">
        <is>
          <t>contacto@ebco.cl</t>
        </is>
      </c>
      <c r="E605" s="66" t="inlineStr">
        <is>
          <t>(56) 2 2464 4700</t>
        </is>
      </c>
      <c r="F605" s="66" t="n"/>
      <c r="G605" s="66" t="n"/>
      <c r="H605" s="66" t="n"/>
      <c r="I605" s="66" t="inlineStr">
        <is>
          <t>76525290-3</t>
        </is>
      </c>
      <c r="J605" s="66" t="n"/>
      <c r="K605" s="66" t="inlineStr">
        <is>
          <t>Ventas: GRANDE (Estimado por Empleados) | Empleados: 14994</t>
        </is>
      </c>
      <c r="L605" s="61" t="n"/>
      <c r="M605" s="61" t="n"/>
      <c r="N605" s="61" t="n"/>
      <c r="O605" s="61" t="n"/>
      <c r="P605" s="61" t="n"/>
      <c r="Q605" s="62" t="n"/>
      <c r="R605" s="61" t="n"/>
    </row>
    <row r="606" ht="15.75" customHeight="1" s="38">
      <c r="A606" s="66" t="inlineStr">
        <is>
          <t>Ebro Stafsjö Valves Chile Ltda.</t>
        </is>
      </c>
      <c r="B606" s="66" t="inlineStr">
        <is>
          <t>Actuadores Neumáticos y Eléctricos, Válvulas de Cuchillo, Válvulas de Mariposa</t>
        </is>
      </c>
      <c r="C606" s="66" t="inlineStr">
        <is>
          <t>Santiago</t>
        </is>
      </c>
      <c r="D606" s="66" t="inlineStr">
        <is>
          <t>ventas@ebro-stafsjo.cl</t>
        </is>
      </c>
      <c r="E606" s="66" t="inlineStr">
        <is>
          <t>(56) 2 2739 3040</t>
        </is>
      </c>
      <c r="F606" s="66" t="n"/>
      <c r="G606" s="66" t="n"/>
      <c r="H606" s="66" t="n"/>
      <c r="I606" s="66" t="inlineStr">
        <is>
          <t>76.048.348-6</t>
        </is>
      </c>
      <c r="J606" s="66" t="n"/>
      <c r="K606" s="66" t="inlineStr">
        <is>
          <t>Ventas: GRANDE 1 (100.000 - 200.000 UF) | Empleados: 16</t>
        </is>
      </c>
      <c r="L606" s="61" t="n"/>
      <c r="M606" s="61" t="n"/>
      <c r="N606" s="61" t="n"/>
      <c r="O606" s="61" t="n"/>
      <c r="P606" s="61" t="n"/>
      <c r="Q606" s="62" t="n"/>
      <c r="R606" s="61" t="n"/>
    </row>
    <row r="607" ht="15.75" customHeight="1" s="38">
      <c r="A607" s="66" t="inlineStr">
        <is>
          <t>Ecex Minería S.A.</t>
        </is>
      </c>
      <c r="B607" s="66" t="inlineStr">
        <is>
          <t>Cargadores Frontales</t>
        </is>
      </c>
      <c r="C607" s="66" t="inlineStr">
        <is>
          <t>Santiago</t>
        </is>
      </c>
      <c r="D607" s="66" t="inlineStr">
        <is>
          <t>cplummer@ecex.cl</t>
        </is>
      </c>
      <c r="E607" s="66" t="inlineStr">
        <is>
          <t>(56) 2 2594 6612</t>
        </is>
      </c>
      <c r="F607" s="66" t="n"/>
      <c r="G607" s="66" t="n"/>
      <c r="H607" s="66" t="n"/>
      <c r="I607" s="66" t="inlineStr">
        <is>
          <t>76.120.362-2</t>
        </is>
      </c>
      <c r="J607" s="66" t="n"/>
      <c r="K607" s="66" t="inlineStr">
        <is>
          <t>Ventas: MICRO 1 (0.01 - 200 UF) | Empleados: 0</t>
        </is>
      </c>
      <c r="L607" s="61" t="n"/>
      <c r="M607" s="61" t="n"/>
      <c r="N607" s="61" t="n"/>
      <c r="O607" s="61" t="n"/>
      <c r="P607" s="61" t="n"/>
      <c r="Q607" s="62" t="n"/>
      <c r="R607" s="61" t="n"/>
    </row>
    <row r="608" ht="15.75" customHeight="1" s="38">
      <c r="A608" s="66" t="inlineStr">
        <is>
          <t>Echeverría Izquierdo Montajes Industriales</t>
        </is>
      </c>
      <c r="B608" s="66" t="inlineStr">
        <is>
          <t>Proyectos de Ingeniería y Construcción</t>
        </is>
      </c>
      <c r="C608" s="66" t="inlineStr">
        <is>
          <t>Santiago</t>
        </is>
      </c>
      <c r="D608" s="66" t="inlineStr">
        <is>
          <t>ei@ei.cl</t>
        </is>
      </c>
      <c r="E608" s="66" t="inlineStr">
        <is>
          <t>(56) 2 2757 4800</t>
        </is>
      </c>
      <c r="F608" s="66" t="n"/>
      <c r="G608" s="66" t="n"/>
      <c r="H608" s="66" t="n"/>
      <c r="I608" s="66" t="inlineStr">
        <is>
          <t>96.870.780-9</t>
        </is>
      </c>
      <c r="J608" s="66" t="n"/>
      <c r="K608" s="66" t="inlineStr">
        <is>
          <t>Ventas: GRANDE (Estimado por Empleados) | Empleados: 8410</t>
        </is>
      </c>
      <c r="L608" s="61" t="n"/>
      <c r="M608" s="61" t="n"/>
      <c r="N608" s="61" t="n"/>
      <c r="O608" s="61" t="n"/>
      <c r="P608" s="61" t="n"/>
      <c r="Q608" s="62" t="n"/>
      <c r="R608" s="61" t="n"/>
    </row>
    <row r="609" ht="15.75" customHeight="1" s="38">
      <c r="A609" s="66" t="inlineStr">
        <is>
          <t>Ecocopter S.A.</t>
        </is>
      </c>
      <c r="B609" s="66" t="inlineStr">
        <is>
          <t>Transporte Aéreo de Carga, Transporte Aéreo en Helicóptero</t>
        </is>
      </c>
      <c r="C609" s="66" t="inlineStr">
        <is>
          <t>Santiago</t>
        </is>
      </c>
      <c r="D609" s="66" t="inlineStr">
        <is>
          <t>info@ecocopter.com</t>
        </is>
      </c>
      <c r="E609" s="66" t="inlineStr">
        <is>
          <t>(56) 2 2244 4800</t>
        </is>
      </c>
      <c r="F609" s="66" t="n"/>
      <c r="G609" s="66" t="n"/>
      <c r="H609" s="66" t="n"/>
      <c r="I609" s="66" t="inlineStr">
        <is>
          <t>99.515.550-8</t>
        </is>
      </c>
      <c r="J609" s="66" t="n"/>
      <c r="K609" s="66" t="inlineStr">
        <is>
          <t>Ventas: MEDIANA (Estimado por Empleados) | Empleados: 170</t>
        </is>
      </c>
      <c r="L609" s="61" t="n"/>
      <c r="M609" s="61" t="n"/>
      <c r="N609" s="61" t="n"/>
      <c r="O609" s="61" t="n"/>
      <c r="P609" s="61" t="n"/>
      <c r="Q609" s="62" t="n"/>
      <c r="R609" s="61" t="n"/>
    </row>
    <row r="610" ht="15.75" customHeight="1" s="38">
      <c r="A610" s="66" t="inlineStr">
        <is>
          <t>Ecogrin SpA</t>
        </is>
      </c>
      <c r="B610" s="66" t="inlineStr">
        <is>
          <t>Equipamiento de Limpieza para la Minería</t>
        </is>
      </c>
      <c r="C610" s="66" t="inlineStr">
        <is>
          <t>Santiago</t>
        </is>
      </c>
      <c r="D610" s="66" t="inlineStr">
        <is>
          <t>contacto@ecogrin.cl</t>
        </is>
      </c>
      <c r="E610" s="66" t="inlineStr">
        <is>
          <t>(56) 9 9944 3883</t>
        </is>
      </c>
      <c r="F610" s="66" t="n"/>
      <c r="G610" s="66" t="n"/>
      <c r="H610" s="66" t="n"/>
      <c r="I610" s="66" t="inlineStr">
        <is>
          <t>76892321-3</t>
        </is>
      </c>
      <c r="J610" s="66" t="n"/>
      <c r="K610" s="66" t="inlineStr">
        <is>
          <t>Ventas: MICRO 3 (600 - 2.400 UF) | Empleados: 0</t>
        </is>
      </c>
      <c r="L610" s="61" t="n"/>
      <c r="M610" s="61" t="n"/>
      <c r="N610" s="61" t="n"/>
      <c r="O610" s="61" t="n"/>
      <c r="P610" s="61" t="n"/>
      <c r="Q610" s="62" t="n"/>
      <c r="R610" s="61" t="n"/>
    </row>
    <row r="611" ht="15.75" customHeight="1" s="38">
      <c r="A611" s="66" t="inlineStr">
        <is>
          <t>Ecolab S.A.</t>
        </is>
      </c>
      <c r="B611" s="66" t="inlineStr">
        <is>
          <t>Equipos de Tratamiento de Agua y Procesos, Productos para Control de Polvo, Tratamiento de Efluentes</t>
        </is>
      </c>
      <c r="C611" s="66" t="inlineStr">
        <is>
          <t>Santiago</t>
        </is>
      </c>
      <c r="D611" s="66" t="inlineStr">
        <is>
          <t>sac.chile@ecolab.com</t>
        </is>
      </c>
      <c r="E611" s="66" t="inlineStr">
        <is>
          <t>(56) 2 2241 3300</t>
        </is>
      </c>
      <c r="F611" s="66" t="n"/>
      <c r="G611" s="66" t="n"/>
      <c r="H611" s="66" t="n"/>
      <c r="I611" s="66" t="inlineStr">
        <is>
          <t>96.604.460-8</t>
        </is>
      </c>
      <c r="J611" s="66" t="n"/>
      <c r="K611" s="66" t="inlineStr">
        <is>
          <t>Ventas: GRANDE (Estimado por Empleados) | Empleados: 425</t>
        </is>
      </c>
      <c r="L611" s="61" t="n"/>
      <c r="M611" s="61" t="n"/>
      <c r="N611" s="61" t="n"/>
      <c r="O611" s="61" t="n"/>
      <c r="P611" s="61" t="n"/>
      <c r="Q611" s="62" t="n"/>
      <c r="R611" s="61" t="n"/>
    </row>
    <row r="612" ht="15.75" customHeight="1" s="38">
      <c r="A612" s="66" t="inlineStr">
        <is>
          <t>Ecolife S.A.</t>
        </is>
      </c>
      <c r="B612" s="66" t="inlineStr">
        <is>
          <t>Proveedor Destacado, Absorbentes e Insumos para Contención de Derrames de Hidrocarburos, Asesoría en Control de Derrames, Asesoría en Control de Olores, Contención y Absorción de Derrames, Tratamiento de Derrames, Tratamiento de Olores</t>
        </is>
      </c>
      <c r="C612" s="66" t="inlineStr">
        <is>
          <t>Santiago</t>
        </is>
      </c>
      <c r="D612" s="66" t="inlineStr">
        <is>
          <t>contacto@ecolife.cl</t>
        </is>
      </c>
      <c r="E612" s="66" t="inlineStr">
        <is>
          <t>(56) 2 2352 0000</t>
        </is>
      </c>
      <c r="F612" s="66" t="n"/>
      <c r="G612" s="66" t="n"/>
      <c r="H612" s="66" t="inlineStr">
        <is>
          <t>http://www.nicolaides.cl</t>
        </is>
      </c>
      <c r="I612" s="66" t="inlineStr">
        <is>
          <t>76.076.325-K</t>
        </is>
      </c>
      <c r="J612" s="66" t="n"/>
      <c r="K612" s="66" t="inlineStr">
        <is>
          <t>Ventas: GRANDE 1 (100.000 - 200.000 UF) | Empleados: 15</t>
        </is>
      </c>
      <c r="L612" s="61" t="n"/>
      <c r="M612" s="61" t="n"/>
      <c r="N612" s="61" t="n"/>
      <c r="O612" s="61" t="n"/>
      <c r="P612" s="61" t="n"/>
      <c r="Q612" s="62" t="n"/>
      <c r="R612" s="61" t="n"/>
    </row>
    <row r="613" ht="15.75" customHeight="1" s="38">
      <c r="A613" s="66" t="inlineStr">
        <is>
          <t>Ecológica S.A.</t>
        </is>
      </c>
      <c r="B613" s="66" t="inlineStr">
        <is>
          <t>Transporte de Residuos, Tratamiento de Residuos Industriales</t>
        </is>
      </c>
      <c r="C613" s="66" t="inlineStr">
        <is>
          <t>Santiago</t>
        </is>
      </c>
      <c r="D613" s="66" t="inlineStr">
        <is>
          <t>contacto@ecologica.cl</t>
        </is>
      </c>
      <c r="E613" s="66" t="inlineStr">
        <is>
          <t>(56) 9 8571 6995</t>
        </is>
      </c>
      <c r="F613" s="66" t="n"/>
      <c r="G613" s="66" t="n"/>
      <c r="H613" s="66" t="n"/>
      <c r="I613" s="66" t="inlineStr">
        <is>
          <t>77638199-3</t>
        </is>
      </c>
      <c r="J613" s="66" t="n"/>
      <c r="K613" s="66" t="inlineStr">
        <is>
          <t>Ventas: MICRO 1 (0.01 - 200 UF) | Empleados: 0</t>
        </is>
      </c>
      <c r="L613" s="61" t="n"/>
      <c r="M613" s="61" t="n"/>
      <c r="N613" s="61" t="n"/>
      <c r="O613" s="61" t="n"/>
      <c r="P613" s="61" t="n"/>
      <c r="Q613" s="62" t="n"/>
      <c r="R613" s="61" t="n"/>
    </row>
    <row r="614" ht="15.75" customHeight="1" s="38">
      <c r="A614" s="66" t="inlineStr">
        <is>
          <t>Ecom Mining Rental</t>
        </is>
      </c>
      <c r="B614" s="66" t="inlineStr">
        <is>
          <t>Arriendo de Camiones</t>
        </is>
      </c>
      <c r="C614" s="66" t="inlineStr">
        <is>
          <t>Santiago</t>
        </is>
      </c>
      <c r="D614" s="66" t="n"/>
      <c r="E614" s="66" t="inlineStr">
        <is>
          <t>(56) 2 2929 4275</t>
        </is>
      </c>
      <c r="F614" s="66" t="n"/>
      <c r="G614" s="66" t="n"/>
      <c r="H614" s="66" t="n"/>
      <c r="I614" s="66" t="inlineStr">
        <is>
          <t>76882349-9</t>
        </is>
      </c>
      <c r="J614" s="66" t="n"/>
      <c r="K614" s="66" t="inlineStr">
        <is>
          <t>Ventas: MICRO 1 (0.01 - 200 UF) | Empleados: 0</t>
        </is>
      </c>
      <c r="L614" s="61" t="n"/>
      <c r="M614" s="61" t="n"/>
      <c r="N614" s="61" t="n"/>
      <c r="O614" s="61" t="n"/>
      <c r="P614" s="61" t="n"/>
      <c r="Q614" s="62" t="n"/>
      <c r="R614" s="61" t="n"/>
    </row>
    <row r="615" ht="15.75" customHeight="1" s="38">
      <c r="A615" s="66" t="inlineStr">
        <is>
          <t>Ecomet S.A.</t>
        </is>
      </c>
      <c r="B615" s="66" t="inlineStr">
        <is>
          <t>Arriendo de Contenedores</t>
        </is>
      </c>
      <c r="C615" s="66" t="inlineStr">
        <is>
          <t>Santiago</t>
        </is>
      </c>
      <c r="D615" s="66" t="inlineStr">
        <is>
          <t>info@ecomet.cl</t>
        </is>
      </c>
      <c r="E615" s="66" t="inlineStr">
        <is>
          <t>(56) 2 2620 7100</t>
        </is>
      </c>
      <c r="F615" s="66" t="n"/>
      <c r="G615" s="66" t="n"/>
      <c r="H615" s="66" t="n"/>
      <c r="I615" s="66" t="inlineStr">
        <is>
          <t>81.163.600-2</t>
        </is>
      </c>
      <c r="J615" s="66" t="n"/>
      <c r="K615" s="66" t="inlineStr">
        <is>
          <t>Ventas: MEDIANA 1 (25.000 - 50.000 UF) | Empleados: 21</t>
        </is>
      </c>
      <c r="L615" s="61" t="n"/>
      <c r="M615" s="61" t="n"/>
      <c r="N615" s="61" t="n"/>
      <c r="O615" s="61" t="n"/>
      <c r="P615" s="61" t="n"/>
      <c r="Q615" s="62" t="n"/>
      <c r="R615" s="61" t="n"/>
    </row>
    <row r="616" ht="15.75" customHeight="1" s="38">
      <c r="A616" s="66" t="inlineStr">
        <is>
          <t>EcoMetales Ltda.</t>
        </is>
      </c>
      <c r="B616" s="66" t="inlineStr">
        <is>
          <t>Soluciones Ambientales para la Minería</t>
        </is>
      </c>
      <c r="C616" s="66" t="n"/>
      <c r="D616" s="66" t="inlineStr">
        <is>
          <t>comunicaciones@ecometales.cl</t>
        </is>
      </c>
      <c r="E616" s="66" t="inlineStr">
        <is>
          <t>(56) 2 2378 4100</t>
        </is>
      </c>
      <c r="F616" s="66" t="n"/>
      <c r="G616" s="66" t="n"/>
      <c r="H616" s="66" t="n"/>
      <c r="I616" s="66" t="inlineStr">
        <is>
          <t>59.087.530-9</t>
        </is>
      </c>
      <c r="J616" s="66" t="n"/>
      <c r="K616" s="66" t="inlineStr">
        <is>
          <t>Ventas: MEDIANA (Estimado por Empleados) | Empleados: 195</t>
        </is>
      </c>
      <c r="L616" s="61" t="n"/>
      <c r="M616" s="61" t="n"/>
      <c r="N616" s="61" t="n"/>
      <c r="O616" s="61" t="n"/>
      <c r="P616" s="61" t="n"/>
      <c r="Q616" s="62" t="n"/>
      <c r="R616" s="61" t="n"/>
    </row>
    <row r="617" ht="15.75" customHeight="1" s="38">
      <c r="A617" s="66" t="inlineStr">
        <is>
          <t>Ecomin S.A.</t>
        </is>
      </c>
      <c r="B617" s="66" t="inlineStr">
        <is>
          <t>Construcciones Modulares</t>
        </is>
      </c>
      <c r="C617" s="66" t="inlineStr">
        <is>
          <t>Santiago</t>
        </is>
      </c>
      <c r="D617" s="66" t="inlineStr">
        <is>
          <t>info@ecomin.cl</t>
        </is>
      </c>
      <c r="E617" s="66" t="inlineStr">
        <is>
          <t>(56) 2 2741 4150</t>
        </is>
      </c>
      <c r="F617" s="66" t="n"/>
      <c r="G617" s="66" t="n"/>
      <c r="H617" s="66" t="n"/>
      <c r="I617" s="66" t="inlineStr">
        <is>
          <t>96.571.010-8</t>
        </is>
      </c>
      <c r="J617" s="66" t="n"/>
      <c r="K617" s="66" t="inlineStr">
        <is>
          <t>Ventas: MICRO 1 (0.01 - 200 UF) | Empleados: 0</t>
        </is>
      </c>
      <c r="L617" s="61" t="n"/>
      <c r="M617" s="61" t="n"/>
      <c r="N617" s="61" t="n"/>
      <c r="O617" s="61" t="n"/>
      <c r="P617" s="61" t="n"/>
      <c r="Q617" s="62" t="n"/>
      <c r="R617" s="61" t="n"/>
    </row>
    <row r="618" ht="15.75" customHeight="1" s="38">
      <c r="A618" s="66" t="inlineStr">
        <is>
          <t>Ecomining</t>
        </is>
      </c>
      <c r="B618" s="66" t="inlineStr">
        <is>
          <t>Plantas de Tratamiento de Aguas</t>
        </is>
      </c>
      <c r="C618" s="66" t="inlineStr">
        <is>
          <t>Santiago</t>
        </is>
      </c>
      <c r="D618" s="66" t="inlineStr">
        <is>
          <t>comercial@ecomining.cl</t>
        </is>
      </c>
      <c r="E618" s="66" t="inlineStr">
        <is>
          <t>(56) 2 2349 9304</t>
        </is>
      </c>
      <c r="F618" s="66" t="n"/>
      <c r="G618" s="66" t="n"/>
      <c r="H618" s="66" t="n"/>
      <c r="I618" s="66" t="inlineStr">
        <is>
          <t>77967346-4</t>
        </is>
      </c>
      <c r="J618" s="66" t="n"/>
      <c r="K618" s="66" t="inlineStr">
        <is>
          <t>Ventas: MICRO 2 (200 - 600 UF) | Empleados: 0</t>
        </is>
      </c>
      <c r="L618" s="61" t="n"/>
      <c r="M618" s="61" t="n"/>
      <c r="N618" s="61" t="n"/>
      <c r="O618" s="61" t="n"/>
      <c r="P618" s="61" t="n"/>
      <c r="Q618" s="62" t="n"/>
      <c r="R618" s="61" t="n"/>
    </row>
    <row r="619" ht="15.75" customHeight="1" s="38">
      <c r="A619" s="66" t="inlineStr">
        <is>
          <t>Econorent</t>
        </is>
      </c>
      <c r="B619" s="66" t="inlineStr">
        <is>
          <t>Arriendo de Camionetas</t>
        </is>
      </c>
      <c r="C619" s="66" t="inlineStr">
        <is>
          <t>Santiago</t>
        </is>
      </c>
      <c r="D619" s="66" t="inlineStr">
        <is>
          <t>reservas@econorent.cl</t>
        </is>
      </c>
      <c r="E619" s="66" t="inlineStr">
        <is>
          <t>(56) 2 2299 7100</t>
        </is>
      </c>
      <c r="F619" s="66" t="n"/>
      <c r="G619" s="66" t="n"/>
      <c r="H619" s="66" t="n"/>
      <c r="I619" s="66" t="inlineStr">
        <is>
          <t>77.313.060-4</t>
        </is>
      </c>
      <c r="J619" s="66" t="n"/>
      <c r="K619" s="66" t="inlineStr">
        <is>
          <t>Ventas: GRANDE (Estimado por Empleados) | Empleados: 719</t>
        </is>
      </c>
      <c r="L619" s="61" t="n"/>
      <c r="M619" s="61" t="n"/>
      <c r="N619" s="61" t="n"/>
      <c r="O619" s="61" t="n"/>
      <c r="P619" s="61" t="n"/>
      <c r="Q619" s="62" t="n"/>
      <c r="R619" s="61" t="n"/>
    </row>
    <row r="620" ht="15.75" customHeight="1" s="38">
      <c r="A620" s="59" t="inlineStr">
        <is>
          <t>Ecopreneur Chile S.A.</t>
        </is>
      </c>
      <c r="B620" s="59" t="inlineStr">
        <is>
          <t>Contratos Llave en Mano</t>
        </is>
      </c>
      <c r="C620" s="59" t="inlineStr">
        <is>
          <t>Santiago</t>
        </is>
      </c>
      <c r="D620" s="59" t="inlineStr">
        <is>
          <t>eco@ecopreneur.cl</t>
        </is>
      </c>
      <c r="E620" s="59" t="inlineStr">
        <is>
          <t>(56) 2 2334 6422</t>
        </is>
      </c>
      <c r="F620" s="59" t="inlineStr">
        <is>
          <t>Claudio Fredes (Jefe de Tecnologías)</t>
        </is>
      </c>
      <c r="G620" s="59" t="inlineStr">
        <is>
          <t>cfredes@ecopreneur.cl</t>
        </is>
      </c>
      <c r="H620" s="59" t="n"/>
      <c r="I620" s="59" t="inlineStr">
        <is>
          <t>96.778.160-6</t>
        </is>
      </c>
      <c r="J620" s="59" t="inlineStr">
        <is>
          <t>Investigación en Proceso</t>
        </is>
      </c>
      <c r="K620" s="59" t="inlineStr">
        <is>
          <t>Ventas: GRANDE 3 (600.000 - 1.000.000 UF) | Empleados: 44</t>
        </is>
      </c>
      <c r="L620" s="61" t="n"/>
      <c r="M620" s="61" t="n"/>
      <c r="N620" s="61" t="n"/>
      <c r="O620" s="61" t="n"/>
      <c r="P620" s="61" t="n"/>
      <c r="Q620" s="62" t="n"/>
      <c r="R620" s="61" t="n"/>
    </row>
    <row r="621" ht="15.75" customHeight="1" s="38">
      <c r="A621" s="66" t="inlineStr">
        <is>
          <t>Ecoriles S.A.</t>
        </is>
      </c>
      <c r="B621" s="66" t="inlineStr">
        <is>
          <t>Tratamiento de Residuos Industriales, Tratamiento de Riles</t>
        </is>
      </c>
      <c r="C621" s="66" t="inlineStr">
        <is>
          <t>Santiago</t>
        </is>
      </c>
      <c r="D621" s="66" t="inlineStr">
        <is>
          <t>ecorilessa@ecoriles.cl</t>
        </is>
      </c>
      <c r="E621" s="66" t="inlineStr">
        <is>
          <t>(56) 2 2569 2238</t>
        </is>
      </c>
      <c r="F621" s="66" t="inlineStr">
        <is>
          <t>Gerente de TI / CIO (Director de Tecnología)</t>
        </is>
      </c>
      <c r="G621" s="66" t="n"/>
      <c r="H621" s="66" t="n"/>
      <c r="I621" s="66" t="inlineStr">
        <is>
          <t>96.945.210-3</t>
        </is>
      </c>
      <c r="J621" s="66" t="n"/>
      <c r="K621" s="66" t="inlineStr">
        <is>
          <t>Ventas: GRANDE 4 (Mas de 1.000.000 UF) | Empleados: 324</t>
        </is>
      </c>
      <c r="L621" s="61" t="n"/>
      <c r="M621" s="61" t="n"/>
      <c r="N621" s="61" t="n"/>
      <c r="O621" s="61" t="n"/>
      <c r="P621" s="61" t="n"/>
      <c r="Q621" s="62" t="n"/>
      <c r="R621" s="61" t="n"/>
    </row>
    <row r="622" ht="15.75" customHeight="1" s="38">
      <c r="A622" s="66" t="inlineStr">
        <is>
          <t>Ecosan Ltda.</t>
        </is>
      </c>
      <c r="B622" s="66" t="inlineStr">
        <is>
          <t>Constructoras</t>
        </is>
      </c>
      <c r="C622" s="66" t="inlineStr">
        <is>
          <t>Santiago</t>
        </is>
      </c>
      <c r="D622" s="66" t="inlineStr">
        <is>
          <t>ecosan@ecosan.cl</t>
        </is>
      </c>
      <c r="E622" s="66" t="inlineStr">
        <is>
          <t>(56) 2 2623 8553</t>
        </is>
      </c>
      <c r="F622" s="66" t="n"/>
      <c r="G622" s="66" t="n"/>
      <c r="H622" s="66" t="n"/>
      <c r="I622" s="66" t="inlineStr">
        <is>
          <t>78.709.800-2</t>
        </is>
      </c>
      <c r="J622" s="66" t="n"/>
      <c r="K622" s="66" t="inlineStr">
        <is>
          <t>Ventas: GRANDE 1 (100.000 - 200.000 UF) | Empleados: 131</t>
        </is>
      </c>
      <c r="L622" s="61" t="n"/>
      <c r="M622" s="61" t="n"/>
      <c r="N622" s="61" t="n"/>
      <c r="O622" s="61" t="n"/>
      <c r="P622" s="61" t="n"/>
      <c r="Q622" s="62" t="n"/>
      <c r="R622" s="61" t="n"/>
    </row>
    <row r="623" ht="15.75" customHeight="1" s="38">
      <c r="A623" s="66" t="inlineStr">
        <is>
          <t>Ecosystem S.A.</t>
        </is>
      </c>
      <c r="B623" s="66" t="inlineStr">
        <is>
          <t>Plantas para Tratamiento de Aguas Servidas, Plantas para Tratamiento de Riles</t>
        </is>
      </c>
      <c r="C623" s="66" t="inlineStr">
        <is>
          <t>Santiago</t>
        </is>
      </c>
      <c r="D623" s="66" t="inlineStr">
        <is>
          <t>ecosystem@ecosystem.cl</t>
        </is>
      </c>
      <c r="E623" s="66" t="inlineStr">
        <is>
          <t>(56) 2 2274 7622</t>
        </is>
      </c>
      <c r="F623" s="66" t="n"/>
      <c r="G623" s="66" t="n"/>
      <c r="H623" s="66" t="n"/>
      <c r="I623" s="66" t="inlineStr">
        <is>
          <t>95.680.000-5</t>
        </is>
      </c>
      <c r="J623" s="66" t="n"/>
      <c r="K623" s="66" t="inlineStr">
        <is>
          <t>Ventas: GRANDE 1 (100.000 - 200.000 UF) | Empleados: 26</t>
        </is>
      </c>
      <c r="L623" s="61" t="n"/>
      <c r="M623" s="61" t="n"/>
      <c r="N623" s="61" t="n"/>
      <c r="O623" s="61" t="n"/>
      <c r="P623" s="61" t="n"/>
      <c r="Q623" s="62" t="n"/>
      <c r="R623" s="61" t="n"/>
    </row>
    <row r="624" ht="15.75" customHeight="1" s="38">
      <c r="A624" s="66" t="inlineStr">
        <is>
          <t>Ecotérmica Ltda.</t>
        </is>
      </c>
      <c r="B624" s="66" t="inlineStr">
        <is>
          <t>Calefacción, Climatización</t>
        </is>
      </c>
      <c r="C624" s="66" t="inlineStr">
        <is>
          <t>Rancagua</t>
        </is>
      </c>
      <c r="D624" s="66" t="inlineStr">
        <is>
          <t>comercial@ecotermica.cl</t>
        </is>
      </c>
      <c r="E624" s="66" t="inlineStr">
        <is>
          <t>(56) 9 7855 9844</t>
        </is>
      </c>
      <c r="F624" s="66" t="n"/>
      <c r="G624" s="66" t="n"/>
      <c r="H624" s="66" t="n"/>
      <c r="I624" s="66" t="inlineStr">
        <is>
          <t>77.580.220-0</t>
        </is>
      </c>
      <c r="J624" s="66" t="n"/>
      <c r="K624" s="66" t="inlineStr">
        <is>
          <t>Ventas: MICRO 1 (0.01 - 200 UF) | Empleados: 0</t>
        </is>
      </c>
      <c r="L624" s="61" t="n"/>
      <c r="M624" s="61" t="n"/>
      <c r="N624" s="61" t="n"/>
      <c r="O624" s="61" t="n"/>
      <c r="P624" s="61" t="n"/>
      <c r="Q624" s="62" t="n"/>
      <c r="R624" s="61" t="n"/>
    </row>
    <row r="625" ht="15.75" customHeight="1" s="38">
      <c r="A625" s="66" t="inlineStr">
        <is>
          <t>ECS Consult</t>
        </is>
      </c>
      <c r="B625" s="66" t="inlineStr">
        <is>
          <t>Dirección de Proyectos de Transporte</t>
        </is>
      </c>
      <c r="C625" s="66" t="inlineStr">
        <is>
          <t>Santiago</t>
        </is>
      </c>
      <c r="D625" s="66" t="inlineStr">
        <is>
          <t>enrique.cabrera@ecsconsult.co.cl</t>
        </is>
      </c>
      <c r="E625" s="66" t="inlineStr">
        <is>
          <t>(56) 2 2220 3982</t>
        </is>
      </c>
      <c r="F625" s="66" t="n"/>
      <c r="G625" s="66" t="n"/>
      <c r="H625" s="66" t="n"/>
      <c r="I625" s="66" t="inlineStr">
        <is>
          <t>76647500-0</t>
        </is>
      </c>
      <c r="J625" s="66" t="n"/>
      <c r="K625" s="66" t="inlineStr">
        <is>
          <t>Ventas: MICRO 1 (0.01 - 200 UF) | Empleados: 0</t>
        </is>
      </c>
      <c r="L625" s="61" t="n"/>
      <c r="M625" s="61" t="n"/>
      <c r="N625" s="61" t="n"/>
      <c r="O625" s="61" t="n"/>
      <c r="P625" s="61" t="n"/>
      <c r="Q625" s="62" t="n"/>
      <c r="R625" s="61" t="n"/>
    </row>
    <row r="626" ht="15.75" customHeight="1" s="38">
      <c r="A626" s="66" t="inlineStr">
        <is>
          <t>Ecse Construcciones y Servicios Ltda.</t>
        </is>
      </c>
      <c r="B626" s="66" t="inlineStr">
        <is>
          <t>Revestimientos Antiácidos</t>
        </is>
      </c>
      <c r="C626" s="66" t="inlineStr">
        <is>
          <t>Talcahuano</t>
        </is>
      </c>
      <c r="D626" s="66" t="inlineStr">
        <is>
          <t>info@ecse.cl</t>
        </is>
      </c>
      <c r="E626" s="66" t="inlineStr">
        <is>
          <t>(56) 41 256 1000</t>
        </is>
      </c>
      <c r="F626" s="66" t="inlineStr">
        <is>
          <t>Gerente de TI / CIO (Director de Tecnología)</t>
        </is>
      </c>
      <c r="G626" s="66" t="n"/>
      <c r="H626" s="66" t="n"/>
      <c r="I626" s="66" t="inlineStr">
        <is>
          <t>86.680.300-5</t>
        </is>
      </c>
      <c r="J626" s="66" t="n"/>
      <c r="K626" s="66" t="inlineStr">
        <is>
          <t>Ventas: GRANDE 3 (600.000 - 1.000.000 UF) | Empleados: 447</t>
        </is>
      </c>
      <c r="L626" s="61" t="n"/>
      <c r="M626" s="61" t="n"/>
      <c r="N626" s="61" t="n"/>
      <c r="O626" s="61" t="n"/>
      <c r="P626" s="61" t="n"/>
      <c r="Q626" s="62" t="n"/>
      <c r="R626" s="61" t="n"/>
    </row>
    <row r="627" ht="15.75" customHeight="1" s="38">
      <c r="A627" s="66" t="inlineStr">
        <is>
          <t>Ectel Ltda.</t>
        </is>
      </c>
      <c r="B627" s="66" t="inlineStr">
        <is>
          <t>Energía Eólica, Energía Solar</t>
        </is>
      </c>
      <c r="C627" s="66" t="inlineStr">
        <is>
          <t>Santiago</t>
        </is>
      </c>
      <c r="D627" s="66" t="inlineStr">
        <is>
          <t>ectel@ectel.cl</t>
        </is>
      </c>
      <c r="E627" s="66" t="inlineStr">
        <is>
          <t>(56) 2 2223 3905</t>
        </is>
      </c>
      <c r="F627" s="66" t="n"/>
      <c r="G627" s="66" t="n"/>
      <c r="H627" s="66" t="n"/>
      <c r="I627" s="66" t="inlineStr">
        <is>
          <t>77.662.850-6</t>
        </is>
      </c>
      <c r="J627" s="66" t="n"/>
      <c r="K627" s="66" t="inlineStr">
        <is>
          <t>Ventas: MEDIANA 1 (25.000 - 50.000 UF) | Empleados: 16</t>
        </is>
      </c>
      <c r="L627" s="61" t="n"/>
      <c r="M627" s="61" t="n"/>
      <c r="N627" s="61" t="n"/>
      <c r="O627" s="61" t="n"/>
      <c r="P627" s="61" t="n"/>
      <c r="Q627" s="62" t="n"/>
      <c r="R627" s="61" t="n"/>
    </row>
    <row r="628" ht="15.75" customHeight="1" s="38">
      <c r="A628" s="66" t="inlineStr">
        <is>
          <t>EDC-Chile</t>
        </is>
      </c>
      <c r="B628" s="66" t="inlineStr">
        <is>
          <t>Energía Geotérmica</t>
        </is>
      </c>
      <c r="C628" s="66" t="inlineStr">
        <is>
          <t>Santiago</t>
        </is>
      </c>
      <c r="D628" s="66" t="inlineStr">
        <is>
          <t>corpcomm@energy.com.ph</t>
        </is>
      </c>
      <c r="E628" s="66" t="inlineStr">
        <is>
          <t>(56) 2 2757 1900</t>
        </is>
      </c>
      <c r="F628" s="66" t="n"/>
      <c r="G628" s="66" t="n"/>
      <c r="H628" s="66" t="n"/>
      <c r="I628" s="66" t="inlineStr">
        <is>
          <t>76037086-K</t>
        </is>
      </c>
      <c r="J628" s="66" t="n"/>
      <c r="K628" s="66" t="inlineStr">
        <is>
          <t>Ventas: PEQUEÑA 1 (2.400 - 5.000 UF) | Empleados: 0</t>
        </is>
      </c>
      <c r="L628" s="61" t="n"/>
      <c r="M628" s="61" t="n"/>
      <c r="N628" s="61" t="n"/>
      <c r="O628" s="61" t="n"/>
      <c r="P628" s="61" t="n"/>
      <c r="Q628" s="62" t="n"/>
      <c r="R628" s="61" t="n"/>
    </row>
    <row r="629" ht="15.75" customHeight="1" s="38">
      <c r="A629" s="66" t="inlineStr">
        <is>
          <t>Edyce Metalúrgica S.A.</t>
        </is>
      </c>
      <c r="B629" s="66" t="inlineStr">
        <is>
          <t>Aceros Estructurales, Calderería</t>
        </is>
      </c>
      <c r="C629" s="66" t="inlineStr">
        <is>
          <t>Santiago</t>
        </is>
      </c>
      <c r="D629" s="66" t="inlineStr">
        <is>
          <t>ventas@edyce.cl</t>
        </is>
      </c>
      <c r="E629" s="66" t="inlineStr">
        <is>
          <t>(56) 2 2361 8000</t>
        </is>
      </c>
      <c r="F629" s="66" t="n"/>
      <c r="G629" s="66" t="n"/>
      <c r="H629" s="66" t="n"/>
      <c r="I629" s="66" t="inlineStr">
        <is>
          <t>91.510.000-7</t>
        </is>
      </c>
      <c r="J629" s="66" t="n"/>
      <c r="K629" s="66" t="inlineStr">
        <is>
          <t>Ventas: GRANDE (Estimado por Empleados) | Empleados: 674</t>
        </is>
      </c>
      <c r="L629" s="61" t="n"/>
      <c r="M629" s="61" t="n"/>
      <c r="N629" s="61" t="n"/>
      <c r="O629" s="61" t="n"/>
      <c r="P629" s="61" t="n"/>
      <c r="Q629" s="62" t="n"/>
      <c r="R629" s="61" t="n"/>
    </row>
    <row r="630" ht="15.75" customHeight="1" s="38">
      <c r="A630" s="66" t="inlineStr">
        <is>
          <t>Eecol Electric</t>
        </is>
      </c>
      <c r="B630" s="66" t="inlineStr">
        <is>
          <t>Proveedor Destacado, Artículos Eléctricos, Datacom, Desarrollo Datacenter, Desarrollo Proyectos Eléctricos, Distribución de Grandes Marcas Eléctricas, Salas Eléctricas, Subestaciones Eléctricas</t>
        </is>
      </c>
      <c r="C630" s="66" t="inlineStr">
        <is>
          <t>Santiago</t>
        </is>
      </c>
      <c r="D630" s="66" t="inlineStr">
        <is>
          <t>info@eecol.cl</t>
        </is>
      </c>
      <c r="E630" s="66" t="inlineStr">
        <is>
          <t>(56) 2 2620 4200</t>
        </is>
      </c>
      <c r="F630" s="66" t="n"/>
      <c r="G630" s="66" t="n"/>
      <c r="H630" s="66" t="inlineStr">
        <is>
          <t>http://www.eecol.cl</t>
        </is>
      </c>
      <c r="I630" s="66" t="inlineStr">
        <is>
          <t>78.928.030-4</t>
        </is>
      </c>
      <c r="J630" s="66" t="n"/>
      <c r="K630" s="66" t="inlineStr">
        <is>
          <t>Ventas: GRANDE (Estimado por Empleados) | Empleados: 305</t>
        </is>
      </c>
      <c r="L630" s="61" t="n"/>
      <c r="M630" s="61" t="n"/>
      <c r="N630" s="61" t="n"/>
      <c r="O630" s="61" t="n"/>
      <c r="P630" s="61" t="n"/>
      <c r="Q630" s="62" t="n"/>
      <c r="R630" s="61" t="n"/>
    </row>
    <row r="631" ht="15.75" customHeight="1" s="38">
      <c r="A631" s="66" t="inlineStr">
        <is>
          <t>Efan</t>
        </is>
      </c>
      <c r="B631" s="66" t="inlineStr">
        <is>
          <t>Sistemas Antipolvo, Trommel de Helicoide Dual</t>
        </is>
      </c>
      <c r="C631" s="66" t="inlineStr">
        <is>
          <t>Antofagasta</t>
        </is>
      </c>
      <c r="D631" s="66" t="inlineStr">
        <is>
          <t>contacto@efan.cl</t>
        </is>
      </c>
      <c r="E631" s="66" t="inlineStr">
        <is>
          <t>(56) 9 9519 1540</t>
        </is>
      </c>
      <c r="F631" s="66" t="n"/>
      <c r="G631" s="66" t="n"/>
      <c r="H631" s="66" t="n"/>
      <c r="I631" s="66" t="inlineStr">
        <is>
          <t>76472328-7</t>
        </is>
      </c>
      <c r="J631" s="66" t="n"/>
      <c r="K631" s="66" t="inlineStr">
        <is>
          <t>Ventas: MICRO 3 (600 - 2.400 UF) | Empleados: 0</t>
        </is>
      </c>
      <c r="L631" s="61" t="n"/>
      <c r="M631" s="61" t="n"/>
      <c r="N631" s="61" t="n"/>
      <c r="O631" s="61" t="n"/>
      <c r="P631" s="61" t="n"/>
      <c r="Q631" s="62" t="n"/>
      <c r="R631" s="61" t="n"/>
    </row>
    <row r="632" ht="15.75" customHeight="1" s="38">
      <c r="A632" s="66" t="inlineStr">
        <is>
          <t>Efco de Chile S.A.</t>
        </is>
      </c>
      <c r="B632" s="66" t="inlineStr">
        <is>
          <t>Alzaprimas, Encofrados</t>
        </is>
      </c>
      <c r="C632" s="66" t="inlineStr">
        <is>
          <t>Santiago</t>
        </is>
      </c>
      <c r="D632" s="66" t="inlineStr">
        <is>
          <t>info@efcoforms.com</t>
        </is>
      </c>
      <c r="E632" s="66" t="inlineStr">
        <is>
          <t>(56) 2 2591 4000</t>
        </is>
      </c>
      <c r="F632" s="66" t="inlineStr">
        <is>
          <t>Gerente de TI / CIO (Director de Tecnología)</t>
        </is>
      </c>
      <c r="G632" s="66" t="n"/>
      <c r="H632" s="66" t="n"/>
      <c r="I632" s="66" t="inlineStr">
        <is>
          <t>96.842.020-8</t>
        </is>
      </c>
      <c r="J632" s="66" t="n"/>
      <c r="K632" s="66" t="inlineStr">
        <is>
          <t>Ventas: GRANDE 3 (600.000 - 1.000.000 UF) | Empleados: 111</t>
        </is>
      </c>
      <c r="L632" s="61" t="n"/>
      <c r="M632" s="61" t="n"/>
      <c r="N632" s="61" t="n"/>
      <c r="O632" s="61" t="n"/>
      <c r="P632" s="61" t="n"/>
      <c r="Q632" s="62" t="n"/>
      <c r="R632" s="61" t="n"/>
    </row>
    <row r="633" ht="15.75" customHeight="1" s="38">
      <c r="A633" s="66" t="inlineStr">
        <is>
          <t>Efis Ltda.</t>
        </is>
      </c>
      <c r="B633" s="66" t="inlineStr">
        <is>
          <t>Tratamientos de Aguas Residuales</t>
        </is>
      </c>
      <c r="C633" s="66" t="inlineStr">
        <is>
          <t>Antofagasta</t>
        </is>
      </c>
      <c r="D633" s="66" t="inlineStr">
        <is>
          <t>francisco.pulgar@efislimitada.com</t>
        </is>
      </c>
      <c r="E633" s="66" t="inlineStr">
        <is>
          <t>(56) 9 9354 1123</t>
        </is>
      </c>
      <c r="F633" s="66" t="n"/>
      <c r="G633" s="66" t="n"/>
      <c r="H633" s="66" t="n"/>
      <c r="I633" s="66" t="inlineStr">
        <is>
          <t>76243035-5</t>
        </is>
      </c>
      <c r="J633" s="66" t="n"/>
      <c r="K633" s="66" t="inlineStr">
        <is>
          <t>Ventas: MICRO 1 (0.01 - 200 UF) | Empleados: 0</t>
        </is>
      </c>
      <c r="L633" s="61" t="n"/>
      <c r="M633" s="61" t="n"/>
      <c r="N633" s="61" t="n"/>
      <c r="O633" s="61" t="n"/>
      <c r="P633" s="61" t="n"/>
      <c r="Q633" s="62" t="n"/>
      <c r="R633" s="61" t="n"/>
    </row>
    <row r="634" ht="15.75" customHeight="1" s="38">
      <c r="A634" s="66" t="inlineStr">
        <is>
          <t>EGM Ltda.</t>
        </is>
      </c>
      <c r="B634" s="66" t="inlineStr">
        <is>
          <t>Auditoría Geológica</t>
        </is>
      </c>
      <c r="C634" s="66" t="inlineStr">
        <is>
          <t>Santiago</t>
        </is>
      </c>
      <c r="D634" s="66" t="inlineStr">
        <is>
          <t>contacto@egm.cl</t>
        </is>
      </c>
      <c r="E634" s="66" t="inlineStr">
        <is>
          <t>(56) 2 2232 6020</t>
        </is>
      </c>
      <c r="F634" s="66" t="n"/>
      <c r="G634" s="66" t="n"/>
      <c r="H634" s="66" t="n"/>
      <c r="I634" s="66" t="inlineStr">
        <is>
          <t>79.829.800-3</t>
        </is>
      </c>
      <c r="J634" s="66" t="n"/>
      <c r="K634" s="66" t="inlineStr">
        <is>
          <t>Ventas: GRANDE 1 (100.000 - 200.000 UF) | Empleados: 70</t>
        </is>
      </c>
      <c r="L634" s="61" t="n"/>
      <c r="M634" s="61" t="n"/>
      <c r="N634" s="61" t="n"/>
      <c r="O634" s="61" t="n"/>
      <c r="P634" s="61" t="n"/>
      <c r="Q634" s="62" t="n"/>
      <c r="R634" s="61" t="n"/>
    </row>
    <row r="635" ht="15.75" customHeight="1" s="38">
      <c r="A635" s="66" t="inlineStr">
        <is>
          <t>EIG</t>
        </is>
      </c>
      <c r="B635" s="66" t="inlineStr">
        <is>
          <t>Equipos para Corte de Testigos Mineros</t>
        </is>
      </c>
      <c r="C635" s="66" t="inlineStr">
        <is>
          <t>Santiago</t>
        </is>
      </c>
      <c r="D635" s="66" t="inlineStr">
        <is>
          <t>ventas@eig.cl</t>
        </is>
      </c>
      <c r="E635" s="66" t="inlineStr">
        <is>
          <t>(56) 2 2757 1700</t>
        </is>
      </c>
      <c r="F635" s="66" t="n"/>
      <c r="G635" s="66" t="n"/>
      <c r="H635" s="66" t="n"/>
      <c r="I635" s="66" t="inlineStr">
        <is>
          <t>77.702.320-9</t>
        </is>
      </c>
      <c r="J635" s="66" t="n"/>
      <c r="K635" s="66" t="inlineStr">
        <is>
          <t>Ventas: GRANDE 2 (200.000 - 600.000 UF) | Empleados: 11</t>
        </is>
      </c>
      <c r="L635" s="61" t="n"/>
      <c r="M635" s="61" t="n"/>
      <c r="N635" s="61" t="n"/>
      <c r="O635" s="61" t="n"/>
      <c r="P635" s="61" t="n"/>
      <c r="Q635" s="62" t="n"/>
      <c r="R635" s="61" t="n"/>
    </row>
    <row r="636" ht="15.75" customHeight="1" s="38">
      <c r="A636" s="66" t="inlineStr">
        <is>
          <t>Eikona</t>
        </is>
      </c>
      <c r="B636" s="66" t="inlineStr">
        <is>
          <t>Ropa Antiácida, Ropa de Seguridad Minera e Industrial, Ropa Ignífuga</t>
        </is>
      </c>
      <c r="C636" s="66" t="inlineStr">
        <is>
          <t>Santiago</t>
        </is>
      </c>
      <c r="D636" s="66" t="inlineStr">
        <is>
          <t>web@eikona.cl</t>
        </is>
      </c>
      <c r="E636" s="66" t="inlineStr">
        <is>
          <t>(56) 2 3289 5836</t>
        </is>
      </c>
      <c r="F636" s="66" t="n"/>
      <c r="G636" s="66" t="n"/>
      <c r="H636" s="66" t="n"/>
      <c r="I636" s="66" t="inlineStr">
        <is>
          <t>76953673-6</t>
        </is>
      </c>
      <c r="J636" s="66" t="n"/>
      <c r="K636" s="66" t="inlineStr">
        <is>
          <t>Ventas: MEDIANA 2 (50.000 - 100.000 UF) | Empleados: 13</t>
        </is>
      </c>
      <c r="L636" s="61" t="n"/>
      <c r="M636" s="61" t="n"/>
      <c r="N636" s="61" t="n"/>
      <c r="O636" s="61" t="n"/>
      <c r="P636" s="61" t="n"/>
      <c r="Q636" s="62" t="n"/>
      <c r="R636" s="61" t="n"/>
    </row>
    <row r="637" ht="15.75" customHeight="1" s="38">
      <c r="A637" s="66" t="inlineStr">
        <is>
          <t>EIR Electromecánica Ltda.</t>
        </is>
      </c>
      <c r="B637" s="66" t="inlineStr">
        <is>
          <t>Reparación de Motores Eléctricos</t>
        </is>
      </c>
      <c r="C637" s="66" t="inlineStr">
        <is>
          <t>Santiago</t>
        </is>
      </c>
      <c r="D637" s="66" t="inlineStr">
        <is>
          <t>eirltda@eir.cl</t>
        </is>
      </c>
      <c r="E637" s="66" t="inlineStr">
        <is>
          <t>(56) 2 2651 7290</t>
        </is>
      </c>
      <c r="F637" s="66" t="n"/>
      <c r="G637" s="66" t="n"/>
      <c r="H637" s="66" t="n"/>
      <c r="I637" s="66" t="inlineStr">
        <is>
          <t>77.434.590-6</t>
        </is>
      </c>
      <c r="J637" s="66" t="n"/>
      <c r="K637" s="66" t="inlineStr">
        <is>
          <t>Ventas: MEDIANA 2 (50.000 - 100.000 UF) | Empleados: 37</t>
        </is>
      </c>
      <c r="L637" s="61" t="n"/>
      <c r="M637" s="61" t="n"/>
      <c r="N637" s="61" t="n"/>
      <c r="O637" s="61" t="n"/>
      <c r="P637" s="61" t="n"/>
      <c r="Q637" s="62" t="n"/>
      <c r="R637" s="61" t="n"/>
    </row>
    <row r="638" ht="15.75" customHeight="1" s="38">
      <c r="A638" s="66" t="inlineStr">
        <is>
          <t>Ekato Chile S.A.</t>
        </is>
      </c>
      <c r="B638" s="66" t="inlineStr">
        <is>
          <t>Agitadores</t>
        </is>
      </c>
      <c r="C638" s="66" t="inlineStr">
        <is>
          <t>Santiago</t>
        </is>
      </c>
      <c r="D638" s="66" t="inlineStr">
        <is>
          <t>chile@ekato.com</t>
        </is>
      </c>
      <c r="E638" s="66" t="inlineStr">
        <is>
          <t>(56) 2 2957 8597</t>
        </is>
      </c>
      <c r="F638" s="66" t="n"/>
      <c r="G638" s="66" t="n"/>
      <c r="H638" s="66" t="n"/>
      <c r="I638" s="66" t="inlineStr">
        <is>
          <t>76.043.441-8</t>
        </is>
      </c>
      <c r="J638" s="66" t="n"/>
      <c r="K638" s="66" t="inlineStr">
        <is>
          <t>Ventas: MEDIANA 1 (25.000 - 50.000 UF) | Empleados: 2</t>
        </is>
      </c>
      <c r="L638" s="61" t="n"/>
      <c r="M638" s="61" t="n"/>
      <c r="N638" s="61" t="n"/>
      <c r="O638" s="61" t="n"/>
      <c r="P638" s="61" t="n"/>
      <c r="Q638" s="62" t="n"/>
      <c r="R638" s="61" t="n"/>
    </row>
    <row r="639" ht="15.75" customHeight="1" s="38">
      <c r="A639" s="66" t="inlineStr">
        <is>
          <t>Eklipse</t>
        </is>
      </c>
      <c r="B639" s="66" t="inlineStr">
        <is>
          <t>Servicios de Alimentación</t>
        </is>
      </c>
      <c r="C639" s="66" t="inlineStr">
        <is>
          <t>Coquimbo</t>
        </is>
      </c>
      <c r="D639" s="66" t="inlineStr">
        <is>
          <t>contacto@eklipse.cl</t>
        </is>
      </c>
      <c r="E639" s="66" t="inlineStr">
        <is>
          <t>(56) 51 260 5237</t>
        </is>
      </c>
      <c r="F639" s="66" t="n"/>
      <c r="G639" s="66" t="n"/>
      <c r="H639" s="66" t="n"/>
      <c r="I639" s="66" t="inlineStr">
        <is>
          <t>76.053.842-6</t>
        </is>
      </c>
      <c r="J639" s="66" t="n"/>
      <c r="K639" s="66" t="inlineStr">
        <is>
          <t>Ventas: MICRO 1 (0.01 - 200 UF) | Empleados: 0</t>
        </is>
      </c>
      <c r="L639" s="61" t="n"/>
      <c r="M639" s="61" t="n"/>
      <c r="N639" s="61" t="n"/>
      <c r="O639" s="61" t="n"/>
      <c r="P639" s="61" t="n"/>
      <c r="Q639" s="62" t="n"/>
      <c r="R639" s="61" t="n"/>
    </row>
    <row r="640" ht="15.75" customHeight="1" s="38">
      <c r="A640" s="66" t="inlineStr">
        <is>
          <t>Elagom Ltda.</t>
        </is>
      </c>
      <c r="B640" s="66" t="inlineStr">
        <is>
          <t>Productos de Caucho</t>
        </is>
      </c>
      <c r="C640" s="66" t="inlineStr">
        <is>
          <t>Santiago</t>
        </is>
      </c>
      <c r="D640" s="66" t="inlineStr">
        <is>
          <t>ventas.elagomltda@gmail.com</t>
        </is>
      </c>
      <c r="E640" s="66" t="inlineStr">
        <is>
          <t>(56) 2 2776 0649</t>
        </is>
      </c>
      <c r="F640" s="66" t="n"/>
      <c r="G640" s="66" t="n"/>
      <c r="H640" s="66" t="n"/>
      <c r="I640" s="66" t="inlineStr">
        <is>
          <t>79.613.200-0</t>
        </is>
      </c>
      <c r="J640" s="66" t="n"/>
      <c r="K640" s="66" t="inlineStr">
        <is>
          <t>Ventas: MEDIANA 2 (50.000 - 100.000 UF) | Empleados: 23</t>
        </is>
      </c>
      <c r="L640" s="61" t="n"/>
      <c r="M640" s="61" t="n"/>
      <c r="N640" s="61" t="n"/>
      <c r="O640" s="61" t="n"/>
      <c r="P640" s="61" t="n"/>
      <c r="Q640" s="62" t="n"/>
      <c r="R640" s="61" t="n"/>
    </row>
    <row r="641" ht="15.75" customHeight="1" s="38">
      <c r="A641" s="66" t="inlineStr">
        <is>
          <t>Elan S.A.</t>
        </is>
      </c>
      <c r="B641" s="66" t="inlineStr">
        <is>
          <t>Condensadores</t>
        </is>
      </c>
      <c r="C641" s="66" t="inlineStr">
        <is>
          <t>Santiago</t>
        </is>
      </c>
      <c r="D641" s="66" t="inlineStr">
        <is>
          <t>ventas@elan.cl</t>
        </is>
      </c>
      <c r="E641" s="66" t="inlineStr">
        <is>
          <t>(56) 2 2555 9471</t>
        </is>
      </c>
      <c r="F641" s="66" t="n"/>
      <c r="G641" s="66" t="n"/>
      <c r="H641" s="66" t="n"/>
      <c r="I641" s="66" t="inlineStr">
        <is>
          <t>76.392.311-8</t>
        </is>
      </c>
      <c r="J641" s="66" t="n"/>
      <c r="K641" s="66" t="inlineStr">
        <is>
          <t>Ventas: MEDIANA 2 (50.000 - 100.000 UF) | Empleados: 16</t>
        </is>
      </c>
      <c r="L641" s="61" t="n"/>
      <c r="M641" s="61" t="n"/>
      <c r="N641" s="61" t="n"/>
      <c r="O641" s="61" t="n"/>
      <c r="P641" s="61" t="n"/>
      <c r="Q641" s="62" t="n"/>
      <c r="R641" s="61" t="n"/>
    </row>
    <row r="642" ht="15.75" customHeight="1" s="38">
      <c r="A642" s="59" t="inlineStr">
        <is>
          <t>ELB - Transportes Libertador</t>
        </is>
      </c>
      <c r="B642" s="59" t="inlineStr">
        <is>
          <t>Proveedor Destacado, Transporte de Carga por Carretera, Transporte de Carga Sobredimensionada, Transporte de Cargas Especiales, Transporte de Maquinaria, Transporte de NFU, Transporte en Faena (Home Delivery), Transporte para la Minería</t>
        </is>
      </c>
      <c r="C642" s="59" t="inlineStr">
        <is>
          <t>Santiago</t>
        </is>
      </c>
      <c r="D642" s="59" t="inlineStr">
        <is>
          <t>mcerda@elb.cl</t>
        </is>
      </c>
      <c r="E642" s="59" t="inlineStr">
        <is>
          <t>(56) 9 9344 0371</t>
        </is>
      </c>
      <c r="F642" s="59" t="inlineStr">
        <is>
          <t>Miguel Angel Vergara (Jefe de Sistemas)</t>
        </is>
      </c>
      <c r="G642" s="59" t="inlineStr">
        <is>
          <t>mvergara@elb.cl</t>
        </is>
      </c>
      <c r="H642" s="59" t="inlineStr">
        <is>
          <t>http://www.elb.cl</t>
        </is>
      </c>
      <c r="I642" s="59" t="inlineStr">
        <is>
          <t>79.554.850-5</t>
        </is>
      </c>
      <c r="J642" s="59" t="inlineStr">
        <is>
          <t>Investigación en Proceso</t>
        </is>
      </c>
      <c r="K642" s="59" t="inlineStr">
        <is>
          <t>Ventas: GRANDE 3 (600.000 - 1.000.000 UF) | Empleados: 212</t>
        </is>
      </c>
      <c r="L642" s="61" t="n"/>
      <c r="M642" s="61" t="n"/>
      <c r="N642" s="61" t="n"/>
      <c r="O642" s="61" t="n"/>
      <c r="P642" s="61" t="n"/>
      <c r="Q642" s="62" t="n"/>
      <c r="R642" s="61" t="n"/>
    </row>
    <row r="643" ht="15.75" customHeight="1" s="38">
      <c r="A643" s="66" t="inlineStr">
        <is>
          <t>Eleccon Maquinarias S.A.</t>
        </is>
      </c>
      <c r="B643" s="66" t="inlineStr">
        <is>
          <t>Servicios Geoespaciales</t>
        </is>
      </c>
      <c r="C643" s="66" t="inlineStr">
        <is>
          <t>Iquique</t>
        </is>
      </c>
      <c r="D643" s="66" t="inlineStr">
        <is>
          <t>contacto@eleccon.cl</t>
        </is>
      </c>
      <c r="E643" s="66" t="inlineStr">
        <is>
          <t>(56) 57 254 6200</t>
        </is>
      </c>
      <c r="F643" s="66" t="n"/>
      <c r="G643" s="66" t="n"/>
      <c r="H643" s="66" t="n"/>
      <c r="I643" s="66" t="inlineStr">
        <is>
          <t>99.576.460-1</t>
        </is>
      </c>
      <c r="J643" s="66" t="n"/>
      <c r="K643" s="66" t="inlineStr">
        <is>
          <t>Ventas: GRANDE (Estimado por Empleados) | Empleados: 2100</t>
        </is>
      </c>
      <c r="L643" s="61" t="n"/>
      <c r="M643" s="61" t="n"/>
      <c r="N643" s="61" t="n"/>
      <c r="O643" s="61" t="n"/>
      <c r="P643" s="61" t="n"/>
      <c r="Q643" s="62" t="n"/>
      <c r="R643" s="61" t="n"/>
    </row>
    <row r="644" ht="15.75" customHeight="1" s="38">
      <c r="A644" s="66" t="inlineStr">
        <is>
          <t>Elecnor Chile</t>
        </is>
      </c>
      <c r="B644" s="66" t="inlineStr">
        <is>
          <t>Energías Renovables, Proyectos para Infraestructura</t>
        </is>
      </c>
      <c r="C644" s="66" t="inlineStr">
        <is>
          <t>Santiago</t>
        </is>
      </c>
      <c r="D644" s="66" t="inlineStr">
        <is>
          <t>elecnorchile@elecnor.es</t>
        </is>
      </c>
      <c r="E644" s="66" t="inlineStr">
        <is>
          <t>(56) 2 2430 4100</t>
        </is>
      </c>
      <c r="F644" s="66" t="n"/>
      <c r="G644" s="66" t="n"/>
      <c r="H644" s="66" t="n"/>
      <c r="I644" s="66" t="inlineStr">
        <is>
          <t>96.791.730-3</t>
        </is>
      </c>
      <c r="J644" s="66" t="n"/>
      <c r="K644" s="66" t="inlineStr">
        <is>
          <t>Ventas: GRANDE (Estimado por Empleados) | Empleados: 1528</t>
        </is>
      </c>
      <c r="L644" s="61" t="n"/>
      <c r="M644" s="61" t="n"/>
      <c r="N644" s="61" t="n"/>
      <c r="O644" s="61" t="n"/>
      <c r="P644" s="61" t="n"/>
      <c r="Q644" s="62" t="n"/>
      <c r="R644" s="61" t="n"/>
    </row>
    <row r="645" ht="15.75" customHeight="1" s="38">
      <c r="A645" s="66" t="inlineStr">
        <is>
          <t>Electricidad Gobantes S.A.</t>
        </is>
      </c>
      <c r="B645" s="66" t="inlineStr">
        <is>
          <t>Tableros Eléctricos</t>
        </is>
      </c>
      <c r="C645" s="66" t="inlineStr">
        <is>
          <t>Santiago</t>
        </is>
      </c>
      <c r="D645" s="66" t="inlineStr">
        <is>
          <t>ventasonline@gobantes.cl</t>
        </is>
      </c>
      <c r="E645" s="66" t="inlineStr">
        <is>
          <t>(56) 2 2690 0000</t>
        </is>
      </c>
      <c r="F645" s="66" t="n"/>
      <c r="G645" s="66" t="n"/>
      <c r="H645" s="66" t="n"/>
      <c r="I645" s="66" t="inlineStr">
        <is>
          <t>80.409.800-3</t>
        </is>
      </c>
      <c r="J645" s="66" t="n"/>
      <c r="K645" s="66" t="inlineStr">
        <is>
          <t>Ventas: GRANDE (Estimado por Empleados) | Empleados: 515</t>
        </is>
      </c>
      <c r="L645" s="61" t="n"/>
      <c r="M645" s="61" t="n"/>
      <c r="N645" s="61" t="n"/>
      <c r="O645" s="61" t="n"/>
      <c r="P645" s="61" t="n"/>
      <c r="Q645" s="62" t="n"/>
      <c r="R645" s="61" t="n"/>
    </row>
    <row r="646" ht="15.75" customHeight="1" s="38">
      <c r="A646" s="66" t="inlineStr">
        <is>
          <t>Electricidad Guzmán S.A.</t>
        </is>
      </c>
      <c r="B646" s="66" t="inlineStr">
        <is>
          <t>Conductores Eléctricos</t>
        </is>
      </c>
      <c r="C646" s="66" t="inlineStr">
        <is>
          <t>Santiago</t>
        </is>
      </c>
      <c r="D646" s="66" t="inlineStr">
        <is>
          <t>contacto@guzman.cl</t>
        </is>
      </c>
      <c r="E646" s="66" t="inlineStr">
        <is>
          <t>(56) 2 2387 1100</t>
        </is>
      </c>
      <c r="F646" s="66" t="inlineStr">
        <is>
          <t>Gerente de TI / CIO (Director de Tecnología)</t>
        </is>
      </c>
      <c r="G646" s="66" t="n"/>
      <c r="H646" s="66" t="n"/>
      <c r="I646" s="66" t="inlineStr">
        <is>
          <t>79.748.470-9</t>
        </is>
      </c>
      <c r="J646" s="66" t="n"/>
      <c r="K646" s="66" t="inlineStr">
        <is>
          <t>Ventas: GRANDE 3 (600.000 - 1.000.000 UF) | Empleados: 113</t>
        </is>
      </c>
      <c r="L646" s="61" t="n"/>
      <c r="M646" s="61" t="n"/>
      <c r="N646" s="61" t="n"/>
      <c r="O646" s="61" t="n"/>
      <c r="P646" s="61" t="n"/>
      <c r="Q646" s="62" t="n"/>
      <c r="R646" s="61" t="n"/>
    </row>
    <row r="647" ht="15.75" customHeight="1" s="38">
      <c r="A647" s="66" t="inlineStr">
        <is>
          <t>Electroconsultores.Com Ltda.</t>
        </is>
      </c>
      <c r="B647" s="66" t="inlineStr">
        <is>
          <t>Auditorías de Facturación Eléctrica, Contratación de Suministro Eléctrico</t>
        </is>
      </c>
      <c r="C647" s="66" t="inlineStr">
        <is>
          <t>Santiago</t>
        </is>
      </c>
      <c r="D647" s="66" t="inlineStr">
        <is>
          <t>ingenieros@electroconsultores.cl</t>
        </is>
      </c>
      <c r="E647" s="66" t="inlineStr">
        <is>
          <t>(56) 2 2204 5288</t>
        </is>
      </c>
      <c r="F647" s="66" t="n"/>
      <c r="G647" s="66" t="n"/>
      <c r="H647" s="66" t="n"/>
      <c r="I647" s="66" t="inlineStr">
        <is>
          <t>77.676.700-K</t>
        </is>
      </c>
      <c r="J647" s="66" t="n"/>
      <c r="K647" s="66" t="inlineStr">
        <is>
          <t>Ventas: PEQUEÑA 3 (10.000 - 25.000 UF) | Empleados: 2</t>
        </is>
      </c>
      <c r="L647" s="61" t="n"/>
      <c r="M647" s="61" t="n"/>
      <c r="N647" s="61" t="n"/>
      <c r="O647" s="61" t="n"/>
      <c r="P647" s="61" t="n"/>
      <c r="Q647" s="62" t="n"/>
      <c r="R647" s="61" t="n"/>
    </row>
    <row r="648" ht="15.75" customHeight="1" s="38">
      <c r="A648" s="66" t="inlineStr">
        <is>
          <t>Electrohidráulica Ltda.</t>
        </is>
      </c>
      <c r="B648" s="66" t="inlineStr">
        <is>
          <t>Automatización de Equipos y Maquinaria, Bombas Hidráulicas, Sistemas de Telecomandos para Equipos Móviles</t>
        </is>
      </c>
      <c r="C648" s="66" t="inlineStr">
        <is>
          <t>Santiago</t>
        </is>
      </c>
      <c r="D648" s="66" t="inlineStr">
        <is>
          <t>ventas@electrohidraulica.cl</t>
        </is>
      </c>
      <c r="E648" s="66" t="inlineStr">
        <is>
          <t>(56) 2 2558 2128</t>
        </is>
      </c>
      <c r="F648" s="66" t="n"/>
      <c r="G648" s="66" t="n"/>
      <c r="H648" s="66" t="n"/>
      <c r="I648" s="66" t="inlineStr">
        <is>
          <t>76.023.763-9</t>
        </is>
      </c>
      <c r="J648" s="66" t="n"/>
      <c r="K648" s="66" t="inlineStr">
        <is>
          <t>Ventas: GRANDE 1 (100.000 - 200.000 UF) | Empleados: 55</t>
        </is>
      </c>
      <c r="L648" s="61" t="n"/>
      <c r="M648" s="61" t="n"/>
      <c r="N648" s="61" t="n"/>
      <c r="O648" s="61" t="n"/>
      <c r="P648" s="61" t="n"/>
      <c r="Q648" s="62" t="n"/>
      <c r="R648" s="61" t="n"/>
    </row>
    <row r="649" ht="15.75" customHeight="1" s="38">
      <c r="A649" s="66" t="inlineStr">
        <is>
          <t>Electropaz y Cía. Ltda.</t>
        </is>
      </c>
      <c r="B649" s="66" t="inlineStr">
        <is>
          <t>Electricidad Industrial, Electromecánica</t>
        </is>
      </c>
      <c r="C649" s="66" t="inlineStr">
        <is>
          <t>Coquimbo</t>
        </is>
      </c>
      <c r="D649" s="66" t="inlineStr">
        <is>
          <t>secretaria@electropaz.cl</t>
        </is>
      </c>
      <c r="E649" s="66" t="inlineStr">
        <is>
          <t>(56) 51 254 5340</t>
        </is>
      </c>
      <c r="F649" s="66" t="n"/>
      <c r="G649" s="66" t="n"/>
      <c r="H649" s="66" t="n"/>
      <c r="I649" s="66" t="inlineStr">
        <is>
          <t>76.068.710-7</t>
        </is>
      </c>
      <c r="J649" s="66" t="n"/>
      <c r="K649" s="66" t="inlineStr">
        <is>
          <t>Ventas: No en base SII | Empleados: S/I</t>
        </is>
      </c>
      <c r="L649" s="61" t="n"/>
      <c r="M649" s="61" t="n"/>
      <c r="N649" s="61" t="n"/>
      <c r="O649" s="61" t="n"/>
      <c r="P649" s="61" t="n"/>
      <c r="Q649" s="62" t="n"/>
      <c r="R649" s="61" t="n"/>
    </row>
    <row r="650" ht="15.75" customHeight="1" s="38">
      <c r="A650" s="66" t="inlineStr">
        <is>
          <t>Electropower</t>
        </is>
      </c>
      <c r="B650" s="66" t="inlineStr">
        <is>
          <t>Torres de Iluminación</t>
        </is>
      </c>
      <c r="C650" s="66" t="inlineStr">
        <is>
          <t>Santiago</t>
        </is>
      </c>
      <c r="D650" s="66" t="inlineStr">
        <is>
          <t>fhernandez@electropower.cl</t>
        </is>
      </c>
      <c r="E650" s="66" t="inlineStr">
        <is>
          <t>(56) 9 5404 2333</t>
        </is>
      </c>
      <c r="F650" s="66" t="inlineStr">
        <is>
          <t>Gerente de TI / CIO (Director de Tecnología)</t>
        </is>
      </c>
      <c r="G650" s="66" t="n"/>
      <c r="H650" s="66" t="n"/>
      <c r="I650" s="66" t="inlineStr">
        <is>
          <t>76.257.832-8</t>
        </is>
      </c>
      <c r="J650" s="66" t="n"/>
      <c r="K650" s="66" t="inlineStr">
        <is>
          <t>Ventas: GRANDE 3 (600.000 - 1.000.000 UF) | Empleados: 31</t>
        </is>
      </c>
      <c r="L650" s="61" t="n"/>
      <c r="M650" s="61" t="n"/>
      <c r="N650" s="61" t="n"/>
      <c r="O650" s="61" t="n"/>
      <c r="P650" s="61" t="n"/>
      <c r="Q650" s="62" t="n"/>
      <c r="R650" s="61" t="n"/>
    </row>
    <row r="651" ht="15.75" customHeight="1" s="38">
      <c r="A651" s="66" t="inlineStr">
        <is>
          <t>Electroproductos S.A.</t>
        </is>
      </c>
      <c r="B651" s="66" t="inlineStr">
        <is>
          <t>Equipos para Iluminación</t>
        </is>
      </c>
      <c r="C651" s="66" t="inlineStr">
        <is>
          <t>Santiago</t>
        </is>
      </c>
      <c r="D651" s="66" t="inlineStr">
        <is>
          <t>ventasonline@eepp.cl</t>
        </is>
      </c>
      <c r="E651" s="66" t="inlineStr">
        <is>
          <t>(56) 2 2728 6108</t>
        </is>
      </c>
      <c r="F651" s="66" t="n"/>
      <c r="G651" s="66" t="n"/>
      <c r="H651" s="66" t="n"/>
      <c r="I651" s="66" t="inlineStr">
        <is>
          <t>78.827.140-9</t>
        </is>
      </c>
      <c r="J651" s="66" t="n"/>
      <c r="K651" s="66" t="inlineStr">
        <is>
          <t>Ventas: GRANDE 1 (100.000 - 200.000 UF) | Empleados: 37</t>
        </is>
      </c>
      <c r="L651" s="61" t="n"/>
      <c r="M651" s="61" t="n"/>
      <c r="N651" s="61" t="n"/>
      <c r="O651" s="61" t="n"/>
      <c r="P651" s="61" t="n"/>
      <c r="Q651" s="62" t="n"/>
      <c r="R651" s="61" t="n"/>
    </row>
    <row r="652" ht="15.75" customHeight="1" s="38">
      <c r="A652" s="59" t="inlineStr">
        <is>
          <t>Electroram Telecomunicaciones Ltda.</t>
        </is>
      </c>
      <c r="B652" s="59" t="inlineStr">
        <is>
          <t>Radiocomunicaciones, Telecomunicaciones</t>
        </is>
      </c>
      <c r="C652" s="59" t="inlineStr">
        <is>
          <t>Antofagasta</t>
        </is>
      </c>
      <c r="D652" s="59" t="inlineStr">
        <is>
          <t>electroram@electroram.cl</t>
        </is>
      </c>
      <c r="E652" s="59" t="inlineStr">
        <is>
          <t>(56) 55 256 1670</t>
        </is>
      </c>
      <c r="F652" s="59" t="inlineStr">
        <is>
          <t>Martha Aguilera (Gerente Innovación)</t>
        </is>
      </c>
      <c r="G652" s="59" t="n"/>
      <c r="H652" s="59" t="n"/>
      <c r="I652" s="59" t="inlineStr">
        <is>
          <t>76025110-0</t>
        </is>
      </c>
      <c r="J652" s="59" t="inlineStr">
        <is>
          <t>Conectividad Satelital Fleet Space Minería</t>
        </is>
      </c>
      <c r="K652" s="59" t="inlineStr">
        <is>
          <t>Ventas: GRANDE 2 (200.000 - 600.000 UF) | Empleados: 102</t>
        </is>
      </c>
      <c r="L652" s="61" t="n"/>
      <c r="M652" s="61" t="n"/>
      <c r="N652" s="61" t="n"/>
      <c r="O652" s="61" t="n"/>
      <c r="P652" s="61" t="n"/>
      <c r="Q652" s="62" t="n"/>
      <c r="R652" s="61" t="n"/>
    </row>
    <row r="653" ht="15.75" customHeight="1" s="38">
      <c r="A653" s="66" t="inlineStr">
        <is>
          <t>Electroval Ltda.</t>
        </is>
      </c>
      <c r="B653" s="66" t="inlineStr">
        <is>
          <t>Bobinado de Motores Eléctricos, Electromecánica</t>
        </is>
      </c>
      <c r="C653" s="66" t="inlineStr">
        <is>
          <t>Valparaíso</t>
        </is>
      </c>
      <c r="D653" s="66" t="inlineStr">
        <is>
          <t>consulta@electroval.cl</t>
        </is>
      </c>
      <c r="E653" s="66" t="inlineStr">
        <is>
          <t>(56) 32 229 9012</t>
        </is>
      </c>
      <c r="F653" s="66" t="n"/>
      <c r="G653" s="66" t="n"/>
      <c r="H653" s="66" t="n"/>
      <c r="I653" s="66" t="inlineStr">
        <is>
          <t>85.475.200-6</t>
        </is>
      </c>
      <c r="J653" s="66" t="n"/>
      <c r="K653" s="66" t="inlineStr">
        <is>
          <t>Ventas: MEDIANA 1 (25.000 - 50.000 UF) | Empleados: 20</t>
        </is>
      </c>
      <c r="L653" s="61" t="n"/>
      <c r="M653" s="61" t="n"/>
      <c r="N653" s="61" t="n"/>
      <c r="O653" s="61" t="n"/>
      <c r="P653" s="61" t="n"/>
      <c r="Q653" s="62" t="n"/>
      <c r="R653" s="61" t="n"/>
    </row>
    <row r="654" ht="15.75" customHeight="1" s="38">
      <c r="A654" s="66" t="inlineStr">
        <is>
          <t>Electrónica Rhomberg Ltda.</t>
        </is>
      </c>
      <c r="B654" s="66" t="inlineStr">
        <is>
          <t>Automatización, Electrónica</t>
        </is>
      </c>
      <c r="C654" s="66" t="inlineStr">
        <is>
          <t>Santiago</t>
        </is>
      </c>
      <c r="D654" s="66" t="inlineStr">
        <is>
          <t>ventas@rhomberg.cl</t>
        </is>
      </c>
      <c r="E654" s="66" t="inlineStr">
        <is>
          <t>(56) 2 2599 6900</t>
        </is>
      </c>
      <c r="F654" s="66" t="n"/>
      <c r="G654" s="66" t="n"/>
      <c r="H654" s="66" t="n"/>
      <c r="I654" s="66" t="inlineStr">
        <is>
          <t>96.932.110-6</t>
        </is>
      </c>
      <c r="J654" s="66" t="n"/>
      <c r="K654" s="66" t="inlineStr">
        <is>
          <t>Ventas: MEDIANA 2 (50.000 - 100.000 UF) | Empleados: 19</t>
        </is>
      </c>
      <c r="L654" s="61" t="n"/>
      <c r="M654" s="61" t="n"/>
      <c r="N654" s="61" t="n"/>
      <c r="O654" s="61" t="n"/>
      <c r="P654" s="61" t="n"/>
      <c r="Q654" s="62" t="n"/>
      <c r="R654" s="61" t="n"/>
    </row>
    <row r="655" ht="15.75" customHeight="1" s="38">
      <c r="A655" s="59" t="inlineStr">
        <is>
          <t>Elfle Comercial Dos Ltda.</t>
        </is>
      </c>
      <c r="B655" s="59" t="inlineStr">
        <is>
          <t>Artículos Eléctricos, Suministros para Computación</t>
        </is>
      </c>
      <c r="C655" s="59" t="inlineStr">
        <is>
          <t>Santiago</t>
        </is>
      </c>
      <c r="D655" s="59" t="inlineStr">
        <is>
          <t>ventas.jcs@elfle.cl</t>
        </is>
      </c>
      <c r="E655" s="59" t="inlineStr">
        <is>
          <t>(56) 2 2733 3000</t>
        </is>
      </c>
      <c r="F655" s="59" t="inlineStr">
        <is>
          <t>Gabriel Andres Pérez Gonzalez (Encargado TI)</t>
        </is>
      </c>
      <c r="G655" s="59" t="inlineStr">
        <is>
          <t>gabriel.perez@elfle.cl</t>
        </is>
      </c>
      <c r="H655" s="59" t="n"/>
      <c r="I655" s="59" t="inlineStr">
        <is>
          <t>76.085.400-K</t>
        </is>
      </c>
      <c r="J655" s="59" t="inlineStr">
        <is>
          <t>Investigación en Proceso</t>
        </is>
      </c>
      <c r="K655" s="59" t="inlineStr">
        <is>
          <t>Ventas: GRANDE 3 (600.000 - 1.000.000 UF) | Empleados: 24</t>
        </is>
      </c>
      <c r="L655" s="61" t="n"/>
      <c r="M655" s="61" t="n"/>
      <c r="N655" s="61" t="n"/>
      <c r="O655" s="61" t="n"/>
      <c r="P655" s="61" t="n"/>
      <c r="Q655" s="62" t="n"/>
      <c r="R655" s="61" t="n"/>
    </row>
    <row r="656" ht="15.75" customHeight="1" s="38">
      <c r="A656" s="66" t="inlineStr">
        <is>
          <t>Elite Professional</t>
        </is>
      </c>
      <c r="B656" s="66" t="inlineStr">
        <is>
          <t>Artículos para Aseo</t>
        </is>
      </c>
      <c r="C656" s="66" t="inlineStr">
        <is>
          <t>Santiago</t>
        </is>
      </c>
      <c r="D656" s="66" t="n"/>
      <c r="E656" s="66" t="inlineStr">
        <is>
          <t>(56) 2 2617 8898</t>
        </is>
      </c>
      <c r="F656" s="66" t="n"/>
      <c r="G656" s="66" t="n"/>
      <c r="H656" s="66" t="n"/>
      <c r="I656" s="66" t="inlineStr">
        <is>
          <t>96.529.310-8</t>
        </is>
      </c>
      <c r="J656" s="66" t="n"/>
      <c r="K656" s="66" t="inlineStr">
        <is>
          <t>Ventas: GRANDE (Estimado por Empleados) | Empleados: 2336</t>
        </is>
      </c>
      <c r="L656" s="61" t="n"/>
      <c r="M656" s="61" t="n"/>
      <c r="N656" s="61" t="n"/>
      <c r="O656" s="61" t="n"/>
      <c r="P656" s="61" t="n"/>
      <c r="Q656" s="62" t="n"/>
      <c r="R656" s="61" t="n"/>
    </row>
    <row r="657" ht="15.75" customHeight="1" s="38">
      <c r="A657" s="66" t="inlineStr">
        <is>
          <t>Emecin Ltda.</t>
        </is>
      </c>
      <c r="B657" s="66" t="inlineStr">
        <is>
          <t>Electromecánica</t>
        </is>
      </c>
      <c r="C657" s="66" t="inlineStr">
        <is>
          <t>Santiago</t>
        </is>
      </c>
      <c r="D657" s="66" t="inlineStr">
        <is>
          <t>contacto@emecin.cl</t>
        </is>
      </c>
      <c r="E657" s="66" t="inlineStr">
        <is>
          <t>(56) 2 2361 9719</t>
        </is>
      </c>
      <c r="F657" s="66" t="n"/>
      <c r="G657" s="66" t="n"/>
      <c r="H657" s="66" t="n"/>
      <c r="I657" s="66" t="inlineStr">
        <is>
          <t>76.559.260-7</t>
        </is>
      </c>
      <c r="J657" s="66" t="n"/>
      <c r="K657" s="66" t="inlineStr">
        <is>
          <t>Ventas: MEDIANA 1 (25.000 - 50.000 UF) | Empleados: 29</t>
        </is>
      </c>
      <c r="L657" s="61" t="n"/>
      <c r="M657" s="61" t="n"/>
      <c r="N657" s="61" t="n"/>
      <c r="O657" s="61" t="n"/>
      <c r="P657" s="61" t="n"/>
      <c r="Q657" s="62" t="n"/>
      <c r="R657" s="61" t="n"/>
    </row>
    <row r="658" ht="15.75" customHeight="1" s="38">
      <c r="A658" s="66" t="inlineStr">
        <is>
          <t>Emem Ltda.</t>
        </is>
      </c>
      <c r="B658" s="66" t="inlineStr">
        <is>
          <t>Calderería</t>
        </is>
      </c>
      <c r="C658" s="66" t="inlineStr">
        <is>
          <t>Santiago</t>
        </is>
      </c>
      <c r="D658" s="66" t="inlineStr">
        <is>
          <t>info@emem.cl</t>
        </is>
      </c>
      <c r="E658" s="66" t="inlineStr">
        <is>
          <t>(56) 2 2558 2628</t>
        </is>
      </c>
      <c r="F658" s="66" t="n"/>
      <c r="G658" s="66" t="n"/>
      <c r="H658" s="66" t="n"/>
      <c r="I658" s="66" t="inlineStr">
        <is>
          <t>88.020.800-4</t>
        </is>
      </c>
      <c r="J658" s="66" t="n"/>
      <c r="K658" s="66" t="inlineStr">
        <is>
          <t>Ventas: MEDIANA 2 (50.000 - 100.000 UF) | Empleados: 40</t>
        </is>
      </c>
      <c r="L658" s="61" t="n"/>
      <c r="M658" s="61" t="n"/>
      <c r="N658" s="61" t="n"/>
      <c r="O658" s="61" t="n"/>
      <c r="P658" s="61" t="n"/>
      <c r="Q658" s="62" t="n"/>
      <c r="R658" s="61" t="n"/>
    </row>
    <row r="659" ht="15.75" customHeight="1" s="38">
      <c r="A659" s="66" t="inlineStr">
        <is>
          <t>Emerson</t>
        </is>
      </c>
      <c r="B659" s="66" t="inlineStr">
        <is>
          <t>Soluciones de Automatización de Procesos</t>
        </is>
      </c>
      <c r="C659" s="66" t="inlineStr">
        <is>
          <t>Santiago</t>
        </is>
      </c>
      <c r="D659" s="66" t="inlineStr">
        <is>
          <t>customer.services@emerson.com</t>
        </is>
      </c>
      <c r="E659" s="66" t="inlineStr">
        <is>
          <t>(56) 2 2928 4800</t>
        </is>
      </c>
      <c r="F659" s="66" t="n"/>
      <c r="G659" s="66" t="n"/>
      <c r="H659" s="66" t="n"/>
      <c r="I659" s="66" t="inlineStr">
        <is>
          <t>77.273.120-5</t>
        </is>
      </c>
      <c r="J659" s="66" t="n"/>
      <c r="K659" s="66" t="inlineStr">
        <is>
          <t>Ventas: MEDIANA (Estimado por Empleados) | Empleados: 127</t>
        </is>
      </c>
      <c r="L659" s="61" t="n"/>
      <c r="M659" s="61" t="n"/>
      <c r="N659" s="61" t="n"/>
      <c r="O659" s="61" t="n"/>
      <c r="P659" s="61" t="n"/>
      <c r="Q659" s="62" t="n"/>
      <c r="R659" s="61" t="n"/>
    </row>
    <row r="660" ht="15.75" customHeight="1" s="38">
      <c r="A660" s="66" t="inlineStr">
        <is>
          <t>Emeser Chile</t>
        </is>
      </c>
      <c r="B660" s="66" t="inlineStr">
        <is>
          <t>Asientos Equipos Mineros, Repuestos para Locomotoras, Repuestos para Maquinaria Pesada</t>
        </is>
      </c>
      <c r="C660" s="66" t="inlineStr">
        <is>
          <t>Antofagasta</t>
        </is>
      </c>
      <c r="D660" s="66" t="inlineStr">
        <is>
          <t>lisandrovasquez@emeser.cl</t>
        </is>
      </c>
      <c r="E660" s="66" t="inlineStr">
        <is>
          <t>(56) 55 255 6360</t>
        </is>
      </c>
      <c r="F660" s="66" t="n"/>
      <c r="G660" s="66" t="n"/>
      <c r="H660" s="66" t="n"/>
      <c r="I660" s="66" t="inlineStr">
        <is>
          <t>76.507.730-3</t>
        </is>
      </c>
      <c r="J660" s="66" t="n"/>
      <c r="K660" s="66" t="inlineStr">
        <is>
          <t>Ventas: MICRO 1 (0.01 - 200 UF) | Empleados: 0</t>
        </is>
      </c>
      <c r="L660" s="61" t="n"/>
      <c r="M660" s="61" t="n"/>
      <c r="N660" s="61" t="n"/>
      <c r="O660" s="61" t="n"/>
      <c r="P660" s="61" t="n"/>
      <c r="Q660" s="62" t="n"/>
      <c r="R660" s="61" t="n"/>
    </row>
    <row r="661" ht="15.75" customHeight="1" s="38">
      <c r="A661" s="66" t="inlineStr">
        <is>
          <t>Emin Ingeniería y Construcción S.A.</t>
        </is>
      </c>
      <c r="B661" s="66" t="inlineStr">
        <is>
          <t>Soluciones Multidisciplinarias para Proyectos Mineros</t>
        </is>
      </c>
      <c r="C661" s="66" t="inlineStr">
        <is>
          <t>Santiago</t>
        </is>
      </c>
      <c r="D661" s="66" t="inlineStr">
        <is>
          <t>info@emin.cl</t>
        </is>
      </c>
      <c r="E661" s="66" t="inlineStr">
        <is>
          <t>(56) 2 2388 0300</t>
        </is>
      </c>
      <c r="F661" s="66" t="n"/>
      <c r="G661" s="66" t="n"/>
      <c r="H661" s="66" t="n"/>
      <c r="I661" s="66" t="inlineStr">
        <is>
          <t>79.527.230-5</t>
        </is>
      </c>
      <c r="J661" s="66" t="n"/>
      <c r="K661" s="66" t="inlineStr">
        <is>
          <t>Ventas: GRANDE (Estimado por Empleados) | Empleados: 2383</t>
        </is>
      </c>
      <c r="L661" s="61" t="n"/>
      <c r="M661" s="61" t="n"/>
      <c r="N661" s="61" t="n"/>
      <c r="O661" s="61" t="n"/>
      <c r="P661" s="61" t="n"/>
      <c r="Q661" s="62" t="n"/>
      <c r="R661" s="61" t="n"/>
    </row>
    <row r="662" ht="15.75" customHeight="1" s="38">
      <c r="A662" s="66" t="inlineStr">
        <is>
          <t>Emjoval SpA</t>
        </is>
      </c>
      <c r="B662" s="66" t="inlineStr">
        <is>
          <t>Supresores de Polvo</t>
        </is>
      </c>
      <c r="C662" s="66" t="inlineStr">
        <is>
          <t>Santiago</t>
        </is>
      </c>
      <c r="D662" s="66" t="inlineStr">
        <is>
          <t>contacto@emjoval.cl</t>
        </is>
      </c>
      <c r="E662" s="66" t="inlineStr">
        <is>
          <t>(56) 9 5015 9812</t>
        </is>
      </c>
      <c r="F662" s="66" t="n"/>
      <c r="G662" s="66" t="n"/>
      <c r="H662" s="66" t="n"/>
      <c r="I662" s="66" t="inlineStr">
        <is>
          <t>77.092.192-9</t>
        </is>
      </c>
      <c r="J662" s="66" t="n"/>
      <c r="K662" s="66" t="inlineStr">
        <is>
          <t>Ventas: MICRO 1 (0.01 - 200 UF) | Empleados: 0</t>
        </is>
      </c>
      <c r="L662" s="61" t="n"/>
      <c r="M662" s="61" t="n"/>
      <c r="N662" s="61" t="n"/>
      <c r="O662" s="61" t="n"/>
      <c r="P662" s="61" t="n"/>
      <c r="Q662" s="62" t="n"/>
      <c r="R662" s="61" t="n"/>
    </row>
    <row r="663" ht="15.75" customHeight="1" s="38">
      <c r="A663" s="66" t="inlineStr">
        <is>
          <t>Emo Trans Chile</t>
        </is>
      </c>
      <c r="B663" s="66" t="inlineStr">
        <is>
          <t>Transporte Internacional</t>
        </is>
      </c>
      <c r="C663" s="66" t="inlineStr">
        <is>
          <t>Santiago</t>
        </is>
      </c>
      <c r="D663" s="66" t="inlineStr">
        <is>
          <t>info@emotrans-chile.cl</t>
        </is>
      </c>
      <c r="E663" s="66" t="inlineStr">
        <is>
          <t>(56) 2 2204 7000</t>
        </is>
      </c>
      <c r="F663" s="66" t="n"/>
      <c r="G663" s="66" t="n"/>
      <c r="H663" s="66" t="n"/>
      <c r="I663" s="66" t="inlineStr">
        <is>
          <t>76.124.750-6</t>
        </is>
      </c>
      <c r="J663" s="66" t="n"/>
      <c r="K663" s="66" t="inlineStr">
        <is>
          <t>Ventas: GRANDE 2 (200.000 - 600.000 UF) | Empleados: 29</t>
        </is>
      </c>
      <c r="L663" s="61" t="n"/>
      <c r="M663" s="61" t="n"/>
      <c r="N663" s="61" t="n"/>
      <c r="O663" s="61" t="n"/>
      <c r="P663" s="61" t="n"/>
      <c r="Q663" s="62" t="n"/>
      <c r="R663" s="61" t="n"/>
    </row>
    <row r="664" ht="15.75" customHeight="1" s="38">
      <c r="A664" s="66" t="inlineStr">
        <is>
          <t>Empire Pack SpA</t>
        </is>
      </c>
      <c r="B664" s="66" t="inlineStr">
        <is>
          <t>Empaques y Embalajes</t>
        </is>
      </c>
      <c r="C664" s="66" t="inlineStr">
        <is>
          <t>Santiago</t>
        </is>
      </c>
      <c r="D664" s="66" t="n"/>
      <c r="E664" s="66" t="inlineStr">
        <is>
          <t>(56) 9 4262 5537</t>
        </is>
      </c>
      <c r="F664" s="66" t="n"/>
      <c r="G664" s="66" t="n"/>
      <c r="H664" s="66" t="n"/>
      <c r="I664" s="66" t="inlineStr">
        <is>
          <t>77162989-K</t>
        </is>
      </c>
      <c r="J664" s="66" t="n"/>
      <c r="K664" s="66" t="inlineStr">
        <is>
          <t>Ventas: PEQUEÑA 3 (10.000 - 25.000 UF) | Empleados: 5</t>
        </is>
      </c>
      <c r="L664" s="61" t="n"/>
      <c r="M664" s="61" t="n"/>
      <c r="N664" s="61" t="n"/>
      <c r="O664" s="61" t="n"/>
      <c r="P664" s="61" t="n"/>
      <c r="Q664" s="62" t="n"/>
      <c r="R664" s="61" t="n"/>
    </row>
    <row r="665" ht="15.75" customHeight="1" s="38">
      <c r="A665" s="66" t="inlineStr">
        <is>
          <t>Empresas HC</t>
        </is>
      </c>
      <c r="B665" s="66" t="inlineStr">
        <is>
          <t>Anclajes</t>
        </is>
      </c>
      <c r="C665" s="66" t="inlineStr">
        <is>
          <t>Calama</t>
        </is>
      </c>
      <c r="D665" s="66" t="n"/>
      <c r="E665" s="66" t="inlineStr">
        <is>
          <t>(56) 9 8156 8784</t>
        </is>
      </c>
      <c r="F665" s="66" t="n"/>
      <c r="G665" s="66" t="n"/>
      <c r="H665" s="66" t="n"/>
      <c r="I665" s="66" t="inlineStr">
        <is>
          <t>76.239.440-5</t>
        </is>
      </c>
      <c r="J665" s="66" t="n"/>
      <c r="K665" s="66" t="inlineStr">
        <is>
          <t>Ventas: MICRO 1 (0.01 - 200 UF) | Empleados: 0</t>
        </is>
      </c>
      <c r="L665" s="61" t="n"/>
      <c r="M665" s="61" t="n"/>
      <c r="N665" s="61" t="n"/>
      <c r="O665" s="61" t="n"/>
      <c r="P665" s="61" t="n"/>
      <c r="Q665" s="62" t="n"/>
      <c r="R665" s="61" t="n"/>
    </row>
    <row r="666" ht="15.75" customHeight="1" s="38">
      <c r="A666" s="66" t="inlineStr">
        <is>
          <t>Empresas IEG</t>
        </is>
      </c>
      <c r="B666" s="66" t="inlineStr">
        <is>
          <t>Servicios Geodésicos, Servicios Topográficos</t>
        </is>
      </c>
      <c r="C666" s="66" t="inlineStr">
        <is>
          <t>Santiago</t>
        </is>
      </c>
      <c r="D666" s="66" t="inlineStr">
        <is>
          <t>produccion@empresasieg.com</t>
        </is>
      </c>
      <c r="E666" s="66" t="inlineStr">
        <is>
          <t>(56) 2 2947 5000</t>
        </is>
      </c>
      <c r="F666" s="66" t="n"/>
      <c r="G666" s="66" t="n"/>
      <c r="H666" s="66" t="n"/>
      <c r="I666" s="66" t="inlineStr">
        <is>
          <t>79.889.790-K</t>
        </is>
      </c>
      <c r="J666" s="66" t="n"/>
      <c r="K666" s="66" t="inlineStr">
        <is>
          <t>Ventas: PEQUEÑA 3 (10.000 - 25.000 UF) | Empleados: 18</t>
        </is>
      </c>
      <c r="L666" s="61" t="n"/>
      <c r="M666" s="61" t="n"/>
      <c r="N666" s="61" t="n"/>
      <c r="O666" s="61" t="n"/>
      <c r="P666" s="61" t="n"/>
      <c r="Q666" s="62" t="n"/>
      <c r="R666" s="61" t="n"/>
    </row>
    <row r="667" ht="15.75" customHeight="1" s="38">
      <c r="A667" s="66" t="inlineStr">
        <is>
          <t>Empresas Lipigas S.A.</t>
        </is>
      </c>
      <c r="B667" s="66" t="inlineStr">
        <is>
          <t>Proveedor Destacado, Eficiencia Energética, Energías Renovables, Proyectos Inmobiliarios, Suministro Eléctrico</t>
        </is>
      </c>
      <c r="C667" s="66" t="inlineStr">
        <is>
          <t>Santiago</t>
        </is>
      </c>
      <c r="D667" s="66" t="inlineStr">
        <is>
          <t>mineria@lipigas.cl</t>
        </is>
      </c>
      <c r="E667" s="66" t="inlineStr">
        <is>
          <t>600 500 6000</t>
        </is>
      </c>
      <c r="F667" s="66" t="n"/>
      <c r="G667" s="66" t="n"/>
      <c r="H667" s="66" t="inlineStr">
        <is>
          <t>http://www.lipigas.cl</t>
        </is>
      </c>
      <c r="I667" s="66" t="inlineStr">
        <is>
          <t>96.928.510-K</t>
        </is>
      </c>
      <c r="J667" s="66" t="n"/>
      <c r="K667" s="66" t="inlineStr">
        <is>
          <t>Ventas: GRANDE (Estimado por Empleados) | Empleados: 953</t>
        </is>
      </c>
      <c r="L667" s="61" t="n"/>
      <c r="M667" s="61" t="n"/>
      <c r="N667" s="61" t="n"/>
      <c r="O667" s="61" t="n"/>
      <c r="P667" s="61" t="n"/>
      <c r="Q667" s="62" t="n"/>
      <c r="R667" s="61" t="n"/>
    </row>
    <row r="668" ht="15.75" customHeight="1" s="38">
      <c r="A668" s="59" t="inlineStr">
        <is>
          <t>Empresas Perrot</t>
        </is>
      </c>
      <c r="B668" s="59" t="inlineStr">
        <is>
          <t>Transporte Terrestre</t>
        </is>
      </c>
      <c r="C668" s="59" t="inlineStr">
        <is>
          <t>Santiago</t>
        </is>
      </c>
      <c r="D668" s="59" t="inlineStr">
        <is>
          <t>info@empresasperrot.cl</t>
        </is>
      </c>
      <c r="E668" s="59" t="inlineStr">
        <is>
          <t>(56) 2 2876 2700</t>
        </is>
      </c>
      <c r="F668" s="59" t="inlineStr">
        <is>
          <t>Mario Ceron (Gerente TI &amp; Digital)</t>
        </is>
      </c>
      <c r="G668" s="59" t="inlineStr">
        <is>
          <t>mario.ceron@perrot.cl</t>
        </is>
      </c>
      <c r="H668" s="59" t="n"/>
      <c r="I668" s="59" t="inlineStr">
        <is>
          <t>77.532.910-6</t>
        </is>
      </c>
      <c r="J668" s="59" t="inlineStr">
        <is>
          <t>Investigación en Proceso</t>
        </is>
      </c>
      <c r="K668" s="59" t="inlineStr">
        <is>
          <t>Ventas: GRANDE 3 (600.000 - 1.000.000 UF) | Empleados: 146</t>
        </is>
      </c>
      <c r="L668" s="61" t="n"/>
      <c r="M668" s="61" t="n"/>
      <c r="N668" s="61" t="n"/>
      <c r="O668" s="61" t="n"/>
      <c r="P668" s="61" t="n"/>
      <c r="Q668" s="62" t="n"/>
      <c r="R668" s="61" t="n"/>
    </row>
    <row r="669" ht="15.75" customHeight="1" s="38">
      <c r="A669" s="66" t="inlineStr">
        <is>
          <t>Emsipor Ltda.</t>
        </is>
      </c>
      <c r="B669" s="66" t="inlineStr">
        <is>
          <t>Seguridad Industrial y Minera</t>
        </is>
      </c>
      <c r="C669" s="66" t="inlineStr">
        <is>
          <t>Antofagasta</t>
        </is>
      </c>
      <c r="D669" s="66" t="n"/>
      <c r="E669" s="66" t="inlineStr">
        <is>
          <t>(56) 55 293 0571</t>
        </is>
      </c>
      <c r="F669" s="66" t="inlineStr">
        <is>
          <t>Gerente de TI / CIO (Director de Tecnología)</t>
        </is>
      </c>
      <c r="G669" s="66" t="n"/>
      <c r="H669" s="66" t="n"/>
      <c r="I669" s="66" t="inlineStr">
        <is>
          <t>77.134.000-8</t>
        </is>
      </c>
      <c r="J669" s="66" t="n"/>
      <c r="K669" s="66" t="inlineStr">
        <is>
          <t>Ventas: GRANDE 3 (600.000 - 1.000.000 UF) | Empleados: 479</t>
        </is>
      </c>
      <c r="L669" s="61" t="n"/>
      <c r="M669" s="61" t="n"/>
      <c r="N669" s="61" t="n"/>
      <c r="O669" s="61" t="n"/>
      <c r="P669" s="61" t="n"/>
      <c r="Q669" s="62" t="n"/>
      <c r="R669" s="61" t="n"/>
    </row>
    <row r="670" ht="15.75" customHeight="1" s="38">
      <c r="A670" s="59" t="inlineStr">
        <is>
          <t>Enaex Servicios</t>
        </is>
      </c>
      <c r="B670" s="59" t="inlineStr">
        <is>
          <t>Servicios para Tronaduras</t>
        </is>
      </c>
      <c r="C670" s="59" t="inlineStr">
        <is>
          <t>Santiago</t>
        </is>
      </c>
      <c r="D670" s="59" t="inlineStr">
        <is>
          <t>enaex@enaex.com</t>
        </is>
      </c>
      <c r="E670" s="59" t="inlineStr">
        <is>
          <t>(56) 2 2837 7600</t>
        </is>
      </c>
      <c r="F670" s="59" t="inlineStr">
        <is>
          <t>Jose Miguel Castro Gorostiza (Gerente Tecnologia)</t>
        </is>
      </c>
      <c r="G670" s="59" t="n"/>
      <c r="H670" s="59" t="n"/>
      <c r="I670" s="59" t="inlineStr">
        <is>
          <t>76.041.871-4</t>
        </is>
      </c>
      <c r="J670" s="59" t="inlineStr">
        <is>
          <t>Transf. Digital OCC &amp; Soluciones IT/OT</t>
        </is>
      </c>
      <c r="K670" s="59" t="inlineStr">
        <is>
          <t>Ventas: GRANDE (Estimado por Empleados) | Empleados: 2168</t>
        </is>
      </c>
      <c r="L670" s="61" t="n"/>
      <c r="M670" s="61" t="n"/>
      <c r="N670" s="61" t="n"/>
      <c r="O670" s="61" t="n"/>
      <c r="P670" s="61" t="n"/>
      <c r="Q670" s="62" t="n"/>
      <c r="R670" s="61" t="n"/>
    </row>
    <row r="671" ht="15.75" customHeight="1" s="38">
      <c r="A671" s="66" t="inlineStr">
        <is>
          <t>Enami, Empresa Nacional de Minería</t>
        </is>
      </c>
      <c r="B671" s="66" t="inlineStr">
        <is>
          <t>Cobre, Plata</t>
        </is>
      </c>
      <c r="C671" s="66" t="inlineStr">
        <is>
          <t>Santiago</t>
        </is>
      </c>
      <c r="D671" s="66" t="inlineStr">
        <is>
          <t>info@enami.cl</t>
        </is>
      </c>
      <c r="E671" s="66" t="inlineStr">
        <is>
          <t>(56) 2 2435 5000</t>
        </is>
      </c>
      <c r="F671" s="66" t="n"/>
      <c r="G671" s="66" t="n"/>
      <c r="H671" s="66" t="n"/>
      <c r="I671" s="66" t="inlineStr">
        <is>
          <t>61.703.000-4</t>
        </is>
      </c>
      <c r="J671" s="66" t="n"/>
      <c r="K671" s="66" t="inlineStr">
        <is>
          <t>Ventas: GRANDE (Estimado por Empleados) | Empleados: 1429</t>
        </is>
      </c>
      <c r="L671" s="61" t="n"/>
      <c r="M671" s="61" t="n"/>
      <c r="N671" s="61" t="n"/>
      <c r="O671" s="61" t="n"/>
      <c r="P671" s="61" t="n"/>
      <c r="Q671" s="62" t="n"/>
      <c r="R671" s="61" t="n"/>
    </row>
    <row r="672" ht="15.75" customHeight="1" s="38">
      <c r="A672" s="66" t="inlineStr">
        <is>
          <t>Encrypta Chile S.A.</t>
        </is>
      </c>
      <c r="B672" s="66" t="inlineStr">
        <is>
          <t>Sellos de Seguridad</t>
        </is>
      </c>
      <c r="C672" s="66" t="inlineStr">
        <is>
          <t>Santiago</t>
        </is>
      </c>
      <c r="D672" s="66" t="inlineStr">
        <is>
          <t>consultas@encrypta.cl</t>
        </is>
      </c>
      <c r="E672" s="66" t="inlineStr">
        <is>
          <t>(56) 9 8384 1722</t>
        </is>
      </c>
      <c r="F672" s="66" t="n"/>
      <c r="G672" s="66" t="n"/>
      <c r="H672" s="66" t="n"/>
      <c r="I672" s="66" t="inlineStr">
        <is>
          <t>96.935.050-5</t>
        </is>
      </c>
      <c r="J672" s="66" t="n"/>
      <c r="K672" s="66" t="inlineStr">
        <is>
          <t>Ventas: MEDIANA 2 (50.000 - 100.000 UF) | Empleados: 12</t>
        </is>
      </c>
      <c r="L672" s="61" t="n"/>
      <c r="M672" s="61" t="n"/>
      <c r="N672" s="61" t="n"/>
      <c r="O672" s="61" t="n"/>
      <c r="P672" s="61" t="n"/>
      <c r="Q672" s="62" t="n"/>
      <c r="R672" s="61" t="n"/>
    </row>
    <row r="673" ht="15.75" customHeight="1" s="38">
      <c r="A673" s="66" t="inlineStr">
        <is>
          <t>Endeavor Chile</t>
        </is>
      </c>
      <c r="B673" s="66" t="inlineStr">
        <is>
          <t>Servicios de Apoyo a Emprendedores</t>
        </is>
      </c>
      <c r="C673" s="66" t="inlineStr">
        <is>
          <t>Santiago</t>
        </is>
      </c>
      <c r="D673" s="66" t="n"/>
      <c r="E673" s="66" t="n"/>
      <c r="F673" s="66" t="n"/>
      <c r="G673" s="66" t="n"/>
      <c r="H673" s="66" t="n"/>
      <c r="I673" s="66" t="inlineStr">
        <is>
          <t>65.614.340-1</t>
        </is>
      </c>
      <c r="J673" s="66" t="n"/>
      <c r="K673" s="66" t="inlineStr">
        <is>
          <t>Ventas: MEDIANA 2 (50.000 - 100.000 UF) | Empleados: 35</t>
        </is>
      </c>
      <c r="L673" s="61" t="n"/>
      <c r="M673" s="61" t="n"/>
      <c r="N673" s="61" t="n"/>
      <c r="O673" s="61" t="n"/>
      <c r="P673" s="61" t="n"/>
      <c r="Q673" s="62" t="n"/>
      <c r="R673" s="61" t="n"/>
    </row>
    <row r="674" ht="15.75" customHeight="1" s="38">
      <c r="A674" s="66" t="inlineStr">
        <is>
          <t>Endress+Hauser Chile</t>
        </is>
      </c>
      <c r="B674" s="66" t="inlineStr">
        <is>
          <t>Automatización Industrial, Contratos de Mantenimiento, Servicios de Calibración</t>
        </is>
      </c>
      <c r="C674" s="66" t="inlineStr">
        <is>
          <t>Santiago</t>
        </is>
      </c>
      <c r="D674" s="66" t="inlineStr">
        <is>
          <t>info@endress.com</t>
        </is>
      </c>
      <c r="E674" s="66" t="inlineStr">
        <is>
          <t>(56) 2 2398 9100</t>
        </is>
      </c>
      <c r="F674" s="66" t="n"/>
      <c r="G674" s="66" t="n"/>
      <c r="H674" s="66" t="n"/>
      <c r="I674" s="66" t="inlineStr">
        <is>
          <t>77.388.600-8</t>
        </is>
      </c>
      <c r="J674" s="66" t="n"/>
      <c r="K674" s="66" t="inlineStr">
        <is>
          <t>Ventas: MEDIANA (Estimado por Empleados) | Empleados: 95</t>
        </is>
      </c>
      <c r="L674" s="61" t="n"/>
      <c r="M674" s="61" t="n"/>
      <c r="N674" s="61" t="n"/>
      <c r="O674" s="61" t="n"/>
      <c r="P674" s="61" t="n"/>
      <c r="Q674" s="62" t="n"/>
      <c r="R674" s="61" t="n"/>
    </row>
    <row r="675" ht="15.75" customHeight="1" s="38">
      <c r="A675" s="66" t="inlineStr">
        <is>
          <t>Enecon S.A.</t>
        </is>
      </c>
      <c r="B675" s="66" t="inlineStr">
        <is>
          <t>Anticorrosivos, Revestimientos</t>
        </is>
      </c>
      <c r="C675" s="66" t="inlineStr">
        <is>
          <t>Santiago</t>
        </is>
      </c>
      <c r="D675" s="66" t="inlineStr">
        <is>
          <t>contacto@enecon.cl</t>
        </is>
      </c>
      <c r="E675" s="66" t="inlineStr">
        <is>
          <t>(56) 2 2236 2532</t>
        </is>
      </c>
      <c r="F675" s="66" t="n"/>
      <c r="G675" s="66" t="n"/>
      <c r="H675" s="66" t="n"/>
      <c r="I675" s="66" t="inlineStr">
        <is>
          <t>76.028.169-7</t>
        </is>
      </c>
      <c r="J675" s="66" t="n"/>
      <c r="K675" s="66" t="inlineStr">
        <is>
          <t>Ventas: MEDIANA 2 (50.000 - 100.000 UF) | Empleados: 25</t>
        </is>
      </c>
      <c r="L675" s="61" t="n"/>
      <c r="M675" s="61" t="n"/>
      <c r="N675" s="61" t="n"/>
      <c r="O675" s="61" t="n"/>
      <c r="P675" s="61" t="n"/>
      <c r="Q675" s="62" t="n"/>
      <c r="R675" s="61" t="n"/>
    </row>
    <row r="676" ht="15.75" customHeight="1" s="38">
      <c r="A676" s="66" t="inlineStr">
        <is>
          <t>Enel Green Power Chile</t>
        </is>
      </c>
      <c r="B676" s="66" t="inlineStr">
        <is>
          <t>Energías Renovables</t>
        </is>
      </c>
      <c r="C676" s="66" t="inlineStr">
        <is>
          <t>Santiago</t>
        </is>
      </c>
      <c r="D676" s="66" t="inlineStr">
        <is>
          <t>gerencia@enel.com</t>
        </is>
      </c>
      <c r="E676" s="66" t="inlineStr">
        <is>
          <t>(56) 2 2630 8559</t>
        </is>
      </c>
      <c r="F676" s="66" t="n"/>
      <c r="G676" s="66" t="n"/>
      <c r="H676" s="66" t="n"/>
      <c r="I676" s="66" t="inlineStr">
        <is>
          <t>76412562-2</t>
        </is>
      </c>
      <c r="J676" s="66" t="n"/>
      <c r="K676" s="66" t="inlineStr">
        <is>
          <t>Ventas: GRANDE (Estimado por Empleados) | Empleados: 344</t>
        </is>
      </c>
      <c r="L676" s="61" t="n"/>
      <c r="M676" s="61" t="n"/>
      <c r="N676" s="61" t="n"/>
      <c r="O676" s="61" t="n"/>
      <c r="P676" s="61" t="n"/>
      <c r="Q676" s="62" t="n"/>
      <c r="R676" s="61" t="n"/>
    </row>
    <row r="677" ht="15.75" customHeight="1" s="38">
      <c r="A677" s="66" t="inlineStr">
        <is>
          <t>Enel X</t>
        </is>
      </c>
      <c r="B677" s="66" t="inlineStr">
        <is>
          <t>Energía Solar, Equipos de Generación de Energía</t>
        </is>
      </c>
      <c r="C677" s="66" t="inlineStr">
        <is>
          <t>Santiago</t>
        </is>
      </c>
      <c r="D677" s="66" t="n"/>
      <c r="E677" s="66" t="inlineStr">
        <is>
          <t>(56) 9 9905 8004</t>
        </is>
      </c>
      <c r="F677" s="66" t="n"/>
      <c r="G677" s="66" t="n"/>
      <c r="H677" s="66" t="n"/>
      <c r="I677" s="66" t="inlineStr">
        <is>
          <t>76924079-9</t>
        </is>
      </c>
      <c r="J677" s="66" t="n"/>
      <c r="K677" s="66" t="inlineStr">
        <is>
          <t>Ventas: MEDIANA (Estimado por Empleados) | Empleados: 111</t>
        </is>
      </c>
      <c r="L677" s="61" t="n"/>
      <c r="M677" s="61" t="n"/>
      <c r="N677" s="61" t="n"/>
      <c r="O677" s="61" t="n"/>
      <c r="P677" s="61" t="n"/>
      <c r="Q677" s="62" t="n"/>
      <c r="R677" s="61" t="n"/>
    </row>
    <row r="678" ht="15.75" customHeight="1" s="38">
      <c r="A678" s="66" t="inlineStr">
        <is>
          <t>Energuias SpA</t>
        </is>
      </c>
      <c r="B678" s="66" t="inlineStr">
        <is>
          <t>Equipos Detectores de Fuga de Gases</t>
        </is>
      </c>
      <c r="C678" s="66" t="inlineStr">
        <is>
          <t>Santiago</t>
        </is>
      </c>
      <c r="D678" s="66" t="inlineStr">
        <is>
          <t>contact@energuias.com</t>
        </is>
      </c>
      <c r="E678" s="66" t="inlineStr">
        <is>
          <t>(56) 2 2710 0101</t>
        </is>
      </c>
      <c r="F678" s="66" t="n"/>
      <c r="G678" s="66" t="n"/>
      <c r="H678" s="66" t="n"/>
      <c r="I678" s="66" t="inlineStr">
        <is>
          <t>76.043.384-5</t>
        </is>
      </c>
      <c r="J678" s="66" t="n"/>
      <c r="K678" s="66" t="inlineStr">
        <is>
          <t>Ventas: GRANDE 2 (200.000 - 600.000 UF) | Empleados: 13</t>
        </is>
      </c>
      <c r="L678" s="61" t="n"/>
      <c r="M678" s="61" t="n"/>
      <c r="N678" s="61" t="n"/>
      <c r="O678" s="61" t="n"/>
      <c r="P678" s="61" t="n"/>
      <c r="Q678" s="62" t="n"/>
      <c r="R678" s="61" t="n"/>
    </row>
    <row r="679" ht="15.75" customHeight="1" s="38">
      <c r="A679" s="66" t="inlineStr">
        <is>
          <t>Energya</t>
        </is>
      </c>
      <c r="B679" s="66" t="inlineStr">
        <is>
          <t>Servicios de Ingeniería, Automatización y Control para Sistemas de Generación Eléctrica, Tableros Eléctricos</t>
        </is>
      </c>
      <c r="C679" s="66" t="inlineStr">
        <is>
          <t>Santiago</t>
        </is>
      </c>
      <c r="D679" s="66" t="inlineStr">
        <is>
          <t>info@energya.cl</t>
        </is>
      </c>
      <c r="E679" s="66" t="inlineStr">
        <is>
          <t>(56) 2 2899 4030</t>
        </is>
      </c>
      <c r="F679" s="66" t="n"/>
      <c r="G679" s="66" t="n"/>
      <c r="H679" s="66" t="n"/>
      <c r="I679" s="66" t="inlineStr">
        <is>
          <t>76131054-2</t>
        </is>
      </c>
      <c r="J679" s="66" t="n"/>
      <c r="K679" s="66" t="inlineStr">
        <is>
          <t>Ventas: GRANDE 2 (200.000 - 600.000 UF) | Empleados: 23</t>
        </is>
      </c>
      <c r="L679" s="61" t="n"/>
      <c r="M679" s="61" t="n"/>
      <c r="N679" s="61" t="n"/>
      <c r="O679" s="61" t="n"/>
      <c r="P679" s="61" t="n"/>
      <c r="Q679" s="62" t="n"/>
      <c r="R679" s="61" t="n"/>
    </row>
    <row r="680" ht="15.75" customHeight="1" s="38">
      <c r="A680" s="66" t="inlineStr">
        <is>
          <t>Energía Llaima SpA</t>
        </is>
      </c>
      <c r="B680" s="66" t="inlineStr">
        <is>
          <t>Energías Renovables</t>
        </is>
      </c>
      <c r="C680" s="66" t="inlineStr">
        <is>
          <t>Santiago</t>
        </is>
      </c>
      <c r="D680" s="66" t="inlineStr">
        <is>
          <t>info@ellaima.cl</t>
        </is>
      </c>
      <c r="E680" s="66" t="inlineStr">
        <is>
          <t>(56) 2 2378 7979</t>
        </is>
      </c>
      <c r="F680" s="66" t="inlineStr">
        <is>
          <t>Gerente de TI / CIO (Director de Tecnología)</t>
        </is>
      </c>
      <c r="G680" s="66" t="n"/>
      <c r="H680" s="66" t="n"/>
      <c r="I680" s="66" t="inlineStr">
        <is>
          <t>76.097.069-7</t>
        </is>
      </c>
      <c r="J680" s="66" t="n"/>
      <c r="K680" s="66" t="inlineStr">
        <is>
          <t>Ventas: GRANDE 3 (600.000 - 1.000.000 UF) | Empleados: 49</t>
        </is>
      </c>
      <c r="L680" s="61" t="n"/>
      <c r="M680" s="61" t="n"/>
      <c r="N680" s="61" t="n"/>
      <c r="O680" s="61" t="n"/>
      <c r="P680" s="61" t="n"/>
      <c r="Q680" s="62" t="n"/>
      <c r="R680" s="61" t="n"/>
    </row>
    <row r="681" ht="15.75" customHeight="1" s="38">
      <c r="A681" s="59" t="inlineStr">
        <is>
          <t>Energías Industriales S.A. (EISA)</t>
        </is>
      </c>
      <c r="B681" s="59" t="inlineStr">
        <is>
          <t>Arriendo de Calderas Generadoras a Vapor y Agua Caliente, Asesoría Eficiencia Calderas y Equipos Relacionados, Reparación de Calderas</t>
        </is>
      </c>
      <c r="C681" s="59" t="inlineStr">
        <is>
          <t>Santiago</t>
        </is>
      </c>
      <c r="D681" s="59" t="inlineStr">
        <is>
          <t>info@eisa.cl</t>
        </is>
      </c>
      <c r="E681" s="59" t="inlineStr">
        <is>
          <t>(56) 2 2440 8300</t>
        </is>
      </c>
      <c r="F681" s="59" t="inlineStr">
        <is>
          <t>Mario Tapia Sottorff (Gerente de Operaciones)</t>
        </is>
      </c>
      <c r="G681" s="59" t="inlineStr">
        <is>
          <t>mtapia@eisa.cl</t>
        </is>
      </c>
      <c r="H681" s="59" t="n"/>
      <c r="I681" s="59" t="inlineStr">
        <is>
          <t>85.145.500-0</t>
        </is>
      </c>
      <c r="J681" s="59" t="inlineStr">
        <is>
          <t>Investigación en Proceso</t>
        </is>
      </c>
      <c r="K681" s="59" t="inlineStr">
        <is>
          <t>Ventas: GRANDE 3 (600.000 - 1.000.000 UF) | Empleados: 198</t>
        </is>
      </c>
      <c r="L681" s="61" t="n"/>
      <c r="M681" s="61" t="n"/>
      <c r="N681" s="61" t="n"/>
      <c r="O681" s="61" t="n"/>
      <c r="P681" s="61" t="n"/>
      <c r="Q681" s="62" t="n"/>
      <c r="R681" s="61" t="n"/>
    </row>
    <row r="682" ht="15.75" customHeight="1" s="38">
      <c r="A682" s="66" t="inlineStr">
        <is>
          <t>Enerk</t>
        </is>
      </c>
      <c r="B682" s="66" t="inlineStr">
        <is>
          <t>Tubos y Cañerías en Acero Inoxidable y Titanio, Válvulas para Control</t>
        </is>
      </c>
      <c r="C682" s="66" t="inlineStr">
        <is>
          <t>Santiago</t>
        </is>
      </c>
      <c r="D682" s="66" t="inlineStr">
        <is>
          <t>enerk@enerk.cl</t>
        </is>
      </c>
      <c r="E682" s="66" t="inlineStr">
        <is>
          <t>(56) 2 2224 5625</t>
        </is>
      </c>
      <c r="F682" s="66" t="n"/>
      <c r="G682" s="66" t="n"/>
      <c r="H682" s="66" t="n"/>
      <c r="I682" s="66" t="inlineStr">
        <is>
          <t>76363751-4</t>
        </is>
      </c>
      <c r="J682" s="66" t="n"/>
      <c r="K682" s="66" t="inlineStr">
        <is>
          <t>Ventas: MEDIANA 1 (25.000 - 50.000 UF) | Empleados: 7</t>
        </is>
      </c>
      <c r="L682" s="61" t="n"/>
      <c r="M682" s="61" t="n"/>
      <c r="N682" s="61" t="n"/>
      <c r="O682" s="61" t="n"/>
      <c r="P682" s="61" t="n"/>
      <c r="Q682" s="62" t="n"/>
      <c r="R682" s="61" t="n"/>
    </row>
    <row r="683" ht="15.75" customHeight="1" s="38">
      <c r="A683" s="66" t="inlineStr">
        <is>
          <t>Enex</t>
        </is>
      </c>
      <c r="B683" s="66" t="inlineStr">
        <is>
          <t>Combustibles</t>
        </is>
      </c>
      <c r="C683" s="66" t="inlineStr">
        <is>
          <t>Santiago</t>
        </is>
      </c>
      <c r="D683" s="66" t="inlineStr">
        <is>
          <t>hablemos@enex.cl</t>
        </is>
      </c>
      <c r="E683" s="66" t="inlineStr">
        <is>
          <t>600 350 2000</t>
        </is>
      </c>
      <c r="F683" s="66" t="n"/>
      <c r="G683" s="66" t="n"/>
      <c r="H683" s="66" t="n"/>
      <c r="I683" s="66" t="inlineStr">
        <is>
          <t>92.011.000-2</t>
        </is>
      </c>
      <c r="J683" s="66" t="n"/>
      <c r="K683" s="66" t="inlineStr">
        <is>
          <t>Ventas: GRANDE (Estimado por Empleados) | Empleados: 928</t>
        </is>
      </c>
      <c r="L683" s="61" t="n"/>
      <c r="M683" s="61" t="n"/>
      <c r="N683" s="61" t="n"/>
      <c r="O683" s="61" t="n"/>
      <c r="P683" s="61" t="n"/>
      <c r="Q683" s="62" t="n"/>
      <c r="R683" s="61" t="n"/>
    </row>
    <row r="684" ht="15.75" customHeight="1" s="38">
      <c r="A684" s="66" t="inlineStr">
        <is>
          <t>Enfrimar Ltda.</t>
        </is>
      </c>
      <c r="B684" s="66" t="inlineStr">
        <is>
          <t>Enfriadores</t>
        </is>
      </c>
      <c r="C684" s="66" t="inlineStr">
        <is>
          <t>Concepción</t>
        </is>
      </c>
      <c r="D684" s="66" t="inlineStr">
        <is>
          <t>enfrimar@enfrimar.com</t>
        </is>
      </c>
      <c r="E684" s="66" t="inlineStr">
        <is>
          <t>(56) 41 317 5600</t>
        </is>
      </c>
      <c r="F684" s="66" t="n"/>
      <c r="G684" s="66" t="n"/>
      <c r="H684" s="66" t="n"/>
      <c r="I684" s="66" t="inlineStr">
        <is>
          <t>76.077.093-0</t>
        </is>
      </c>
      <c r="J684" s="66" t="n"/>
      <c r="K684" s="66" t="inlineStr">
        <is>
          <t>Ventas: MEDIANA 2 (50.000 - 100.000 UF) | Empleados: 25</t>
        </is>
      </c>
      <c r="L684" s="61" t="n"/>
      <c r="M684" s="61" t="n"/>
      <c r="N684" s="61" t="n"/>
      <c r="O684" s="61" t="n"/>
      <c r="P684" s="61" t="n"/>
      <c r="Q684" s="62" t="n"/>
      <c r="R684" s="61" t="n"/>
    </row>
    <row r="685" ht="15.75" customHeight="1" s="38">
      <c r="A685" s="66" t="inlineStr">
        <is>
          <t>Engie</t>
        </is>
      </c>
      <c r="B685" s="66" t="inlineStr">
        <is>
          <t>Transmisión de Energía Eléctrica</t>
        </is>
      </c>
      <c r="C685" s="66" t="inlineStr">
        <is>
          <t>Santiago</t>
        </is>
      </c>
      <c r="D685" s="66" t="n"/>
      <c r="E685" s="66" t="inlineStr">
        <is>
          <t>(56) 9 9871 5180</t>
        </is>
      </c>
      <c r="F685" s="66" t="n"/>
      <c r="G685" s="66" t="n"/>
      <c r="H685" s="66" t="n"/>
      <c r="I685" s="66" t="inlineStr">
        <is>
          <t>88.006.900-4</t>
        </is>
      </c>
      <c r="J685" s="66" t="n"/>
      <c r="K685" s="66" t="inlineStr">
        <is>
          <t>Ventas: GRANDE (Estimado por Empleados) | Empleados: 1172</t>
        </is>
      </c>
      <c r="L685" s="61" t="n"/>
      <c r="M685" s="61" t="n"/>
      <c r="N685" s="61" t="n"/>
      <c r="O685" s="61" t="n"/>
      <c r="P685" s="61" t="n"/>
      <c r="Q685" s="62" t="n"/>
      <c r="R685" s="61" t="n"/>
    </row>
    <row r="686" ht="15.75" customHeight="1" s="38">
      <c r="A686" s="59" t="inlineStr">
        <is>
          <t>Engineering Composites SpA</t>
        </is>
      </c>
      <c r="B686" s="59" t="inlineStr">
        <is>
          <t>Revestimientos de FRP</t>
        </is>
      </c>
      <c r="C686" s="59" t="inlineStr">
        <is>
          <t>Santiago</t>
        </is>
      </c>
      <c r="D686" s="59" t="inlineStr">
        <is>
          <t>contacto@ecomposites.cl</t>
        </is>
      </c>
      <c r="E686" s="59" t="n"/>
      <c r="F686" s="59" t="inlineStr">
        <is>
          <t>Alfredo Jose Gonzalez (Jefe de Operaciones TI)</t>
        </is>
      </c>
      <c r="G686" s="59" t="inlineStr">
        <is>
          <t>alfredo.gonzalez@engineering.cl</t>
        </is>
      </c>
      <c r="H686" s="59" t="n"/>
      <c r="I686" s="59" t="inlineStr">
        <is>
          <t>76479832-5</t>
        </is>
      </c>
      <c r="J686" s="59" t="inlineStr">
        <is>
          <t>Investigación en Proceso</t>
        </is>
      </c>
      <c r="K686" s="59" t="inlineStr">
        <is>
          <t>Ventas: GRANDE 3 (600.000 - 1.000.000 UF) | Empleados: 460</t>
        </is>
      </c>
      <c r="L686" s="61" t="n"/>
      <c r="M686" s="61" t="n"/>
      <c r="N686" s="61" t="n"/>
      <c r="O686" s="61" t="n"/>
      <c r="P686" s="61" t="n"/>
      <c r="Q686" s="62" t="n"/>
      <c r="R686" s="61" t="n"/>
    </row>
    <row r="687" ht="15.75" customHeight="1" s="38">
      <c r="A687" s="66" t="inlineStr">
        <is>
          <t>Entel</t>
        </is>
      </c>
      <c r="B687" s="66" t="inlineStr">
        <is>
          <t>Soluciones Integradas de Redes y TI</t>
        </is>
      </c>
      <c r="C687" s="66" t="inlineStr">
        <is>
          <t>Santiago</t>
        </is>
      </c>
      <c r="D687" s="66" t="inlineStr">
        <is>
          <t>fperez@entel.cl</t>
        </is>
      </c>
      <c r="E687" s="66" t="inlineStr">
        <is>
          <t>600 360 2677</t>
        </is>
      </c>
      <c r="F687" s="66" t="n"/>
      <c r="G687" s="66" t="n"/>
      <c r="H687" s="66" t="n"/>
      <c r="I687" s="66" t="inlineStr">
        <is>
          <t>92.580.000-7</t>
        </is>
      </c>
      <c r="J687" s="66" t="n"/>
      <c r="K687" s="66" t="inlineStr">
        <is>
          <t>Ventas: GRANDE (Estimado por Empleados) | Empleados: 2582</t>
        </is>
      </c>
      <c r="L687" s="61" t="n"/>
      <c r="M687" s="61" t="n"/>
      <c r="N687" s="61" t="n"/>
      <c r="O687" s="61" t="n"/>
      <c r="P687" s="61" t="n"/>
      <c r="Q687" s="62" t="n"/>
      <c r="R687" s="61" t="n"/>
    </row>
    <row r="688" ht="15.75" customHeight="1" s="38">
      <c r="A688" s="66" t="inlineStr">
        <is>
          <t>Enviro Care Equipos SpA</t>
        </is>
      </c>
      <c r="B688" s="66" t="inlineStr">
        <is>
          <t>Sistemas para Control de Emisiones, Ventilación Industrial</t>
        </is>
      </c>
      <c r="C688" s="66" t="inlineStr">
        <is>
          <t>Santiago</t>
        </is>
      </c>
      <c r="D688" s="66" t="inlineStr">
        <is>
          <t>ventas@envirocare.cl</t>
        </is>
      </c>
      <c r="E688" s="66" t="inlineStr">
        <is>
          <t>(56) 2 2237 1586</t>
        </is>
      </c>
      <c r="F688" s="66" t="n"/>
      <c r="G688" s="66" t="n"/>
      <c r="H688" s="66" t="n"/>
      <c r="I688" s="66" t="inlineStr">
        <is>
          <t>78.406.580-4</t>
        </is>
      </c>
      <c r="J688" s="66" t="n"/>
      <c r="K688" s="66" t="inlineStr">
        <is>
          <t>Ventas: MEDIANA 2 (50.000 - 100.000 UF) | Empleados: 30</t>
        </is>
      </c>
      <c r="L688" s="61" t="n"/>
      <c r="M688" s="61" t="n"/>
      <c r="N688" s="61" t="n"/>
      <c r="O688" s="61" t="n"/>
      <c r="P688" s="61" t="n"/>
      <c r="Q688" s="62" t="n"/>
      <c r="R688" s="61" t="n"/>
    </row>
    <row r="689" ht="15.75" customHeight="1" s="38">
      <c r="A689" s="66" t="inlineStr">
        <is>
          <t>Envirosuite</t>
        </is>
      </c>
      <c r="B689" s="66" t="inlineStr">
        <is>
          <t>Software para la Gestión Ambiental Minera</t>
        </is>
      </c>
      <c r="C689" s="66" t="inlineStr">
        <is>
          <t>Santiago</t>
        </is>
      </c>
      <c r="D689" s="66" t="inlineStr">
        <is>
          <t>info@envirosuite.com</t>
        </is>
      </c>
      <c r="E689" s="66" t="inlineStr">
        <is>
          <t>(56) 9 4223 2325</t>
        </is>
      </c>
      <c r="F689" s="66" t="n"/>
      <c r="G689" s="66" t="n"/>
      <c r="H689" s="66" t="n"/>
      <c r="I689" s="66" t="inlineStr">
        <is>
          <t>77320170-6</t>
        </is>
      </c>
      <c r="J689" s="66" t="n"/>
      <c r="K689" s="66" t="inlineStr">
        <is>
          <t>Ventas: MEDIANA 2 (50.000 - 100.000 UF) | Empleados: 14</t>
        </is>
      </c>
      <c r="L689" s="61" t="n"/>
      <c r="M689" s="61" t="n"/>
      <c r="N689" s="61" t="n"/>
      <c r="O689" s="61" t="n"/>
      <c r="P689" s="61" t="n"/>
      <c r="Q689" s="62" t="n"/>
      <c r="R689" s="61" t="n"/>
    </row>
    <row r="690" ht="15.75" customHeight="1" s="38">
      <c r="A690" s="66" t="inlineStr">
        <is>
          <t>Epiroc Cono Sur</t>
        </is>
      </c>
      <c r="B690" s="66" t="inlineStr">
        <is>
          <t>Proveedor Destacado, Accesorios para Excavadoras, Aceros de Perforación, Cargadores Transportadores y Volquetes Subterráneos, Carguío y Transporte Subterráneo, Equipos de Perforación de Barrenos largos Subterráneos, Equipos de Perforación de Exploración, Equipos de Perforación de Pozos, Equipos de Perforación de Precorte, Equipos de Perforación de Producción, Equipos de Perforación Frontal, Equipos de Perforación Hidráulicos para Rocas Ornamentales, Equipos de Sondaje para Recuperación de Testigos, Equipos para Fortificación de Roca, Sistemas de Automatización Independientes del OEM, Sistemas de Ventilación, Sistemas de Ventilación para Túneles y Minería Subterránea, Soluciones de Automatización, Electrificación y Digitalización, Vehículos Utilitarios para Túneles de Minería Subterránea</t>
        </is>
      </c>
      <c r="C690" s="66" t="inlineStr">
        <is>
          <t>Santiago</t>
        </is>
      </c>
      <c r="D690" s="66" t="n"/>
      <c r="E690" s="66" t="inlineStr">
        <is>
          <t>(56) 2 2442 3600</t>
        </is>
      </c>
      <c r="F690" s="66" t="n"/>
      <c r="G690" s="66" t="n"/>
      <c r="H690" s="66" t="inlineStr">
        <is>
          <t>http://www.epiroc.com</t>
        </is>
      </c>
      <c r="I690" s="66" t="inlineStr">
        <is>
          <t>91.762.000-8</t>
        </is>
      </c>
      <c r="J690" s="66" t="n"/>
      <c r="K690" s="66" t="inlineStr">
        <is>
          <t>Ventas: GRANDE (Estimado por Empleados) | Empleados: 674</t>
        </is>
      </c>
      <c r="L690" s="61" t="n"/>
      <c r="M690" s="61" t="n"/>
      <c r="N690" s="61" t="n"/>
      <c r="O690" s="61" t="n"/>
      <c r="P690" s="61" t="n"/>
      <c r="Q690" s="62" t="n"/>
      <c r="R690" s="61" t="n"/>
    </row>
    <row r="691" ht="15.75" customHeight="1" s="38">
      <c r="A691" s="59" t="inlineStr">
        <is>
          <t>EPM Chile S.A.</t>
        </is>
      </c>
      <c r="B691" s="59" t="inlineStr">
        <is>
          <t>Proyectos para Infraestructura</t>
        </is>
      </c>
      <c r="C691" s="59" t="inlineStr">
        <is>
          <t>Santiago</t>
        </is>
      </c>
      <c r="D691" s="59" t="inlineStr">
        <is>
          <t>epmchile@epmchile.com</t>
        </is>
      </c>
      <c r="E691" s="59" t="inlineStr">
        <is>
          <t>(56) 2 2953 6631</t>
        </is>
      </c>
      <c r="F691" s="59" t="inlineStr">
        <is>
          <t>Fernando Meza (Gerente General (Tech Decision Maker))</t>
        </is>
      </c>
      <c r="G691" s="59" t="inlineStr">
        <is>
          <t>fmeza@epmchile.cl</t>
        </is>
      </c>
      <c r="H691" s="59" t="n"/>
      <c r="I691" s="59" t="inlineStr">
        <is>
          <t>76.266.933-1</t>
        </is>
      </c>
      <c r="J691" s="59" t="inlineStr">
        <is>
          <t>Investigación en Proceso</t>
        </is>
      </c>
      <c r="K691" s="59" t="inlineStr">
        <is>
          <t>Ventas: GRANDE 3 (600.000 - 1.000.000 UF) | Empleados: 3</t>
        </is>
      </c>
      <c r="L691" s="61" t="n"/>
      <c r="M691" s="61" t="n"/>
      <c r="N691" s="61" t="n"/>
      <c r="O691" s="61" t="n"/>
      <c r="P691" s="61" t="n"/>
      <c r="Q691" s="62" t="n"/>
      <c r="R691" s="61" t="n"/>
    </row>
    <row r="692" ht="15.75" customHeight="1" s="38">
      <c r="A692" s="66" t="inlineStr">
        <is>
          <t>Epol</t>
        </is>
      </c>
      <c r="B692" s="66" t="inlineStr">
        <is>
          <t>Equipamiento Contra Incendio, Seguridad Vial</t>
        </is>
      </c>
      <c r="C692" s="66" t="inlineStr">
        <is>
          <t>Iquique</t>
        </is>
      </c>
      <c r="D692" s="66" t="inlineStr">
        <is>
          <t>ventas@epol.cl</t>
        </is>
      </c>
      <c r="E692" s="66" t="inlineStr">
        <is>
          <t>(56) 9 9779 6346</t>
        </is>
      </c>
      <c r="F692" s="66" t="n"/>
      <c r="G692" s="66" t="n"/>
      <c r="H692" s="66" t="n"/>
      <c r="I692" s="66" t="inlineStr">
        <is>
          <t>77764050-K</t>
        </is>
      </c>
      <c r="J692" s="66" t="n"/>
      <c r="K692" s="66" t="inlineStr">
        <is>
          <t>Ventas: MEDIANA 1 (25.000 - 50.000 UF) | Empleados: 25</t>
        </is>
      </c>
      <c r="L692" s="61" t="n"/>
      <c r="M692" s="61" t="n"/>
      <c r="N692" s="61" t="n"/>
      <c r="O692" s="61" t="n"/>
      <c r="P692" s="61" t="n"/>
      <c r="Q692" s="62" t="n"/>
      <c r="R692" s="61" t="n"/>
    </row>
    <row r="693" ht="15.75" customHeight="1" s="38">
      <c r="A693" s="66" t="inlineStr">
        <is>
          <t>Epothan Ltda.</t>
        </is>
      </c>
      <c r="B693" s="66" t="inlineStr">
        <is>
          <t>Productos Químicos</t>
        </is>
      </c>
      <c r="C693" s="66" t="inlineStr">
        <is>
          <t>Santiago</t>
        </is>
      </c>
      <c r="D693" s="66" t="inlineStr">
        <is>
          <t>info@epothan.cl</t>
        </is>
      </c>
      <c r="E693" s="66" t="inlineStr">
        <is>
          <t>(56) 2 2745 3577</t>
        </is>
      </c>
      <c r="F693" s="66" t="n"/>
      <c r="G693" s="66" t="n"/>
      <c r="H693" s="66" t="n"/>
      <c r="I693" s="66" t="inlineStr">
        <is>
          <t>76.238.165-6</t>
        </is>
      </c>
      <c r="J693" s="66" t="n"/>
      <c r="K693" s="66" t="inlineStr">
        <is>
          <t>Ventas: MICRO 2 (200 - 600 UF) | Empleados: 0</t>
        </is>
      </c>
      <c r="L693" s="61" t="n"/>
      <c r="M693" s="61" t="n"/>
      <c r="N693" s="61" t="n"/>
      <c r="O693" s="61" t="n"/>
      <c r="P693" s="61" t="n"/>
      <c r="Q693" s="62" t="n"/>
      <c r="R693" s="61" t="n"/>
    </row>
    <row r="694" ht="15.75" customHeight="1" s="38">
      <c r="A694" s="66" t="inlineStr">
        <is>
          <t>Eprime Formación Ltda.</t>
        </is>
      </c>
      <c r="B694" s="66" t="inlineStr">
        <is>
          <t>Capacitación en BIM - Building Information Modeling, Capacitación en Sistemas de Información Geográfica QGIS Online, Sincrónica, Asincrónica y Presencial, Capacitación Excel, Capacitación Power Bi, Tableau Nivel Básico e Intermedio</t>
        </is>
      </c>
      <c r="C694" s="66" t="inlineStr">
        <is>
          <t>Santiago</t>
        </is>
      </c>
      <c r="D694" s="66" t="inlineStr">
        <is>
          <t>contacto@eprime.cl</t>
        </is>
      </c>
      <c r="E694" s="66" t="inlineStr">
        <is>
          <t>(56) 2 2791 1086</t>
        </is>
      </c>
      <c r="F694" s="66" t="n"/>
      <c r="G694" s="66" t="n"/>
      <c r="H694" s="66" t="n"/>
      <c r="I694" s="66" t="inlineStr">
        <is>
          <t>76.221.564-0</t>
        </is>
      </c>
      <c r="J694" s="66" t="n"/>
      <c r="K694" s="66" t="inlineStr">
        <is>
          <t>Ventas: PEQUEÑA 2 (5.000 - 10.000 UF) | Empleados: 3</t>
        </is>
      </c>
      <c r="L694" s="61" t="n"/>
      <c r="M694" s="61" t="n"/>
      <c r="N694" s="61" t="n"/>
      <c r="O694" s="61" t="n"/>
      <c r="P694" s="61" t="n"/>
      <c r="Q694" s="62" t="n"/>
      <c r="R694" s="61" t="n"/>
    </row>
    <row r="695" ht="15.75" customHeight="1" s="38">
      <c r="A695" s="66" t="inlineStr">
        <is>
          <t>Epson Chile S.A.</t>
        </is>
      </c>
      <c r="B695" s="66" t="inlineStr">
        <is>
          <t>Suministros para Computación</t>
        </is>
      </c>
      <c r="C695" s="66" t="inlineStr">
        <is>
          <t>Santiago</t>
        </is>
      </c>
      <c r="D695" s="66" t="inlineStr">
        <is>
          <t>latinmanager@ea.epson.com</t>
        </is>
      </c>
      <c r="E695" s="66" t="inlineStr">
        <is>
          <t>(56) 2 2484 3400</t>
        </is>
      </c>
      <c r="F695" s="66" t="n"/>
      <c r="G695" s="66" t="n"/>
      <c r="H695" s="66" t="n"/>
      <c r="I695" s="66" t="inlineStr">
        <is>
          <t>96.293.000-K</t>
        </is>
      </c>
      <c r="J695" s="66" t="n"/>
      <c r="K695" s="66" t="inlineStr">
        <is>
          <t>Ventas: MEDIANA (Estimado por Empleados) | Empleados: 83</t>
        </is>
      </c>
      <c r="L695" s="61" t="n"/>
      <c r="M695" s="61" t="n"/>
      <c r="N695" s="61" t="n"/>
      <c r="O695" s="61" t="n"/>
      <c r="P695" s="61" t="n"/>
      <c r="Q695" s="62" t="n"/>
      <c r="R695" s="61" t="n"/>
    </row>
    <row r="696" ht="15.75" customHeight="1" s="38">
      <c r="A696" s="66" t="inlineStr">
        <is>
          <t>Epysa Buses</t>
        </is>
      </c>
      <c r="B696" s="66" t="inlineStr">
        <is>
          <t>Proveedor Destacado, Autobuses, Buses 100% Eléctricos, Buses Diésel, Buses para la Minería, Buses y Taxibuses para Transporte de Pasajeros, Sector Turismo, Minería y Traslado de Personal</t>
        </is>
      </c>
      <c r="C696" s="66" t="inlineStr">
        <is>
          <t>Santiago</t>
        </is>
      </c>
      <c r="D696" s="66" t="inlineStr">
        <is>
          <t>carolina.vidal@epysa.cl</t>
        </is>
      </c>
      <c r="E696" s="66" t="inlineStr">
        <is>
          <t>(56) 2 2620 9500</t>
        </is>
      </c>
      <c r="F696" s="66" t="n"/>
      <c r="G696" s="66" t="n"/>
      <c r="H696" s="66" t="inlineStr">
        <is>
          <t>http://www.epysabuses.cl</t>
        </is>
      </c>
      <c r="I696" s="66" t="inlineStr">
        <is>
          <t>77.824.870-0</t>
        </is>
      </c>
      <c r="J696" s="66" t="n"/>
      <c r="K696" s="66" t="inlineStr">
        <is>
          <t>Ventas: MEDIANA (Estimado por Empleados) | Empleados: 52</t>
        </is>
      </c>
      <c r="L696" s="61" t="n"/>
      <c r="M696" s="61" t="n"/>
      <c r="N696" s="61" t="n"/>
      <c r="O696" s="61" t="n"/>
      <c r="P696" s="61" t="n"/>
      <c r="Q696" s="62" t="n"/>
      <c r="R696" s="61" t="n"/>
    </row>
    <row r="697" ht="15.75" customHeight="1" s="38">
      <c r="A697" s="66" t="inlineStr">
        <is>
          <t>Eqiip Ltda.</t>
        </is>
      </c>
      <c r="B697" s="66" t="inlineStr">
        <is>
          <t>Equipos para la Minería</t>
        </is>
      </c>
      <c r="C697" s="66" t="inlineStr">
        <is>
          <t>Los Andes</t>
        </is>
      </c>
      <c r="D697" s="66" t="inlineStr">
        <is>
          <t>eqiip@eqiip.cl</t>
        </is>
      </c>
      <c r="E697" s="66" t="inlineStr">
        <is>
          <t>(56) 34 240 2100</t>
        </is>
      </c>
      <c r="F697" s="66" t="n"/>
      <c r="G697" s="66" t="n"/>
      <c r="H697" s="66" t="n"/>
      <c r="I697" s="66" t="inlineStr">
        <is>
          <t>78.777.330-3</t>
        </is>
      </c>
      <c r="J697" s="66" t="n"/>
      <c r="K697" s="66" t="inlineStr">
        <is>
          <t>Ventas: PEQUEÑA 3 (10.000 - 25.000 UF) | Empleados: 5</t>
        </is>
      </c>
      <c r="L697" s="61" t="n"/>
      <c r="M697" s="61" t="n"/>
      <c r="N697" s="61" t="n"/>
      <c r="O697" s="61" t="n"/>
      <c r="P697" s="61" t="n"/>
      <c r="Q697" s="62" t="n"/>
      <c r="R697" s="61" t="n"/>
    </row>
    <row r="698" ht="15.75" customHeight="1" s="38">
      <c r="A698" s="66" t="inlineStr">
        <is>
          <t>Equans</t>
        </is>
      </c>
      <c r="B698" s="66" t="inlineStr">
        <is>
          <t>Equipos Eléctricos, Refrigeración Industrial</t>
        </is>
      </c>
      <c r="C698" s="66" t="inlineStr">
        <is>
          <t>Santiago</t>
        </is>
      </c>
      <c r="D698" s="66" t="inlineStr">
        <is>
          <t>contacto.chile@equans.com</t>
        </is>
      </c>
      <c r="E698" s="66" t="inlineStr">
        <is>
          <t>(56) 2 2389 7300</t>
        </is>
      </c>
      <c r="F698" s="66" t="n"/>
      <c r="G698" s="66" t="n"/>
      <c r="H698" s="66" t="n"/>
      <c r="I698" s="66" t="inlineStr">
        <is>
          <t>96.543.670-7</t>
        </is>
      </c>
      <c r="J698" s="66" t="n"/>
      <c r="K698" s="66" t="inlineStr">
        <is>
          <t>Ventas: GRANDE (Estimado por Empleados) | Empleados: 2807</t>
        </is>
      </c>
      <c r="L698" s="61" t="n"/>
      <c r="M698" s="61" t="n"/>
      <c r="N698" s="61" t="n"/>
      <c r="O698" s="61" t="n"/>
      <c r="P698" s="61" t="n"/>
      <c r="Q698" s="62" t="n"/>
      <c r="R698" s="61" t="n"/>
    </row>
    <row r="699" ht="15.75" customHeight="1" s="38">
      <c r="A699" s="66" t="inlineStr">
        <is>
          <t>Equinox SpA</t>
        </is>
      </c>
      <c r="B699" s="66" t="inlineStr">
        <is>
          <t>Válvulas</t>
        </is>
      </c>
      <c r="C699" s="66" t="inlineStr">
        <is>
          <t>Santiago</t>
        </is>
      </c>
      <c r="D699" s="66" t="inlineStr">
        <is>
          <t>proyectos@equinoxvalves.com</t>
        </is>
      </c>
      <c r="E699" s="66" t="inlineStr">
        <is>
          <t>(56) 2 3245 0493</t>
        </is>
      </c>
      <c r="F699" s="66" t="n"/>
      <c r="G699" s="66" t="n"/>
      <c r="H699" s="66" t="n"/>
      <c r="I699" s="66" t="inlineStr">
        <is>
          <t>76.169.325-5</t>
        </is>
      </c>
      <c r="J699" s="66" t="n"/>
      <c r="K699" s="66" t="inlineStr">
        <is>
          <t>Ventas: MICRO 2 (200 - 600 UF) | Empleados: 0</t>
        </is>
      </c>
      <c r="L699" s="61" t="n"/>
      <c r="M699" s="61" t="n"/>
      <c r="N699" s="61" t="n"/>
      <c r="O699" s="61" t="n"/>
      <c r="P699" s="61" t="n"/>
      <c r="Q699" s="62" t="n"/>
      <c r="R699" s="61" t="n"/>
    </row>
    <row r="700" ht="15.75" customHeight="1" s="38">
      <c r="A700" s="66" t="inlineStr">
        <is>
          <t>Equipos &amp; Bombas</t>
        </is>
      </c>
      <c r="B700" s="66" t="inlineStr">
        <is>
          <t>Bombas Centrífugas, Bombas Sumergibles y Drenaje</t>
        </is>
      </c>
      <c r="C700" s="66" t="inlineStr">
        <is>
          <t>Santiago</t>
        </is>
      </c>
      <c r="D700" s="66" t="inlineStr">
        <is>
          <t>ventas@equiposybombas.cl</t>
        </is>
      </c>
      <c r="E700" s="66" t="inlineStr">
        <is>
          <t>(56) 9 5207 7247</t>
        </is>
      </c>
      <c r="F700" s="66" t="n"/>
      <c r="G700" s="66" t="n"/>
      <c r="H700" s="66" t="n"/>
      <c r="I700" s="66" t="inlineStr">
        <is>
          <t>96.691.060-7</t>
        </is>
      </c>
      <c r="J700" s="66" t="n"/>
      <c r="K700" s="66" t="inlineStr">
        <is>
          <t>Ventas: GRANDE (Estimado por Empleados) | Empleados: 391</t>
        </is>
      </c>
      <c r="L700" s="61" t="n"/>
      <c r="M700" s="61" t="n"/>
      <c r="N700" s="61" t="n"/>
      <c r="O700" s="61" t="n"/>
      <c r="P700" s="61" t="n"/>
      <c r="Q700" s="62" t="n"/>
      <c r="R700" s="61" t="n"/>
    </row>
    <row r="701" ht="15.75" customHeight="1" s="38">
      <c r="A701" s="66" t="inlineStr">
        <is>
          <t>Equipos Industriales S.A.C.I.</t>
        </is>
      </c>
      <c r="B701" s="66" t="inlineStr">
        <is>
          <t>Elevadores de Capachos</t>
        </is>
      </c>
      <c r="C701" s="66" t="inlineStr">
        <is>
          <t>Santiago</t>
        </is>
      </c>
      <c r="D701" s="66" t="inlineStr">
        <is>
          <t>ventas@equipos.cl</t>
        </is>
      </c>
      <c r="E701" s="66" t="inlineStr">
        <is>
          <t>(56) 2 2847 2500</t>
        </is>
      </c>
      <c r="F701" s="66" t="n"/>
      <c r="G701" s="66" t="n"/>
      <c r="H701" s="66" t="n"/>
      <c r="I701" s="66" t="inlineStr">
        <is>
          <t>92.765.000-2</t>
        </is>
      </c>
      <c r="J701" s="66" t="n"/>
      <c r="K701" s="66" t="inlineStr">
        <is>
          <t>Ventas: MEDIANA 1 (25.000 - 50.000 UF) | Empleados: 9</t>
        </is>
      </c>
      <c r="L701" s="61" t="n"/>
      <c r="M701" s="61" t="n"/>
      <c r="N701" s="61" t="n"/>
      <c r="O701" s="61" t="n"/>
      <c r="P701" s="61" t="n"/>
      <c r="Q701" s="62" t="n"/>
      <c r="R701" s="61" t="n"/>
    </row>
    <row r="702" ht="15.75" customHeight="1" s="38">
      <c r="A702" s="66" t="inlineStr">
        <is>
          <t>Equipos Mineros EMSA</t>
        </is>
      </c>
      <c r="B702" s="66" t="inlineStr">
        <is>
          <t>Arriendo de Equipos para Perforación</t>
        </is>
      </c>
      <c r="C702" s="66" t="inlineStr">
        <is>
          <t>Santiago</t>
        </is>
      </c>
      <c r="D702" s="66" t="inlineStr">
        <is>
          <t>ventas@equiposmineros.cl</t>
        </is>
      </c>
      <c r="E702" s="66" t="inlineStr">
        <is>
          <t>(56) 2 3296 3779</t>
        </is>
      </c>
      <c r="F702" s="66" t="n"/>
      <c r="G702" s="66" t="n"/>
      <c r="H702" s="66" t="n"/>
      <c r="I702" s="66" t="inlineStr">
        <is>
          <t>76.360.571-K</t>
        </is>
      </c>
      <c r="J702" s="66" t="n"/>
      <c r="K702" s="66" t="inlineStr">
        <is>
          <t>Ventas: MEDIANA 1 (25.000 - 50.000 UF) | Empleados: 0</t>
        </is>
      </c>
      <c r="L702" s="61" t="n"/>
      <c r="M702" s="61" t="n"/>
      <c r="N702" s="61" t="n"/>
      <c r="O702" s="61" t="n"/>
      <c r="P702" s="61" t="n"/>
      <c r="Q702" s="62" t="n"/>
      <c r="R702" s="61" t="n"/>
    </row>
    <row r="703" ht="15.75" customHeight="1" s="38">
      <c r="A703" s="66" t="inlineStr">
        <is>
          <t>Equiseg Ltda.</t>
        </is>
      </c>
      <c r="B703" s="66" t="inlineStr">
        <is>
          <t>Artículos para Protección Personal</t>
        </is>
      </c>
      <c r="C703" s="66" t="inlineStr">
        <is>
          <t>Santiago</t>
        </is>
      </c>
      <c r="D703" s="66" t="inlineStr">
        <is>
          <t>contacto@equiposdeseguridad.cl</t>
        </is>
      </c>
      <c r="E703" s="66" t="inlineStr">
        <is>
          <t>(56) 2 2563 9400</t>
        </is>
      </c>
      <c r="F703" s="66" t="n"/>
      <c r="G703" s="66" t="n"/>
      <c r="H703" s="66" t="n"/>
      <c r="I703" s="66" t="inlineStr">
        <is>
          <t>76.140.971-9</t>
        </is>
      </c>
      <c r="J703" s="66" t="n"/>
      <c r="K703" s="66" t="inlineStr">
        <is>
          <t>Ventas: MEDIANA 2 (50.000 - 100.000 UF) | Empleados: 28</t>
        </is>
      </c>
      <c r="L703" s="61" t="n"/>
      <c r="M703" s="61" t="n"/>
      <c r="N703" s="61" t="n"/>
      <c r="O703" s="61" t="n"/>
      <c r="P703" s="61" t="n"/>
      <c r="Q703" s="62" t="n"/>
      <c r="R703" s="61" t="n"/>
    </row>
    <row r="704" ht="15.75" customHeight="1" s="38">
      <c r="A704" s="66" t="inlineStr">
        <is>
          <t>Eral Chile S.A.</t>
        </is>
      </c>
      <c r="B704" s="66" t="inlineStr">
        <is>
          <t>Equipos para la Minería</t>
        </is>
      </c>
      <c r="C704" s="66" t="inlineStr">
        <is>
          <t>Santiago</t>
        </is>
      </c>
      <c r="D704" s="66" t="inlineStr">
        <is>
          <t>eralchile@eralchile.com</t>
        </is>
      </c>
      <c r="E704" s="66" t="inlineStr">
        <is>
          <t>(56) 2 2364 5900</t>
        </is>
      </c>
      <c r="F704" s="66" t="n"/>
      <c r="G704" s="66" t="n"/>
      <c r="H704" s="66" t="n"/>
      <c r="I704" s="66" t="inlineStr">
        <is>
          <t>96.533.660-5</t>
        </is>
      </c>
      <c r="J704" s="66" t="n"/>
      <c r="K704" s="66" t="inlineStr">
        <is>
          <t>Ventas: GRANDE 2 (200.000 - 600.000 UF) | Empleados: 42</t>
        </is>
      </c>
      <c r="L704" s="61" t="n"/>
      <c r="M704" s="61" t="n"/>
      <c r="N704" s="61" t="n"/>
      <c r="O704" s="61" t="n"/>
      <c r="P704" s="61" t="n"/>
      <c r="Q704" s="62" t="n"/>
      <c r="R704" s="61" t="n"/>
    </row>
    <row r="705" ht="15.75" customHeight="1" s="38">
      <c r="A705" s="66" t="inlineStr">
        <is>
          <t>Ericsson Chile S.A.</t>
        </is>
      </c>
      <c r="B705" s="66" t="inlineStr">
        <is>
          <t>Telecomunicaciones</t>
        </is>
      </c>
      <c r="C705" s="66" t="inlineStr">
        <is>
          <t>Santiago</t>
        </is>
      </c>
      <c r="D705" s="66" t="inlineStr">
        <is>
          <t>recepcion.cec@ericsson.com</t>
        </is>
      </c>
      <c r="E705" s="66" t="inlineStr">
        <is>
          <t>(56) 2 2372 5000</t>
        </is>
      </c>
      <c r="F705" s="66" t="n"/>
      <c r="G705" s="66" t="n"/>
      <c r="H705" s="66" t="n"/>
      <c r="I705" s="66" t="inlineStr">
        <is>
          <t>91.162.000-6</t>
        </is>
      </c>
      <c r="J705" s="66" t="n"/>
      <c r="K705" s="66" t="inlineStr">
        <is>
          <t>Ventas: MEDIANA (Estimado por Empleados) | Empleados: 173</t>
        </is>
      </c>
      <c r="L705" s="61" t="n"/>
      <c r="M705" s="61" t="n"/>
      <c r="N705" s="61" t="n"/>
      <c r="O705" s="61" t="n"/>
      <c r="P705" s="61" t="n"/>
      <c r="Q705" s="62" t="n"/>
      <c r="R705" s="61" t="n"/>
    </row>
    <row r="706" ht="15.75" customHeight="1" s="38">
      <c r="A706" s="66" t="inlineStr">
        <is>
          <t>Eriez Flotación Chile</t>
        </is>
      </c>
      <c r="B706" s="66" t="inlineStr">
        <is>
          <t>Equipos de Procesamiento, Plantas Concentradoras, Sistemas de Flotación</t>
        </is>
      </c>
      <c r="C706" s="66" t="inlineStr">
        <is>
          <t>Santiago</t>
        </is>
      </c>
      <c r="D706" s="66" t="inlineStr">
        <is>
          <t>efdcl@eriez.com</t>
        </is>
      </c>
      <c r="E706" s="66" t="inlineStr">
        <is>
          <t>(56) 2 2952 3400</t>
        </is>
      </c>
      <c r="F706" s="66" t="n"/>
      <c r="G706" s="66" t="n"/>
      <c r="H706" s="66" t="n"/>
      <c r="I706" s="66" t="inlineStr">
        <is>
          <t>76.158.604-1</t>
        </is>
      </c>
      <c r="J706" s="66" t="n"/>
      <c r="K706" s="66" t="inlineStr">
        <is>
          <t>Ventas: GRANDE 1 (100.000 - 200.000 UF) | Empleados: 28</t>
        </is>
      </c>
      <c r="L706" s="61" t="n"/>
      <c r="M706" s="61" t="n"/>
      <c r="N706" s="61" t="n"/>
      <c r="O706" s="61" t="n"/>
      <c r="P706" s="61" t="n"/>
      <c r="Q706" s="62" t="n"/>
      <c r="R706" s="61" t="n"/>
    </row>
    <row r="707" ht="15.75" customHeight="1" s="38">
      <c r="A707" s="66" t="inlineStr">
        <is>
          <t>Errázuriz y Asociados</t>
        </is>
      </c>
      <c r="B707" s="66" t="inlineStr">
        <is>
          <t>Asesoría Estratégica de Proyectos en Minería, Proyectos Llave en Mano (EPC), Proyectos para Energía</t>
        </is>
      </c>
      <c r="C707" s="66" t="inlineStr">
        <is>
          <t>Santiago</t>
        </is>
      </c>
      <c r="D707" s="66" t="inlineStr">
        <is>
          <t>info@eai.cl</t>
        </is>
      </c>
      <c r="E707" s="66" t="inlineStr">
        <is>
          <t>(56) 2 2694 9300</t>
        </is>
      </c>
      <c r="F707" s="66" t="n"/>
      <c r="G707" s="66" t="n"/>
      <c r="H707" s="66" t="n"/>
      <c r="I707" s="66" t="inlineStr">
        <is>
          <t>76.418.993-0</t>
        </is>
      </c>
      <c r="J707" s="66" t="n"/>
      <c r="K707" s="66" t="inlineStr">
        <is>
          <t>Ventas: MEDIANA 2 (50.000 - 100.000 UF) | Empleados: 4</t>
        </is>
      </c>
      <c r="L707" s="61" t="n"/>
      <c r="M707" s="61" t="n"/>
      <c r="N707" s="61" t="n"/>
      <c r="O707" s="61" t="n"/>
      <c r="P707" s="61" t="n"/>
      <c r="Q707" s="62" t="n"/>
      <c r="R707" s="61" t="n"/>
    </row>
    <row r="708" ht="15.75" customHeight="1" s="38">
      <c r="A708" s="66" t="inlineStr">
        <is>
          <t>Escuela de Ingeniería Mecánica PUCV</t>
        </is>
      </c>
      <c r="B708" s="66" t="inlineStr">
        <is>
          <t>Diplomados de Ingeniería Mecánica</t>
        </is>
      </c>
      <c r="C708" s="66" t="inlineStr">
        <is>
          <t>Quilpué</t>
        </is>
      </c>
      <c r="D708" s="66" t="inlineStr">
        <is>
          <t>dirmec@pucv.cl</t>
        </is>
      </c>
      <c r="E708" s="66" t="inlineStr">
        <is>
          <t>(56) 32 227 4471</t>
        </is>
      </c>
      <c r="F708" s="66" t="n"/>
      <c r="G708" s="66" t="n"/>
      <c r="H708" s="66" t="n"/>
      <c r="I708" s="66" t="inlineStr">
        <is>
          <t>81.669.200-8</t>
        </is>
      </c>
      <c r="J708" s="66" t="n"/>
      <c r="K708" s="66" t="inlineStr">
        <is>
          <t>Ventas: GRANDE (Estimado por Empleados) | Empleados: 2217</t>
        </is>
      </c>
      <c r="L708" s="61" t="n"/>
      <c r="M708" s="61" t="n"/>
      <c r="N708" s="61" t="n"/>
      <c r="O708" s="61" t="n"/>
      <c r="P708" s="61" t="n"/>
      <c r="Q708" s="62" t="n"/>
      <c r="R708" s="61" t="n"/>
    </row>
    <row r="709" ht="15.75" customHeight="1" s="38">
      <c r="A709" s="66" t="inlineStr">
        <is>
          <t>Escuela de Negocios Mineros, Universidad Católica del Norte</t>
        </is>
      </c>
      <c r="B709" s="66" t="inlineStr">
        <is>
          <t>Asesorías en Procesos Mineros, Capacitación en Operación de Equipos Mineros</t>
        </is>
      </c>
      <c r="C709" s="66" t="inlineStr">
        <is>
          <t>Antofagasta</t>
        </is>
      </c>
      <c r="D709" s="66" t="inlineStr">
        <is>
          <t>enm@ucn.cl</t>
        </is>
      </c>
      <c r="E709" s="66" t="inlineStr">
        <is>
          <t>(56) 55 265 1725</t>
        </is>
      </c>
      <c r="F709" s="66" t="n"/>
      <c r="G709" s="66" t="n"/>
      <c r="H709" s="66" t="n"/>
      <c r="I709" s="66" t="inlineStr">
        <is>
          <t>81.518.400-9</t>
        </is>
      </c>
      <c r="J709" s="66" t="n"/>
      <c r="K709" s="66" t="inlineStr">
        <is>
          <t>Ventas: GRANDE (Estimado por Empleados) | Empleados: 1847</t>
        </is>
      </c>
      <c r="L709" s="61" t="n"/>
      <c r="M709" s="61" t="n"/>
      <c r="N709" s="61" t="n"/>
      <c r="O709" s="61" t="n"/>
      <c r="P709" s="61" t="n"/>
      <c r="Q709" s="62" t="n"/>
      <c r="R709" s="61" t="n"/>
    </row>
    <row r="710" ht="15.75" customHeight="1" s="38">
      <c r="A710" s="66" t="inlineStr">
        <is>
          <t>Esinel Ingenieros</t>
        </is>
      </c>
      <c r="B710" s="66" t="inlineStr">
        <is>
          <t>Administración de Proyectos, Asesorías en Ingeniería</t>
        </is>
      </c>
      <c r="C710" s="66" t="inlineStr">
        <is>
          <t>Santiago</t>
        </is>
      </c>
      <c r="D710" s="66" t="inlineStr">
        <is>
          <t>esinel@esinel.cl</t>
        </is>
      </c>
      <c r="E710" s="66" t="inlineStr">
        <is>
          <t>(56) 2 2655 3800</t>
        </is>
      </c>
      <c r="F710" s="66" t="n"/>
      <c r="G710" s="66" t="n"/>
      <c r="H710" s="66" t="n"/>
      <c r="I710" s="66" t="inlineStr">
        <is>
          <t>76.477.780-8</t>
        </is>
      </c>
      <c r="J710" s="66" t="n"/>
      <c r="K710" s="66" t="inlineStr">
        <is>
          <t>Ventas: GRANDE 2 (200.000 - 600.000 UF) | Empleados: 123</t>
        </is>
      </c>
      <c r="L710" s="61" t="n"/>
      <c r="M710" s="61" t="n"/>
      <c r="N710" s="61" t="n"/>
      <c r="O710" s="61" t="n"/>
      <c r="P710" s="61" t="n"/>
      <c r="Q710" s="62" t="n"/>
      <c r="R710" s="61" t="n"/>
    </row>
    <row r="711" ht="15.75" customHeight="1" s="38">
      <c r="A711" s="66" t="inlineStr">
        <is>
          <t>Esmax Distribución Ltda.</t>
        </is>
      </c>
      <c r="B711" s="66" t="inlineStr">
        <is>
          <t>Combustibles</t>
        </is>
      </c>
      <c r="C711" s="66" t="inlineStr">
        <is>
          <t>Santiago</t>
        </is>
      </c>
      <c r="D711" s="66" t="inlineStr">
        <is>
          <t>sac@esmax.cl</t>
        </is>
      </c>
      <c r="E711" s="66" t="inlineStr">
        <is>
          <t>800 363 776</t>
        </is>
      </c>
      <c r="F711" s="66" t="n"/>
      <c r="G711" s="66" t="n"/>
      <c r="H711" s="66" t="n"/>
      <c r="I711" s="66" t="inlineStr">
        <is>
          <t>79.588.870-5</t>
        </is>
      </c>
      <c r="J711" s="66" t="n"/>
      <c r="K711" s="66" t="inlineStr">
        <is>
          <t>Ventas: GRANDE (Estimado por Empleados) | Empleados: 637</t>
        </is>
      </c>
      <c r="L711" s="61" t="n"/>
      <c r="M711" s="61" t="n"/>
      <c r="N711" s="61" t="n"/>
      <c r="O711" s="61" t="n"/>
      <c r="P711" s="61" t="n"/>
      <c r="Q711" s="62" t="n"/>
      <c r="R711" s="61" t="n"/>
    </row>
    <row r="712" ht="15.75" customHeight="1" s="38">
      <c r="A712" s="66" t="inlineStr">
        <is>
          <t>Esol Energía Solar</t>
        </is>
      </c>
      <c r="B712" s="66" t="inlineStr">
        <is>
          <t>Energía Solar, Energías Renovables</t>
        </is>
      </c>
      <c r="C712" s="66" t="inlineStr">
        <is>
          <t>Santiago</t>
        </is>
      </c>
      <c r="D712" s="66" t="inlineStr">
        <is>
          <t>contactos@esol.cl</t>
        </is>
      </c>
      <c r="E712" s="66" t="inlineStr">
        <is>
          <t>(56) 2 2556 4871</t>
        </is>
      </c>
      <c r="F712" s="66" t="inlineStr">
        <is>
          <t>Gerente de TI / CIO (Director de Tecnología)</t>
        </is>
      </c>
      <c r="G712" s="66" t="n"/>
      <c r="H712" s="66" t="n"/>
      <c r="I712" s="66" t="inlineStr">
        <is>
          <t>76.637.060-8</t>
        </is>
      </c>
      <c r="J712" s="66" t="n"/>
      <c r="K712" s="66" t="inlineStr">
        <is>
          <t>Ventas: GRANDE 4 (Mas de 1.000.000 UF) | Empleados: 26</t>
        </is>
      </c>
      <c r="L712" s="61" t="n"/>
      <c r="M712" s="61" t="n"/>
      <c r="N712" s="61" t="n"/>
      <c r="O712" s="61" t="n"/>
      <c r="P712" s="61" t="n"/>
      <c r="Q712" s="62" t="n"/>
      <c r="R712" s="61" t="n"/>
    </row>
    <row r="713" ht="15.75" customHeight="1" s="38">
      <c r="A713" s="66" t="inlineStr">
        <is>
          <t>Espiser SpA</t>
        </is>
      </c>
      <c r="B713" s="66" t="inlineStr">
        <is>
          <t>Aisladores para Anodos y Cátodos, Bordes para Cátodos Permanentes</t>
        </is>
      </c>
      <c r="C713" s="66" t="inlineStr">
        <is>
          <t>Santiago</t>
        </is>
      </c>
      <c r="D713" s="66" t="inlineStr">
        <is>
          <t>espiser@espiser.cl</t>
        </is>
      </c>
      <c r="E713" s="66" t="inlineStr">
        <is>
          <t>(56) 2 2302 8251</t>
        </is>
      </c>
      <c r="F713" s="66" t="n"/>
      <c r="G713" s="66" t="n"/>
      <c r="H713" s="66" t="n"/>
      <c r="I713" s="66" t="inlineStr">
        <is>
          <t>76.136.675-0</t>
        </is>
      </c>
      <c r="J713" s="66" t="n"/>
      <c r="K713" s="66" t="inlineStr">
        <is>
          <t>Ventas: PEQUEÑA 2 (5.000 - 10.000 UF) | Empleados: 1</t>
        </is>
      </c>
      <c r="L713" s="61" t="n"/>
      <c r="M713" s="61" t="n"/>
      <c r="N713" s="61" t="n"/>
      <c r="O713" s="61" t="n"/>
      <c r="P713" s="61" t="n"/>
      <c r="Q713" s="62" t="n"/>
      <c r="R713" s="61" t="n"/>
    </row>
    <row r="714" ht="15.75" customHeight="1" s="38">
      <c r="A714" s="59" t="inlineStr">
        <is>
          <t>Esri Chile S.A.</t>
        </is>
      </c>
      <c r="B714" s="59" t="inlineStr">
        <is>
          <t>Productos Percepción Remota (RS), Sistemas de Información Geográfica (GIS), Sistemas GPS/GNSS Geodésicos y Cartográficos</t>
        </is>
      </c>
      <c r="C714" s="59" t="inlineStr">
        <is>
          <t>Santiago</t>
        </is>
      </c>
      <c r="D714" s="59" t="inlineStr">
        <is>
          <t>info@esri.cl</t>
        </is>
      </c>
      <c r="E714" s="59" t="inlineStr">
        <is>
          <t>(56) 2 2481 9000</t>
        </is>
      </c>
      <c r="F714" s="59" t="inlineStr">
        <is>
          <t>Ignacio Vergara López (IT Leader)</t>
        </is>
      </c>
      <c r="G714" s="59" t="inlineStr">
        <is>
          <t>ivergara@esri.cl</t>
        </is>
      </c>
      <c r="H714" s="59" t="n"/>
      <c r="I714" s="59" t="inlineStr">
        <is>
          <t>76.504.980-6</t>
        </is>
      </c>
      <c r="J714" s="59" t="inlineStr">
        <is>
          <t>Investigación en Proceso</t>
        </is>
      </c>
      <c r="K714" s="59" t="inlineStr">
        <is>
          <t>Ventas: GRANDE 3 (600.000 - 1.000.000 UF) | Empleados: 106</t>
        </is>
      </c>
      <c r="L714" s="61" t="n"/>
      <c r="M714" s="61" t="n"/>
      <c r="N714" s="61" t="n"/>
      <c r="O714" s="61" t="n"/>
      <c r="P714" s="61" t="n"/>
      <c r="Q714" s="62" t="n"/>
      <c r="R714" s="61" t="n"/>
    </row>
    <row r="715" ht="15.75" customHeight="1" s="38">
      <c r="A715" s="66" t="inlineStr">
        <is>
          <t>Estrella Solitaria</t>
        </is>
      </c>
      <c r="B715" s="66" t="inlineStr">
        <is>
          <t>Automatización de Bodegas</t>
        </is>
      </c>
      <c r="C715" s="66" t="inlineStr">
        <is>
          <t>Santiago</t>
        </is>
      </c>
      <c r="D715" s="66" t="inlineStr">
        <is>
          <t>jleiva@estrellasolitaria.cl</t>
        </is>
      </c>
      <c r="E715" s="66" t="inlineStr">
        <is>
          <t>(56) 2 2797 2010</t>
        </is>
      </c>
      <c r="F715" s="66" t="n"/>
      <c r="G715" s="66" t="n"/>
      <c r="H715" s="66" t="n"/>
      <c r="I715" s="66" t="inlineStr">
        <is>
          <t>76.073.921-9</t>
        </is>
      </c>
      <c r="J715" s="66" t="n"/>
      <c r="K715" s="66" t="inlineStr">
        <is>
          <t>Ventas: MICRO 2 (200 - 600 UF) | Empleados: 0</t>
        </is>
      </c>
      <c r="L715" s="61" t="n"/>
      <c r="M715" s="61" t="n"/>
      <c r="N715" s="61" t="n"/>
      <c r="O715" s="61" t="n"/>
      <c r="P715" s="61" t="n"/>
      <c r="Q715" s="62" t="n"/>
      <c r="R715" s="61" t="n"/>
    </row>
    <row r="716" ht="15.75" customHeight="1" s="38">
      <c r="A716" s="66" t="inlineStr">
        <is>
          <t>Eticsa S.A.</t>
        </is>
      </c>
      <c r="B716" s="66" t="inlineStr">
        <is>
          <t>Proyectos de Infraestructura de Redes, Salas de Control y Data Center., Servicios de Continuidad Operacional de Salas de Control y Data Center</t>
        </is>
      </c>
      <c r="C716" s="66" t="inlineStr">
        <is>
          <t>Santiago</t>
        </is>
      </c>
      <c r="D716" s="66" t="inlineStr">
        <is>
          <t>info@eticsa.cl</t>
        </is>
      </c>
      <c r="E716" s="66" t="inlineStr">
        <is>
          <t>(56) 2 2783 2000</t>
        </is>
      </c>
      <c r="F716" s="66" t="n"/>
      <c r="G716" s="66" t="n"/>
      <c r="H716" s="66" t="n"/>
      <c r="I716" s="66" t="inlineStr">
        <is>
          <t>96.543.160-8</t>
        </is>
      </c>
      <c r="J716" s="66" t="n"/>
      <c r="K716" s="66" t="inlineStr">
        <is>
          <t>Ventas: MEDIANA 2 (50.000 - 100.000 UF) | Empleados: 44</t>
        </is>
      </c>
      <c r="L716" s="61" t="n"/>
      <c r="M716" s="61" t="n"/>
      <c r="N716" s="61" t="n"/>
      <c r="O716" s="61" t="n"/>
      <c r="P716" s="61" t="n"/>
      <c r="Q716" s="62" t="n"/>
      <c r="R716" s="61" t="n"/>
    </row>
    <row r="717" ht="15.75" customHeight="1" s="38">
      <c r="A717" s="66" t="inlineStr">
        <is>
          <t>ETT Transferencia de Tecnologías</t>
        </is>
      </c>
      <c r="B717" s="66" t="inlineStr">
        <is>
          <t>Automatización de Procesos, Desarrollo de Instrumentación para Monitoreo</t>
        </is>
      </c>
      <c r="C717" s="66" t="inlineStr">
        <is>
          <t>Viña del Mar</t>
        </is>
      </c>
      <c r="D717" s="66" t="inlineStr">
        <is>
          <t>contacto@ett-web.com</t>
        </is>
      </c>
      <c r="E717" s="66" t="inlineStr">
        <is>
          <t>(56) 32 276 6388</t>
        </is>
      </c>
      <c r="F717" s="66" t="n"/>
      <c r="G717" s="66" t="n"/>
      <c r="H717" s="66" t="n"/>
      <c r="I717" s="66" t="inlineStr">
        <is>
          <t>77.806.520-7</t>
        </is>
      </c>
      <c r="J717" s="66" t="n"/>
      <c r="K717" s="66" t="inlineStr">
        <is>
          <t>Ventas: GRANDE 1 (100.000 - 200.000 UF) | Empleados: 29</t>
        </is>
      </c>
      <c r="L717" s="61" t="n"/>
      <c r="M717" s="61" t="n"/>
      <c r="N717" s="61" t="n"/>
      <c r="O717" s="61" t="n"/>
      <c r="P717" s="61" t="n"/>
      <c r="Q717" s="62" t="n"/>
      <c r="R717" s="61" t="n"/>
    </row>
    <row r="718" ht="15.75" customHeight="1" s="38">
      <c r="A718" s="59" t="inlineStr">
        <is>
          <t>Euro Rent a Car</t>
        </is>
      </c>
      <c r="B718" s="59" t="inlineStr">
        <is>
          <t>Arriendo de Camionetas</t>
        </is>
      </c>
      <c r="C718" s="59" t="inlineStr">
        <is>
          <t>Santiago</t>
        </is>
      </c>
      <c r="D718" s="59" t="inlineStr">
        <is>
          <t>contacto@eurorentacar.cl</t>
        </is>
      </c>
      <c r="E718" s="59" t="inlineStr">
        <is>
          <t>(56) 2 2478 9000</t>
        </is>
      </c>
      <c r="F718" s="59" t="inlineStr">
        <is>
          <t>Christian Meza (Sub-Gerente TI)</t>
        </is>
      </c>
      <c r="G718" s="59" t="n"/>
      <c r="H718" s="59" t="n"/>
      <c r="I718" s="59" t="inlineStr">
        <is>
          <t>99.501.690-7</t>
        </is>
      </c>
      <c r="J718" s="59" t="inlineStr">
        <is>
          <t>Transf. Digital Gestión Flota</t>
        </is>
      </c>
      <c r="K718" s="59" t="inlineStr">
        <is>
          <t>Ventas: GRANDE 2 (200.000 - 600.000 UF) | Empleados: 77</t>
        </is>
      </c>
      <c r="L718" s="61" t="n"/>
      <c r="M718" s="61" t="n"/>
      <c r="N718" s="61" t="n"/>
      <c r="O718" s="61" t="n"/>
      <c r="P718" s="61" t="n"/>
      <c r="Q718" s="62" t="n"/>
      <c r="R718" s="61" t="n"/>
    </row>
    <row r="719" ht="15.75" customHeight="1" s="38">
      <c r="A719" s="66" t="inlineStr">
        <is>
          <t>Eurocomercial Ltda.</t>
        </is>
      </c>
      <c r="B719" s="66" t="inlineStr">
        <is>
          <t>Sistemas Automáticos contra Incendios</t>
        </is>
      </c>
      <c r="C719" s="66" t="inlineStr">
        <is>
          <t>Santiago</t>
        </is>
      </c>
      <c r="D719" s="66" t="inlineStr">
        <is>
          <t>info@eurocomercial.cl</t>
        </is>
      </c>
      <c r="E719" s="66" t="inlineStr">
        <is>
          <t>(56) 2 2672 8630</t>
        </is>
      </c>
      <c r="F719" s="66" t="n"/>
      <c r="G719" s="66" t="n"/>
      <c r="H719" s="66" t="n"/>
      <c r="I719" s="66" t="inlineStr">
        <is>
          <t>89.358.100-6</t>
        </is>
      </c>
      <c r="J719" s="66" t="n"/>
      <c r="K719" s="66" t="inlineStr">
        <is>
          <t>Ventas: GRANDE 2 (200.000 - 600.000 UF) | Empleados: 107</t>
        </is>
      </c>
      <c r="L719" s="61" t="n"/>
      <c r="M719" s="61" t="n"/>
      <c r="N719" s="61" t="n"/>
      <c r="O719" s="61" t="n"/>
      <c r="P719" s="61" t="n"/>
      <c r="Q719" s="62" t="n"/>
      <c r="R719" s="61" t="n"/>
    </row>
    <row r="720" ht="15.75" customHeight="1" s="38">
      <c r="A720" s="66" t="inlineStr">
        <is>
          <t>Evalc</t>
        </is>
      </c>
      <c r="B720" s="66" t="inlineStr">
        <is>
          <t>Spools, Válvulas</t>
        </is>
      </c>
      <c r="C720" s="66" t="inlineStr">
        <is>
          <t>Santiago</t>
        </is>
      </c>
      <c r="D720" s="66" t="inlineStr">
        <is>
          <t>contacto@evalc.cl</t>
        </is>
      </c>
      <c r="E720" s="66" t="inlineStr">
        <is>
          <t>(56) 2 2876 4500</t>
        </is>
      </c>
      <c r="F720" s="66" t="inlineStr">
        <is>
          <t>Gerente de TI / CIO (Director de Tecnología)</t>
        </is>
      </c>
      <c r="G720" s="66" t="n"/>
      <c r="H720" s="66" t="n"/>
      <c r="I720" s="66" t="inlineStr">
        <is>
          <t>77.753.400-9</t>
        </is>
      </c>
      <c r="J720" s="66" t="n"/>
      <c r="K720" s="66" t="inlineStr">
        <is>
          <t>Ventas: GRANDE 3 (600.000 - 1.000.000 UF) | Empleados: 51</t>
        </is>
      </c>
      <c r="L720" s="61" t="n"/>
      <c r="M720" s="61" t="n"/>
      <c r="N720" s="61" t="n"/>
      <c r="O720" s="61" t="n"/>
      <c r="P720" s="61" t="n"/>
      <c r="Q720" s="62" t="n"/>
      <c r="R720" s="61" t="n"/>
    </row>
    <row r="721" ht="15.75" customHeight="1" s="38">
      <c r="A721" s="66" t="inlineStr">
        <is>
          <t>Everis Chile S.A.</t>
        </is>
      </c>
      <c r="B721" s="66" t="inlineStr">
        <is>
          <t>Consultoría en Informática</t>
        </is>
      </c>
      <c r="C721" s="66" t="inlineStr">
        <is>
          <t>Santiago</t>
        </is>
      </c>
      <c r="D721" s="66" t="inlineStr">
        <is>
          <t>chile.orienta@everis.com</t>
        </is>
      </c>
      <c r="E721" s="66" t="inlineStr">
        <is>
          <t>(56) 2 2421 5300</t>
        </is>
      </c>
      <c r="F721" s="66" t="n"/>
      <c r="G721" s="66" t="n"/>
      <c r="H721" s="66" t="n"/>
      <c r="I721" s="66" t="inlineStr">
        <is>
          <t>96.886.110-7</t>
        </is>
      </c>
      <c r="J721" s="66" t="n"/>
      <c r="K721" s="66" t="inlineStr">
        <is>
          <t>Ventas: GRANDE (Estimado por Empleados) | Empleados: 1116</t>
        </is>
      </c>
      <c r="L721" s="61" t="n"/>
      <c r="M721" s="61" t="n"/>
      <c r="N721" s="61" t="n"/>
      <c r="O721" s="61" t="n"/>
      <c r="P721" s="61" t="n"/>
      <c r="Q721" s="62" t="n"/>
      <c r="R721" s="61" t="n"/>
    </row>
    <row r="722" ht="15.75" customHeight="1" s="38">
      <c r="A722" s="66" t="inlineStr">
        <is>
          <t>Excedindus Ltda.</t>
        </is>
      </c>
      <c r="B722" s="66" t="inlineStr">
        <is>
          <t>Equipos Ferroviarios</t>
        </is>
      </c>
      <c r="C722" s="66" t="inlineStr">
        <is>
          <t>Santiago</t>
        </is>
      </c>
      <c r="D722" s="66" t="inlineStr">
        <is>
          <t>info@riel.cl</t>
        </is>
      </c>
      <c r="E722" s="66" t="inlineStr">
        <is>
          <t>(56) 2 2355 3100</t>
        </is>
      </c>
      <c r="F722" s="66" t="n"/>
      <c r="G722" s="66" t="n"/>
      <c r="H722" s="66" t="n"/>
      <c r="I722" s="66" t="inlineStr">
        <is>
          <t>85.704.300-6</t>
        </is>
      </c>
      <c r="J722" s="66" t="n"/>
      <c r="K722" s="66" t="inlineStr">
        <is>
          <t>Ventas: GRANDE 2 (200.000 - 600.000 UF) | Empleados: 37</t>
        </is>
      </c>
      <c r="L722" s="61" t="n"/>
      <c r="M722" s="61" t="n"/>
      <c r="N722" s="61" t="n"/>
      <c r="O722" s="61" t="n"/>
      <c r="P722" s="61" t="n"/>
      <c r="Q722" s="62" t="n"/>
      <c r="R722" s="61" t="n"/>
    </row>
    <row r="723" ht="15.75" customHeight="1" s="38">
      <c r="A723" s="66" t="inlineStr">
        <is>
          <t>Excellence Pump Chile S.A.</t>
        </is>
      </c>
      <c r="B723" s="66" t="inlineStr">
        <is>
          <t>Bombas para Pulpas</t>
        </is>
      </c>
      <c r="C723" s="66" t="inlineStr">
        <is>
          <t>Santiago</t>
        </is>
      </c>
      <c r="D723" s="66" t="inlineStr">
        <is>
          <t>erik.cl@excellencepump.com</t>
        </is>
      </c>
      <c r="E723" s="66" t="inlineStr">
        <is>
          <t>(56) 2 2573 8709</t>
        </is>
      </c>
      <c r="F723" s="66" t="n"/>
      <c r="G723" s="66" t="n"/>
      <c r="H723" s="66" t="n"/>
      <c r="I723" s="66" t="inlineStr">
        <is>
          <t>76996954-3</t>
        </is>
      </c>
      <c r="J723" s="66" t="n"/>
      <c r="K723" s="66" t="inlineStr">
        <is>
          <t>Ventas: MICRO 1 (0.01 - 200 UF) | Empleados: 0</t>
        </is>
      </c>
      <c r="L723" s="61" t="n"/>
      <c r="M723" s="61" t="n"/>
      <c r="N723" s="61" t="n"/>
      <c r="O723" s="61" t="n"/>
      <c r="P723" s="61" t="n"/>
      <c r="Q723" s="62" t="n"/>
      <c r="R723" s="61" t="n"/>
    </row>
    <row r="724" ht="15.75" customHeight="1" s="38">
      <c r="A724" s="66" t="inlineStr">
        <is>
          <t>Excomar</t>
        </is>
      </c>
      <c r="B724" s="66" t="inlineStr">
        <is>
          <t>Servicios de Balanceo Dinámico</t>
        </is>
      </c>
      <c r="C724" s="66" t="inlineStr">
        <is>
          <t>Santiago</t>
        </is>
      </c>
      <c r="D724" s="66" t="inlineStr">
        <is>
          <t>contacto@excomar.cl</t>
        </is>
      </c>
      <c r="E724" s="66" t="inlineStr">
        <is>
          <t>(56) 2 2538 6084</t>
        </is>
      </c>
      <c r="F724" s="66" t="n"/>
      <c r="G724" s="66" t="n"/>
      <c r="H724" s="66" t="n"/>
      <c r="I724" s="66" t="inlineStr">
        <is>
          <t>76.161.678-1</t>
        </is>
      </c>
      <c r="J724" s="66" t="n"/>
      <c r="K724" s="66" t="inlineStr">
        <is>
          <t>Ventas: PEQUEÑA 3 (10.000 - 25.000 UF) | Empleados: 5</t>
        </is>
      </c>
      <c r="L724" s="61" t="n"/>
      <c r="M724" s="61" t="n"/>
      <c r="N724" s="61" t="n"/>
      <c r="O724" s="61" t="n"/>
      <c r="P724" s="61" t="n"/>
      <c r="Q724" s="62" t="n"/>
      <c r="R724" s="61" t="n"/>
    </row>
    <row r="725" ht="15.75" customHeight="1" s="38">
      <c r="A725" s="66" t="inlineStr">
        <is>
          <t>Excoweld Chile Ltda.</t>
        </is>
      </c>
      <c r="B725" s="66" t="inlineStr">
        <is>
          <t>Equipos para Oxicorte</t>
        </is>
      </c>
      <c r="C725" s="66" t="inlineStr">
        <is>
          <t>Santiago</t>
        </is>
      </c>
      <c r="D725" s="66" t="inlineStr">
        <is>
          <t>contacto@excoweld.cl</t>
        </is>
      </c>
      <c r="E725" s="66" t="inlineStr">
        <is>
          <t>(56) 9 9425 0819</t>
        </is>
      </c>
      <c r="F725" s="66" t="n"/>
      <c r="G725" s="66" t="n"/>
      <c r="H725" s="66" t="n"/>
      <c r="I725" s="66" t="inlineStr">
        <is>
          <t>78.622.640-6</t>
        </is>
      </c>
      <c r="J725" s="66" t="n"/>
      <c r="K725" s="66" t="inlineStr">
        <is>
          <t>Ventas: PEQUEÑA 3 (10.000 - 25.000 UF) | Empleados: 7</t>
        </is>
      </c>
      <c r="L725" s="61" t="n"/>
      <c r="M725" s="61" t="n"/>
      <c r="N725" s="61" t="n"/>
      <c r="O725" s="61" t="n"/>
      <c r="P725" s="61" t="n"/>
      <c r="Q725" s="62" t="n"/>
      <c r="R725" s="61" t="n"/>
    </row>
    <row r="726" ht="15.75" customHeight="1" s="38">
      <c r="A726" s="66" t="inlineStr">
        <is>
          <t>Exma Ltda.</t>
        </is>
      </c>
      <c r="B726" s="66" t="inlineStr">
        <is>
          <t>Productos Plásticos para Procesos de Electroobtención de Cátodos</t>
        </is>
      </c>
      <c r="C726" s="66" t="inlineStr">
        <is>
          <t>Santiago</t>
        </is>
      </c>
      <c r="D726" s="66" t="inlineStr">
        <is>
          <t>contacto@exma.cl</t>
        </is>
      </c>
      <c r="E726" s="66" t="inlineStr">
        <is>
          <t>(56) 2 2773 6002</t>
        </is>
      </c>
      <c r="F726" s="66" t="n"/>
      <c r="G726" s="66" t="n"/>
      <c r="H726" s="66" t="n"/>
      <c r="I726" s="66" t="inlineStr">
        <is>
          <t>86.815.600-7</t>
        </is>
      </c>
      <c r="J726" s="66" t="n"/>
      <c r="K726" s="66" t="inlineStr">
        <is>
          <t>Ventas: MEDIANA 2 (50.000 - 100.000 UF) | Empleados: 62</t>
        </is>
      </c>
      <c r="L726" s="61" t="n"/>
      <c r="M726" s="61" t="n"/>
      <c r="N726" s="61" t="n"/>
      <c r="O726" s="61" t="n"/>
      <c r="P726" s="61" t="n"/>
      <c r="Q726" s="62" t="n"/>
      <c r="R726" s="61" t="n"/>
    </row>
    <row r="727" ht="15.75" customHeight="1" s="38">
      <c r="A727" s="66" t="inlineStr">
        <is>
          <t>Expande</t>
        </is>
      </c>
      <c r="B727" s="66" t="inlineStr">
        <is>
          <t>Programa de Innovación para la Minería</t>
        </is>
      </c>
      <c r="C727" s="66" t="inlineStr">
        <is>
          <t>Santiago</t>
        </is>
      </c>
      <c r="D727" s="66" t="n"/>
      <c r="E727" s="66" t="inlineStr">
        <is>
          <t>(56) 2 2240 0300</t>
        </is>
      </c>
      <c r="F727" s="66" t="n"/>
      <c r="G727" s="66" t="n"/>
      <c r="H727" s="66" t="n"/>
      <c r="I727" s="66" t="inlineStr">
        <is>
          <t>76272548-7</t>
        </is>
      </c>
      <c r="J727" s="66" t="n"/>
      <c r="K727" s="66" t="inlineStr">
        <is>
          <t>Ventas: MEDIANA 1 (25.000 - 50.000 UF) | Empleados: 16</t>
        </is>
      </c>
      <c r="L727" s="61" t="n"/>
      <c r="M727" s="61" t="n"/>
      <c r="N727" s="61" t="n"/>
      <c r="O727" s="61" t="n"/>
      <c r="P727" s="61" t="n"/>
      <c r="Q727" s="62" t="n"/>
      <c r="R727" s="61" t="n"/>
    </row>
    <row r="728" ht="15.75" customHeight="1" s="38">
      <c r="A728" s="66" t="inlineStr">
        <is>
          <t>Experticia</t>
        </is>
      </c>
      <c r="B728" s="66" t="inlineStr">
        <is>
          <t>Control de Polvo y Gases en Plantas de Chancado</t>
        </is>
      </c>
      <c r="C728" s="66" t="inlineStr">
        <is>
          <t>Santiago</t>
        </is>
      </c>
      <c r="D728" s="66" t="inlineStr">
        <is>
          <t>ventas@grupoair.cl</t>
        </is>
      </c>
      <c r="E728" s="66" t="inlineStr">
        <is>
          <t>(56) 2 2525 1198</t>
        </is>
      </c>
      <c r="F728" s="66" t="n"/>
      <c r="G728" s="66" t="n"/>
      <c r="H728" s="66" t="n"/>
      <c r="I728" s="66" t="inlineStr">
        <is>
          <t>76.658.330-K</t>
        </is>
      </c>
      <c r="J728" s="66" t="n"/>
      <c r="K728" s="66" t="inlineStr">
        <is>
          <t>Ventas: GRANDE 2 (200.000 - 600.000 UF) | Empleados: 76</t>
        </is>
      </c>
      <c r="L728" s="61" t="n"/>
      <c r="M728" s="61" t="n"/>
      <c r="N728" s="61" t="n"/>
      <c r="O728" s="61" t="n"/>
      <c r="P728" s="61" t="n"/>
      <c r="Q728" s="62" t="n"/>
      <c r="R728" s="61" t="n"/>
    </row>
    <row r="729" ht="15.75" customHeight="1" s="38">
      <c r="A729" s="66" t="inlineStr">
        <is>
          <t>Expindus Metalúrgica Ltda.</t>
        </is>
      </c>
      <c r="B729" s="66" t="inlineStr">
        <is>
          <t>Cauchos Industriales, Retenes</t>
        </is>
      </c>
      <c r="C729" s="66" t="inlineStr">
        <is>
          <t>Santiago</t>
        </is>
      </c>
      <c r="D729" s="66" t="inlineStr">
        <is>
          <t>expindus@expindus.cl</t>
        </is>
      </c>
      <c r="E729" s="66" t="inlineStr">
        <is>
          <t>(56) 2 2735 4113</t>
        </is>
      </c>
      <c r="F729" s="66" t="n"/>
      <c r="G729" s="66" t="n"/>
      <c r="H729" s="66" t="n"/>
      <c r="I729" s="66" t="inlineStr">
        <is>
          <t>82.943.600-0</t>
        </is>
      </c>
      <c r="J729" s="66" t="n"/>
      <c r="K729" s="66" t="inlineStr">
        <is>
          <t>Ventas: No en base SII | Empleados: S/I</t>
        </is>
      </c>
      <c r="L729" s="61" t="n"/>
      <c r="M729" s="61" t="n"/>
      <c r="N729" s="61" t="n"/>
      <c r="O729" s="61" t="n"/>
      <c r="P729" s="61" t="n"/>
      <c r="Q729" s="62" t="n"/>
      <c r="R729" s="61" t="n"/>
    </row>
    <row r="730" ht="15.75" customHeight="1" s="38">
      <c r="A730" s="66" t="inlineStr">
        <is>
          <t>Explor-K Ltda.</t>
        </is>
      </c>
      <c r="B730" s="66" t="inlineStr">
        <is>
          <t>Trabajos y Asesorías en Montaña y Altura</t>
        </is>
      </c>
      <c r="C730" s="66" t="inlineStr">
        <is>
          <t>Santiago</t>
        </is>
      </c>
      <c r="D730" s="66" t="inlineStr">
        <is>
          <t>contacto@explor-k.cl</t>
        </is>
      </c>
      <c r="E730" s="66" t="inlineStr">
        <is>
          <t>(56) 2 3323 0460</t>
        </is>
      </c>
      <c r="F730" s="66" t="n"/>
      <c r="G730" s="66" t="n"/>
      <c r="H730" s="66" t="n"/>
      <c r="I730" s="66" t="inlineStr">
        <is>
          <t>76.246.788-7</t>
        </is>
      </c>
      <c r="J730" s="66" t="n"/>
      <c r="K730" s="66" t="inlineStr">
        <is>
          <t>Ventas: GRANDE 2 (200.000 - 600.000 UF) | Empleados: 73</t>
        </is>
      </c>
      <c r="L730" s="61" t="n"/>
      <c r="M730" s="61" t="n"/>
      <c r="N730" s="61" t="n"/>
      <c r="O730" s="61" t="n"/>
      <c r="P730" s="61" t="n"/>
      <c r="Q730" s="62" t="n"/>
      <c r="R730" s="61" t="n"/>
    </row>
    <row r="731" ht="15.75" customHeight="1" s="38">
      <c r="A731" s="66" t="inlineStr">
        <is>
          <t>Exploration Drill Masters</t>
        </is>
      </c>
      <c r="B731" s="66" t="inlineStr">
        <is>
          <t>Equipos de Apoyo para Perforación</t>
        </is>
      </c>
      <c r="C731" s="66" t="inlineStr">
        <is>
          <t>Santiago</t>
        </is>
      </c>
      <c r="D731" s="66" t="inlineStr">
        <is>
          <t>info@explorationdrillmasters.com</t>
        </is>
      </c>
      <c r="E731" s="66" t="inlineStr">
        <is>
          <t>(56) 2 2519 0100</t>
        </is>
      </c>
      <c r="F731" s="66" t="inlineStr">
        <is>
          <t>Gerente de TI / CIO (Director de Tecnología)</t>
        </is>
      </c>
      <c r="G731" s="66" t="n"/>
      <c r="H731" s="66" t="n"/>
      <c r="I731" s="66" t="inlineStr">
        <is>
          <t>76.011.773-0</t>
        </is>
      </c>
      <c r="J731" s="66" t="n"/>
      <c r="K731" s="66" t="inlineStr">
        <is>
          <t>Ventas: GRANDE 3 (600.000 - 1.000.000 UF) | Empleados: 118</t>
        </is>
      </c>
      <c r="L731" s="61" t="n"/>
      <c r="M731" s="61" t="n"/>
      <c r="N731" s="61" t="n"/>
      <c r="O731" s="61" t="n"/>
      <c r="P731" s="61" t="n"/>
      <c r="Q731" s="62" t="n"/>
      <c r="R731" s="61" t="n"/>
    </row>
    <row r="732" ht="15.75" customHeight="1" s="38">
      <c r="A732" s="66" t="inlineStr">
        <is>
          <t>EY Chile</t>
        </is>
      </c>
      <c r="B732" s="66" t="inlineStr">
        <is>
          <t>Auditoría, Consultoría</t>
        </is>
      </c>
      <c r="C732" s="66" t="inlineStr">
        <is>
          <t>Santiago</t>
        </is>
      </c>
      <c r="D732" s="66" t="n"/>
      <c r="E732" s="66" t="inlineStr">
        <is>
          <t>(56) 2 2676 1000</t>
        </is>
      </c>
      <c r="F732" s="66" t="n"/>
      <c r="G732" s="66" t="n"/>
      <c r="H732" s="66" t="n"/>
      <c r="I732" s="66" t="inlineStr">
        <is>
          <t>76.335.704-K</t>
        </is>
      </c>
      <c r="J732" s="66" t="n"/>
      <c r="K732" s="66" t="inlineStr">
        <is>
          <t>Ventas: MICRO 1 (0.01 - 200 UF) | Empleados: 0</t>
        </is>
      </c>
      <c r="L732" s="61" t="n"/>
      <c r="M732" s="61" t="n"/>
      <c r="N732" s="61" t="n"/>
      <c r="O732" s="61" t="n"/>
      <c r="P732" s="61" t="n"/>
      <c r="Q732" s="62" t="n"/>
      <c r="R732" s="61" t="n"/>
    </row>
    <row r="733" ht="15.75" customHeight="1" s="38">
      <c r="A733" s="66" t="inlineStr">
        <is>
          <t>F &amp; L Ltda.</t>
        </is>
      </c>
      <c r="B733" s="66" t="inlineStr">
        <is>
          <t>Proyectos Eléctricos</t>
        </is>
      </c>
      <c r="C733" s="66" t="inlineStr">
        <is>
          <t>Cabildo</t>
        </is>
      </c>
      <c r="D733" s="66" t="inlineStr">
        <is>
          <t>servicios@fylingenieria.cl</t>
        </is>
      </c>
      <c r="E733" s="66" t="inlineStr">
        <is>
          <t>(56) 33 276 2210</t>
        </is>
      </c>
      <c r="F733" s="66" t="n"/>
      <c r="G733" s="66" t="n"/>
      <c r="H733" s="66" t="n"/>
      <c r="I733" s="66" t="inlineStr">
        <is>
          <t>76.429.500-5</t>
        </is>
      </c>
      <c r="J733" s="66" t="n"/>
      <c r="K733" s="66" t="inlineStr">
        <is>
          <t>Ventas: MEDIANA 2 (50.000 - 100.000 UF) | Empleados: 74</t>
        </is>
      </c>
      <c r="L733" s="61" t="n"/>
      <c r="M733" s="61" t="n"/>
      <c r="N733" s="61" t="n"/>
      <c r="O733" s="61" t="n"/>
      <c r="P733" s="61" t="n"/>
      <c r="Q733" s="62" t="n"/>
      <c r="R733" s="61" t="n"/>
    </row>
    <row r="734" ht="15.75" customHeight="1" s="38">
      <c r="A734" s="66" t="inlineStr">
        <is>
          <t>F.H. Engel S.A.</t>
        </is>
      </c>
      <c r="B734" s="66" t="inlineStr">
        <is>
          <t>Productos Químicos</t>
        </is>
      </c>
      <c r="C734" s="66" t="inlineStr">
        <is>
          <t>Santiago</t>
        </is>
      </c>
      <c r="D734" s="66" t="inlineStr">
        <is>
          <t>fhengel@fhengel.cl</t>
        </is>
      </c>
      <c r="E734" s="66" t="inlineStr">
        <is>
          <t>(56) 2 2510 7000</t>
        </is>
      </c>
      <c r="F734" s="66" t="inlineStr">
        <is>
          <t>Gerente de TI / CIO (Director de Tecnología)</t>
        </is>
      </c>
      <c r="G734" s="66" t="n"/>
      <c r="H734" s="66" t="n"/>
      <c r="I734" s="66" t="inlineStr">
        <is>
          <t>86.399.900-6</t>
        </is>
      </c>
      <c r="J734" s="66" t="n"/>
      <c r="K734" s="66" t="inlineStr">
        <is>
          <t>Ventas: GRANDE 3 (600.000 - 1.000.000 UF) | Empleados: 21</t>
        </is>
      </c>
      <c r="L734" s="61" t="n"/>
      <c r="M734" s="61" t="n"/>
      <c r="N734" s="61" t="n"/>
      <c r="O734" s="61" t="n"/>
      <c r="P734" s="61" t="n"/>
      <c r="Q734" s="62" t="n"/>
      <c r="R734" s="61" t="n"/>
    </row>
    <row r="735" ht="15.75" customHeight="1" s="38">
      <c r="A735" s="66" t="inlineStr">
        <is>
          <t>Fabelec Ltda.</t>
        </is>
      </c>
      <c r="B735" s="66" t="inlineStr">
        <is>
          <t>Automatización Industrial</t>
        </is>
      </c>
      <c r="C735" s="66" t="inlineStr">
        <is>
          <t>Santiago</t>
        </is>
      </c>
      <c r="D735" s="66" t="inlineStr">
        <is>
          <t>info@fabelec.cl</t>
        </is>
      </c>
      <c r="E735" s="66" t="inlineStr">
        <is>
          <t>(56) 2 2719 1200</t>
        </is>
      </c>
      <c r="F735" s="66" t="n"/>
      <c r="G735" s="66" t="n"/>
      <c r="H735" s="66" t="n"/>
      <c r="I735" s="66" t="inlineStr">
        <is>
          <t>79.560.270-4</t>
        </is>
      </c>
      <c r="J735" s="66" t="n"/>
      <c r="K735" s="66" t="inlineStr">
        <is>
          <t>Ventas: MEDIANA 2 (50.000 - 100.000 UF) | Empleados: 14</t>
        </is>
      </c>
      <c r="L735" s="61" t="n"/>
      <c r="M735" s="61" t="n"/>
      <c r="N735" s="61" t="n"/>
      <c r="O735" s="61" t="n"/>
      <c r="P735" s="61" t="n"/>
      <c r="Q735" s="62" t="n"/>
      <c r="R735" s="61" t="n"/>
    </row>
    <row r="736" ht="15.75" customHeight="1" s="38">
      <c r="A736" s="66" t="inlineStr">
        <is>
          <t>Factor Ambiental SpA</t>
        </is>
      </c>
      <c r="B736" s="66" t="inlineStr">
        <is>
          <t>Tratamiento de Residuos Industriales</t>
        </is>
      </c>
      <c r="C736" s="66" t="inlineStr">
        <is>
          <t>Los Andes</t>
        </is>
      </c>
      <c r="D736" s="66" t="inlineStr">
        <is>
          <t>contacto@factorambiental.cl</t>
        </is>
      </c>
      <c r="E736" s="66" t="inlineStr">
        <is>
          <t>(56) 9 9229 5000</t>
        </is>
      </c>
      <c r="F736" s="66" t="n"/>
      <c r="G736" s="66" t="n"/>
      <c r="H736" s="66" t="n"/>
      <c r="I736" s="66" t="inlineStr">
        <is>
          <t>76367270-0</t>
        </is>
      </c>
      <c r="J736" s="66" t="n"/>
      <c r="K736" s="66" t="inlineStr">
        <is>
          <t>Ventas: GRANDE 2 (200.000 - 600.000 UF) | Empleados: 208</t>
        </is>
      </c>
      <c r="L736" s="61" t="n"/>
      <c r="M736" s="61" t="n"/>
      <c r="N736" s="61" t="n"/>
      <c r="O736" s="61" t="n"/>
      <c r="P736" s="61" t="n"/>
      <c r="Q736" s="62" t="n"/>
      <c r="R736" s="61" t="n"/>
    </row>
    <row r="737" ht="15.75" customHeight="1" s="38">
      <c r="A737" s="59" t="inlineStr">
        <is>
          <t>Faiveley Transport Chile (Wabtec Corporation)</t>
        </is>
      </c>
      <c r="B737" s="59" t="inlineStr">
        <is>
          <t>Componentes y Servicios para Trenes de Pasajeros, Soluciones Digitales Mercado Ferroviario</t>
        </is>
      </c>
      <c r="C737" s="59" t="inlineStr">
        <is>
          <t>Santiago</t>
        </is>
      </c>
      <c r="D737" s="59" t="inlineStr">
        <is>
          <t>sergio.brito@wabtec.com</t>
        </is>
      </c>
      <c r="E737" s="59" t="inlineStr">
        <is>
          <t>(56) 2 2426 8558</t>
        </is>
      </c>
      <c r="F737" s="59" t="inlineStr">
        <is>
          <t>Sergio Brito (Country Manager)</t>
        </is>
      </c>
      <c r="G737" s="59" t="n"/>
      <c r="H737" s="59" t="n"/>
      <c r="I737" s="59" t="inlineStr">
        <is>
          <t>76.153.216-2</t>
        </is>
      </c>
      <c r="J737" s="59" t="inlineStr">
        <is>
          <t>Infraestructura Ferroviaria Metro &amp; EFE</t>
        </is>
      </c>
      <c r="K737" s="59" t="inlineStr">
        <is>
          <t>Ventas: GRANDE 2 (200.000 - 600.000 UF) | Empleados: 8</t>
        </is>
      </c>
      <c r="L737" s="61" t="n"/>
      <c r="M737" s="61" t="n"/>
      <c r="N737" s="61" t="n"/>
      <c r="O737" s="61" t="n"/>
      <c r="P737" s="61" t="n"/>
      <c r="Q737" s="62" t="n"/>
      <c r="R737" s="61" t="n"/>
    </row>
    <row r="738" ht="15.75" customHeight="1" s="38">
      <c r="A738" s="66" t="inlineStr">
        <is>
          <t>Faiwood y Cía. Ltda.</t>
        </is>
      </c>
      <c r="B738" s="66" t="inlineStr">
        <is>
          <t>Electrodos de Acero Inoxidable, Soldadura en Acero Inoxidable</t>
        </is>
      </c>
      <c r="C738" s="66" t="inlineStr">
        <is>
          <t>Viña del Mar</t>
        </is>
      </c>
      <c r="D738" s="66" t="inlineStr">
        <is>
          <t>info@faiwood.cl</t>
        </is>
      </c>
      <c r="E738" s="66" t="inlineStr">
        <is>
          <t>(56) 9 7648 5761</t>
        </is>
      </c>
      <c r="F738" s="66" t="n"/>
      <c r="G738" s="66" t="n"/>
      <c r="H738" s="66" t="n"/>
      <c r="I738" s="66" t="inlineStr">
        <is>
          <t>77.557.990-0</t>
        </is>
      </c>
      <c r="J738" s="66" t="n"/>
      <c r="K738" s="66" t="inlineStr">
        <is>
          <t>Ventas: MEDIANA 2 (50.000 - 100.000 UF) | Empleados: 6</t>
        </is>
      </c>
      <c r="L738" s="61" t="n"/>
      <c r="M738" s="61" t="n"/>
      <c r="N738" s="61" t="n"/>
      <c r="O738" s="61" t="n"/>
      <c r="P738" s="61" t="n"/>
      <c r="Q738" s="62" t="n"/>
      <c r="R738" s="61" t="n"/>
    </row>
    <row r="739" ht="15.75" customHeight="1" s="38">
      <c r="A739" s="66" t="inlineStr">
        <is>
          <t>Famac y Cía. Ltda.</t>
        </is>
      </c>
      <c r="B739" s="66" t="inlineStr">
        <is>
          <t>Polines Centradores para Correas Transportadoras</t>
        </is>
      </c>
      <c r="C739" s="66" t="inlineStr">
        <is>
          <t>Lota</t>
        </is>
      </c>
      <c r="D739" s="66" t="inlineStr">
        <is>
          <t>contacto@famac.cl</t>
        </is>
      </c>
      <c r="E739" s="66" t="inlineStr">
        <is>
          <t>(56) 41 287 0270</t>
        </is>
      </c>
      <c r="F739" s="66" t="n"/>
      <c r="G739" s="66" t="n"/>
      <c r="H739" s="66" t="n"/>
      <c r="I739" s="66" t="inlineStr">
        <is>
          <t>76.813.840-0</t>
        </is>
      </c>
      <c r="J739" s="66" t="n"/>
      <c r="K739" s="66" t="inlineStr">
        <is>
          <t>Ventas: GRANDE 2 (200.000 - 600.000 UF) | Empleados: 616</t>
        </is>
      </c>
      <c r="L739" s="61" t="n"/>
      <c r="M739" s="61" t="n"/>
      <c r="N739" s="61" t="n"/>
      <c r="O739" s="61" t="n"/>
      <c r="P739" s="61" t="n"/>
      <c r="Q739" s="62" t="n"/>
      <c r="R739" s="61" t="n"/>
    </row>
    <row r="740" ht="15.75" customHeight="1" s="38">
      <c r="A740" s="66" t="inlineStr">
        <is>
          <t>Famesa Chile</t>
        </is>
      </c>
      <c r="B740" s="66" t="inlineStr">
        <is>
          <t>Agentes de Tronadura, Asistencia Técnica Post Venta e Ingeniería de Tronadura</t>
        </is>
      </c>
      <c r="C740" s="66" t="inlineStr">
        <is>
          <t>La Serena</t>
        </is>
      </c>
      <c r="D740" s="66" t="inlineStr">
        <is>
          <t>famesa@famesa.cl</t>
        </is>
      </c>
      <c r="E740" s="66" t="inlineStr">
        <is>
          <t>(56) 51 247 2401</t>
        </is>
      </c>
      <c r="F740" s="66" t="inlineStr">
        <is>
          <t>Gerente de TI / CIO (Director de Tecnología)</t>
        </is>
      </c>
      <c r="G740" s="66" t="n"/>
      <c r="H740" s="66" t="n"/>
      <c r="I740" s="66" t="inlineStr">
        <is>
          <t>96.845.740-3</t>
        </is>
      </c>
      <c r="J740" s="66" t="n"/>
      <c r="K740" s="66" t="inlineStr">
        <is>
          <t>Ventas: GRANDE 4 (Mas de 1.000.000 UF) | Empleados: 168</t>
        </is>
      </c>
      <c r="L740" s="61" t="n"/>
      <c r="M740" s="61" t="n"/>
      <c r="N740" s="61" t="n"/>
      <c r="O740" s="61" t="n"/>
      <c r="P740" s="61" t="n"/>
      <c r="Q740" s="62" t="n"/>
      <c r="R740" s="61" t="n"/>
    </row>
    <row r="741" ht="15.75" customHeight="1" s="38">
      <c r="A741" s="66" t="inlineStr">
        <is>
          <t>Fanadego Ltda.</t>
        </is>
      </c>
      <c r="B741" s="66" t="inlineStr">
        <is>
          <t>Artículos de Goma</t>
        </is>
      </c>
      <c r="C741" s="66" t="inlineStr">
        <is>
          <t>Santiago</t>
        </is>
      </c>
      <c r="D741" s="66" t="inlineStr">
        <is>
          <t>ventas@fanadego.cl</t>
        </is>
      </c>
      <c r="E741" s="66" t="inlineStr">
        <is>
          <t>(56) 2 2927 2601</t>
        </is>
      </c>
      <c r="F741" s="66" t="n"/>
      <c r="G741" s="66" t="n"/>
      <c r="H741" s="66" t="n"/>
      <c r="I741" s="66" t="inlineStr">
        <is>
          <t>80.723.200-2</t>
        </is>
      </c>
      <c r="J741" s="66" t="n"/>
      <c r="K741" s="66" t="inlineStr">
        <is>
          <t>Ventas: GRANDE 2 (200.000 - 600.000 UF) | Empleados: 98</t>
        </is>
      </c>
      <c r="L741" s="61" t="n"/>
      <c r="M741" s="61" t="n"/>
      <c r="N741" s="61" t="n"/>
      <c r="O741" s="61" t="n"/>
      <c r="P741" s="61" t="n"/>
      <c r="Q741" s="62" t="n"/>
      <c r="R741" s="61" t="n"/>
    </row>
    <row r="742" ht="15.75" customHeight="1" s="38">
      <c r="A742" s="66" t="inlineStr">
        <is>
          <t>Fantinati Ruggeroni Ltda.</t>
        </is>
      </c>
      <c r="B742" s="66" t="inlineStr">
        <is>
          <t>Andamios</t>
        </is>
      </c>
      <c r="C742" s="66" t="inlineStr">
        <is>
          <t>Santiago</t>
        </is>
      </c>
      <c r="D742" s="66" t="inlineStr">
        <is>
          <t>contacto@fantinatiandamios.cl</t>
        </is>
      </c>
      <c r="E742" s="66" t="inlineStr">
        <is>
          <t>(56) 2 2621 9549</t>
        </is>
      </c>
      <c r="F742" s="66" t="n"/>
      <c r="G742" s="66" t="n"/>
      <c r="H742" s="66" t="n"/>
      <c r="I742" s="66" t="inlineStr">
        <is>
          <t>85.131.400-8</t>
        </is>
      </c>
      <c r="J742" s="66" t="n"/>
      <c r="K742" s="66" t="inlineStr">
        <is>
          <t>Ventas: PEQUEÑA 3 (10.000 - 25.000 UF) | Empleados: 11</t>
        </is>
      </c>
      <c r="L742" s="61" t="n"/>
      <c r="M742" s="61" t="n"/>
      <c r="N742" s="61" t="n"/>
      <c r="O742" s="61" t="n"/>
      <c r="P742" s="61" t="n"/>
      <c r="Q742" s="62" t="n"/>
      <c r="R742" s="61" t="n"/>
    </row>
    <row r="743" ht="15.75" customHeight="1" s="38">
      <c r="A743" s="66" t="inlineStr">
        <is>
          <t>Fast Rental Chile</t>
        </is>
      </c>
      <c r="B743" s="66" t="inlineStr">
        <is>
          <t>Arriendo de Equipos para la Minería</t>
        </is>
      </c>
      <c r="C743" s="66" t="inlineStr">
        <is>
          <t>Machalí</t>
        </is>
      </c>
      <c r="D743" s="66" t="inlineStr">
        <is>
          <t>comercial@fastrentalchile.cl</t>
        </is>
      </c>
      <c r="E743" s="66" t="inlineStr">
        <is>
          <t>(56) 9 8294 1694</t>
        </is>
      </c>
      <c r="F743" s="66" t="n"/>
      <c r="G743" s="66" t="n"/>
      <c r="H743" s="66" t="n"/>
      <c r="I743" s="66" t="inlineStr">
        <is>
          <t>76895293-0</t>
        </is>
      </c>
      <c r="J743" s="66" t="n"/>
      <c r="K743" s="66" t="inlineStr">
        <is>
          <t>Ventas: PEQUEÑA 1 (2.400 - 5.000 UF) | Empleados: 1</t>
        </is>
      </c>
      <c r="L743" s="61" t="n"/>
      <c r="M743" s="61" t="n"/>
      <c r="N743" s="61" t="n"/>
      <c r="O743" s="61" t="n"/>
      <c r="P743" s="61" t="n"/>
      <c r="Q743" s="62" t="n"/>
      <c r="R743" s="61" t="n"/>
    </row>
    <row r="744" ht="15.75" customHeight="1" s="38">
      <c r="A744" s="66" t="inlineStr">
        <is>
          <t>Fastech Soluciones Tecnológicas</t>
        </is>
      </c>
      <c r="B744" s="66" t="inlineStr">
        <is>
          <t>Suministros Eléctricos y Automatización</t>
        </is>
      </c>
      <c r="C744" s="66" t="inlineStr">
        <is>
          <t>Rancagua</t>
        </is>
      </c>
      <c r="D744" s="66" t="inlineStr">
        <is>
          <t>web@fastech.cl</t>
        </is>
      </c>
      <c r="E744" s="66" t="inlineStr">
        <is>
          <t>(56) 9 9884 2323</t>
        </is>
      </c>
      <c r="F744" s="66" t="n"/>
      <c r="G744" s="66" t="n"/>
      <c r="H744" s="66" t="n"/>
      <c r="I744" s="66" t="inlineStr">
        <is>
          <t>76.075.218-5</t>
        </is>
      </c>
      <c r="J744" s="66" t="n"/>
      <c r="K744" s="66" t="inlineStr">
        <is>
          <t>Ventas: GRANDE 1 (100.000 - 200.000 UF) | Empleados: 57</t>
        </is>
      </c>
      <c r="L744" s="61" t="n"/>
      <c r="M744" s="61" t="n"/>
      <c r="N744" s="61" t="n"/>
      <c r="O744" s="61" t="n"/>
      <c r="P744" s="61" t="n"/>
      <c r="Q744" s="62" t="n"/>
      <c r="R744" s="61" t="n"/>
    </row>
    <row r="745" ht="15.75" customHeight="1" s="38">
      <c r="A745" s="66" t="inlineStr">
        <is>
          <t>Fastpack</t>
        </is>
      </c>
      <c r="B745" s="66" t="inlineStr">
        <is>
          <t>Proveedor Destacado, Cuidado de Activos, Revestimientos, Spools, Transporte de Fluidos, Válvulas</t>
        </is>
      </c>
      <c r="C745" s="66" t="inlineStr">
        <is>
          <t>Santiago</t>
        </is>
      </c>
      <c r="D745" s="66" t="inlineStr">
        <is>
          <t>fastpack@fastpack.cl</t>
        </is>
      </c>
      <c r="E745" s="66" t="inlineStr">
        <is>
          <t>(56) 2 2499 4000</t>
        </is>
      </c>
      <c r="F745" s="66" t="n"/>
      <c r="G745" s="66" t="n"/>
      <c r="H745" s="66" t="inlineStr">
        <is>
          <t>http://www.fastpack.cl</t>
        </is>
      </c>
      <c r="I745" s="66" t="inlineStr">
        <is>
          <t>78.295.070-3</t>
        </is>
      </c>
      <c r="J745" s="66" t="n"/>
      <c r="K745" s="66" t="inlineStr">
        <is>
          <t>Ventas: GRANDE (Estimado por Empleados) | Empleados: 447</t>
        </is>
      </c>
      <c r="L745" s="61" t="n"/>
      <c r="M745" s="61" t="n"/>
      <c r="N745" s="61" t="n"/>
      <c r="O745" s="61" t="n"/>
      <c r="P745" s="61" t="n"/>
      <c r="Q745" s="62" t="n"/>
      <c r="R745" s="61" t="n"/>
    </row>
    <row r="746" ht="15.75" customHeight="1" s="38">
      <c r="A746" s="66" t="inlineStr">
        <is>
          <t>Favitorr S.A.</t>
        </is>
      </c>
      <c r="B746" s="66" t="inlineStr">
        <is>
          <t>Vidrios para Seguridad</t>
        </is>
      </c>
      <c r="C746" s="66" t="inlineStr">
        <is>
          <t>Santiago</t>
        </is>
      </c>
      <c r="D746" s="66" t="inlineStr">
        <is>
          <t>ventas@favitorr.cl</t>
        </is>
      </c>
      <c r="E746" s="66" t="inlineStr">
        <is>
          <t>(56) 2 3210 7396</t>
        </is>
      </c>
      <c r="F746" s="66" t="n"/>
      <c r="G746" s="66" t="n"/>
      <c r="H746" s="66" t="n"/>
      <c r="I746" s="66" t="inlineStr">
        <is>
          <t>88.082.600-K</t>
        </is>
      </c>
      <c r="J746" s="66" t="n"/>
      <c r="K746" s="66" t="inlineStr">
        <is>
          <t>Ventas: PEQUEÑA 1 (2.400 - 5.000 UF) | Empleados: 1</t>
        </is>
      </c>
      <c r="L746" s="61" t="n"/>
      <c r="M746" s="61" t="n"/>
      <c r="N746" s="61" t="n"/>
      <c r="O746" s="61" t="n"/>
      <c r="P746" s="61" t="n"/>
      <c r="Q746" s="62" t="n"/>
      <c r="R746" s="61" t="n"/>
    </row>
    <row r="747" ht="15.75" customHeight="1" s="38">
      <c r="A747" s="66" t="inlineStr">
        <is>
          <t>FC More</t>
        </is>
      </c>
      <c r="B747" s="66" t="inlineStr">
        <is>
          <t>Equipos para la Minería</t>
        </is>
      </c>
      <c r="C747" s="66" t="inlineStr">
        <is>
          <t>Antofagasta</t>
        </is>
      </c>
      <c r="D747" s="66" t="inlineStr">
        <is>
          <t>ventasfc@fcmore.cl</t>
        </is>
      </c>
      <c r="E747" s="66" t="inlineStr">
        <is>
          <t>(56) 9 6147 6272</t>
        </is>
      </c>
      <c r="F747" s="66" t="inlineStr">
        <is>
          <t>Gerente de TI / CIO (Director de Tecnología)</t>
        </is>
      </c>
      <c r="G747" s="66" t="n"/>
      <c r="H747" s="66" t="n"/>
      <c r="I747" s="66" t="inlineStr">
        <is>
          <t>76.424.249-1</t>
        </is>
      </c>
      <c r="J747" s="66" t="n"/>
      <c r="K747" s="66" t="inlineStr">
        <is>
          <t>Ventas: GRANDE 3 (600.000 - 1.000.000 UF) | Empleados: 30</t>
        </is>
      </c>
      <c r="L747" s="61" t="n"/>
      <c r="M747" s="61" t="n"/>
      <c r="N747" s="61" t="n"/>
      <c r="O747" s="61" t="n"/>
      <c r="P747" s="61" t="n"/>
      <c r="Q747" s="62" t="n"/>
      <c r="R747" s="61" t="n"/>
    </row>
    <row r="748" ht="15.75" customHeight="1" s="38">
      <c r="A748" s="66" t="inlineStr">
        <is>
          <t>FCAB</t>
        </is>
      </c>
      <c r="B748" s="66" t="inlineStr">
        <is>
          <t>Proveedor Destacado, Transporte Bimodal, Transporte Ferroviario de Minerales, Transporte Ferroviario Internacional, Transporte Rodoviario</t>
        </is>
      </c>
      <c r="C748" s="66" t="inlineStr">
        <is>
          <t>Antofagasta</t>
        </is>
      </c>
      <c r="D748" s="66" t="inlineStr">
        <is>
          <t>gnn@fcab.cl</t>
        </is>
      </c>
      <c r="E748" s="66" t="inlineStr">
        <is>
          <t>(56) 55 220 6100</t>
        </is>
      </c>
      <c r="F748" s="66" t="n"/>
      <c r="G748" s="66" t="n"/>
      <c r="H748" s="66" t="inlineStr">
        <is>
          <t>http://www.fcab.cl</t>
        </is>
      </c>
      <c r="I748" s="66" t="inlineStr">
        <is>
          <t>81.148.200-5</t>
        </is>
      </c>
      <c r="J748" s="66" t="n"/>
      <c r="K748" s="66" t="inlineStr">
        <is>
          <t>Ventas: GRANDE (Estimado por Empleados) | Empleados: 1191</t>
        </is>
      </c>
      <c r="L748" s="61" t="n"/>
      <c r="M748" s="61" t="n"/>
      <c r="N748" s="61" t="n"/>
      <c r="O748" s="61" t="n"/>
      <c r="P748" s="61" t="n"/>
      <c r="Q748" s="62" t="n"/>
      <c r="R748" s="61" t="n"/>
    </row>
    <row r="749" ht="15.75" customHeight="1" s="38">
      <c r="A749" s="66" t="inlineStr">
        <is>
          <t>FDA Ingenieros S.A.</t>
        </is>
      </c>
      <c r="B749" s="66" t="inlineStr">
        <is>
          <t>Proveedor Destacado, Asesorías en Ingeniería Multidisciplinaria, Consultoría en Ingeniería, Consultoría en Minería, Consultoría en Proyectos Mineros, Desarrollo de Ingeniería, Desarrollo de Proyectos Mineros, Proyectos de Ingeniería, Proyectos Multidisciplinarios de Ingeniería, Servicios de Ingeniería, Servicios Profesionales</t>
        </is>
      </c>
      <c r="C749" s="66" t="inlineStr">
        <is>
          <t>Santiago</t>
        </is>
      </c>
      <c r="D749" s="66" t="inlineStr">
        <is>
          <t>fda@fda.cl</t>
        </is>
      </c>
      <c r="E749" s="66" t="inlineStr">
        <is>
          <t>(56) 2 2432 0200</t>
        </is>
      </c>
      <c r="F749" s="66" t="inlineStr">
        <is>
          <t>Gerente de TI / CIO (Director de Tecnología)</t>
        </is>
      </c>
      <c r="G749" s="66" t="n"/>
      <c r="H749" s="66" t="inlineStr">
        <is>
          <t>http://www.fda.cl</t>
        </is>
      </c>
      <c r="I749" s="66" t="inlineStr">
        <is>
          <t>77.760.300-0</t>
        </is>
      </c>
      <c r="J749" s="66" t="n"/>
      <c r="K749" s="66" t="inlineStr">
        <is>
          <t>Ventas: GRANDE 3 (600.000 - 1.000.000 UF) | Empleados: 225</t>
        </is>
      </c>
      <c r="L749" s="61" t="n"/>
      <c r="M749" s="61" t="n"/>
      <c r="N749" s="61" t="n"/>
      <c r="O749" s="61" t="n"/>
      <c r="P749" s="61" t="n"/>
      <c r="Q749" s="62" t="n"/>
      <c r="R749" s="61" t="n"/>
    </row>
    <row r="750" ht="15.75" customHeight="1" s="38">
      <c r="A750" s="66" t="inlineStr">
        <is>
          <t>Fedex Express Chile SpA</t>
        </is>
      </c>
      <c r="B750" s="66" t="inlineStr">
        <is>
          <t>Couriers, Transporte Internacional</t>
        </is>
      </c>
      <c r="C750" s="66" t="inlineStr">
        <is>
          <t>Santiago</t>
        </is>
      </c>
      <c r="D750" s="66" t="n"/>
      <c r="E750" s="66" t="inlineStr">
        <is>
          <t>(56) 2 2360 5100</t>
        </is>
      </c>
      <c r="F750" s="66" t="n"/>
      <c r="G750" s="66" t="n"/>
      <c r="H750" s="66" t="n"/>
      <c r="I750" s="66" t="inlineStr">
        <is>
          <t>76.754.296-8</t>
        </is>
      </c>
      <c r="J750" s="66" t="n"/>
      <c r="K750" s="66" t="inlineStr">
        <is>
          <t>Ventas: GRANDE (Estimado por Empleados) | Empleados: 2230</t>
        </is>
      </c>
      <c r="L750" s="61" t="n"/>
      <c r="M750" s="61" t="n"/>
      <c r="N750" s="61" t="n"/>
      <c r="O750" s="61" t="n"/>
      <c r="P750" s="61" t="n"/>
      <c r="Q750" s="62" t="n"/>
      <c r="R750" s="61" t="n"/>
    </row>
    <row r="751" ht="15.75" customHeight="1" s="38">
      <c r="A751" s="66" t="inlineStr">
        <is>
          <t>Fenasa S.A.</t>
        </is>
      </c>
      <c r="B751" s="66" t="inlineStr">
        <is>
          <t>Cables de Acero, Cadenas de Izaje</t>
        </is>
      </c>
      <c r="C751" s="66" t="inlineStr">
        <is>
          <t>Valparaíso</t>
        </is>
      </c>
      <c r="D751" s="66" t="inlineStr">
        <is>
          <t>info@fenasa.cl</t>
        </is>
      </c>
      <c r="E751" s="66" t="inlineStr">
        <is>
          <t>(56) 32 218 2180</t>
        </is>
      </c>
      <c r="F751" s="66" t="n"/>
      <c r="G751" s="66" t="n"/>
      <c r="H751" s="66" t="n"/>
      <c r="I751" s="66" t="inlineStr">
        <is>
          <t>76.762.370-4</t>
        </is>
      </c>
      <c r="J751" s="66" t="n"/>
      <c r="K751" s="66" t="inlineStr">
        <is>
          <t>Ventas: MEDIANA 2 (50.000 - 100.000 UF) | Empleados: 29</t>
        </is>
      </c>
      <c r="L751" s="61" t="n"/>
      <c r="M751" s="61" t="n"/>
      <c r="N751" s="61" t="n"/>
      <c r="O751" s="61" t="n"/>
      <c r="P751" s="61" t="n"/>
      <c r="Q751" s="62" t="n"/>
      <c r="R751" s="61" t="n"/>
    </row>
    <row r="752" ht="15.75" customHeight="1" s="38">
      <c r="A752" s="59" t="inlineStr">
        <is>
          <t>Fenner Dunlop Chile S.A.</t>
        </is>
      </c>
      <c r="B752" s="59" t="inlineStr">
        <is>
          <t>Proveedor Destacado, Correas Transportadoras de Tela y Cables de Acero, Equipos de Monitoreo, Raspadores para Correas Transportadoras, Rayos X y Scanners</t>
        </is>
      </c>
      <c r="C752" s="59" t="inlineStr">
        <is>
          <t>Antofagasta</t>
        </is>
      </c>
      <c r="D752" s="59" t="inlineStr">
        <is>
          <t>ventas@fennerdunlop.com</t>
        </is>
      </c>
      <c r="E752" s="59" t="inlineStr">
        <is>
          <t>(56) 55 249 2314</t>
        </is>
      </c>
      <c r="F752" s="59" t="inlineStr">
        <is>
          <t>Manuel García (IT Engineer)</t>
        </is>
      </c>
      <c r="G752" s="59" t="inlineStr">
        <is>
          <t>manuel.garcia@fennerdunlop.com</t>
        </is>
      </c>
      <c r="H752" s="59" t="inlineStr">
        <is>
          <t>http://www.fennerdunlopamericas.com</t>
        </is>
      </c>
      <c r="I752" s="59" t="inlineStr">
        <is>
          <t>76.450.610-3</t>
        </is>
      </c>
      <c r="J752" s="59" t="inlineStr">
        <is>
          <t>Investigación en Proceso</t>
        </is>
      </c>
      <c r="K752" s="59" t="inlineStr">
        <is>
          <t>Ventas: GRANDE 3 (600.000 - 1.000.000 UF) | Empleados: 26</t>
        </is>
      </c>
      <c r="L752" s="61" t="n"/>
      <c r="M752" s="61" t="n"/>
      <c r="N752" s="61" t="n"/>
      <c r="O752" s="61" t="n"/>
      <c r="P752" s="61" t="n"/>
      <c r="Q752" s="62" t="n"/>
      <c r="R752" s="61" t="n"/>
    </row>
    <row r="753" ht="15.75" customHeight="1" s="38">
      <c r="A753" s="66" t="inlineStr">
        <is>
          <t>Fepasa, Ferrocarril del Pacífico S.A.</t>
        </is>
      </c>
      <c r="B753" s="66" t="inlineStr">
        <is>
          <t>Transporte Ferroviario</t>
        </is>
      </c>
      <c r="C753" s="66" t="inlineStr">
        <is>
          <t>Santiago</t>
        </is>
      </c>
      <c r="D753" s="66" t="inlineStr">
        <is>
          <t>jonhson.ahumada@fepasa.com</t>
        </is>
      </c>
      <c r="E753" s="66" t="inlineStr">
        <is>
          <t>(56) 2 2837 8000</t>
        </is>
      </c>
      <c r="F753" s="66" t="n"/>
      <c r="G753" s="66" t="n"/>
      <c r="H753" s="66" t="n"/>
      <c r="I753" s="66" t="inlineStr">
        <is>
          <t>96.684.580-5</t>
        </is>
      </c>
      <c r="J753" s="66" t="n"/>
      <c r="K753" s="66" t="inlineStr">
        <is>
          <t>Ventas: GRANDE (Estimado por Empleados) | Empleados: 729</t>
        </is>
      </c>
      <c r="L753" s="61" t="n"/>
      <c r="M753" s="61" t="n"/>
      <c r="N753" s="61" t="n"/>
      <c r="O753" s="61" t="n"/>
      <c r="P753" s="61" t="n"/>
      <c r="Q753" s="62" t="n"/>
      <c r="R753" s="61" t="n"/>
    </row>
    <row r="754" ht="15.75" customHeight="1" s="38">
      <c r="A754" s="66" t="inlineStr">
        <is>
          <t>Fernández Fica S.A.</t>
        </is>
      </c>
      <c r="B754" s="66" t="inlineStr">
        <is>
          <t>Transformadores Eléctricos</t>
        </is>
      </c>
      <c r="C754" s="66" t="inlineStr">
        <is>
          <t>Santiago</t>
        </is>
      </c>
      <c r="D754" s="66" t="inlineStr">
        <is>
          <t>ventas@fernandezfica.cl</t>
        </is>
      </c>
      <c r="E754" s="66" t="inlineStr">
        <is>
          <t>(56) 2 2862 9500</t>
        </is>
      </c>
      <c r="F754" s="66" t="n"/>
      <c r="G754" s="66" t="n"/>
      <c r="H754" s="66" t="n"/>
      <c r="I754" s="66" t="inlineStr">
        <is>
          <t>84.303.100-5</t>
        </is>
      </c>
      <c r="J754" s="66" t="n"/>
      <c r="K754" s="66" t="inlineStr">
        <is>
          <t>Ventas: GRANDE 1 (100.000 - 200.000 UF) | Empleados: 18</t>
        </is>
      </c>
      <c r="L754" s="61" t="n"/>
      <c r="M754" s="61" t="n"/>
      <c r="N754" s="61" t="n"/>
      <c r="O754" s="61" t="n"/>
      <c r="P754" s="61" t="n"/>
      <c r="Q754" s="62" t="n"/>
      <c r="R754" s="61" t="n"/>
    </row>
    <row r="755" ht="15.75" customHeight="1" s="38">
      <c r="A755" s="66" t="inlineStr">
        <is>
          <t>Ferrada Blast SpA</t>
        </is>
      </c>
      <c r="B755" s="66" t="inlineStr">
        <is>
          <t>Tecnología para el Control de Voladuras</t>
        </is>
      </c>
      <c r="C755" s="66" t="inlineStr">
        <is>
          <t>Santiago</t>
        </is>
      </c>
      <c r="D755" s="66" t="inlineStr">
        <is>
          <t>contacto@ferradablast.com</t>
        </is>
      </c>
      <c r="E755" s="66" t="inlineStr">
        <is>
          <t>(56) 41 318 0354</t>
        </is>
      </c>
      <c r="F755" s="66" t="n"/>
      <c r="G755" s="66" t="n"/>
      <c r="H755" s="66" t="n"/>
      <c r="I755" s="66" t="inlineStr">
        <is>
          <t>76734542-9</t>
        </is>
      </c>
      <c r="J755" s="66" t="n"/>
      <c r="K755" s="66" t="inlineStr">
        <is>
          <t>Ventas: MEDIANA 1 (25.000 - 50.000 UF) | Empleados: 2</t>
        </is>
      </c>
      <c r="L755" s="61" t="n"/>
      <c r="M755" s="61" t="n"/>
      <c r="N755" s="61" t="n"/>
      <c r="O755" s="61" t="n"/>
      <c r="P755" s="61" t="n"/>
      <c r="Q755" s="62" t="n"/>
      <c r="R755" s="61" t="n"/>
    </row>
    <row r="756" ht="15.75" customHeight="1" s="38">
      <c r="A756" s="66" t="inlineStr">
        <is>
          <t>Ferretería Oviedo S.A.</t>
        </is>
      </c>
      <c r="B756" s="66" t="inlineStr">
        <is>
          <t>Compresores</t>
        </is>
      </c>
      <c r="C756" s="66" t="inlineStr">
        <is>
          <t>Santiago</t>
        </is>
      </c>
      <c r="D756" s="66" t="inlineStr">
        <is>
          <t>cotizaciones@oviedo.cl</t>
        </is>
      </c>
      <c r="E756" s="66" t="inlineStr">
        <is>
          <t>(56) 2 2958 9619</t>
        </is>
      </c>
      <c r="F756" s="66" t="inlineStr">
        <is>
          <t>Gerente de TI / CIO (Director de Tecnología)</t>
        </is>
      </c>
      <c r="G756" s="66" t="n"/>
      <c r="H756" s="66" t="n"/>
      <c r="I756" s="66" t="inlineStr">
        <is>
          <t>86.053.400-2</t>
        </is>
      </c>
      <c r="J756" s="66" t="n"/>
      <c r="K756" s="66" t="inlineStr">
        <is>
          <t>Ventas: GRANDE 3 (600.000 - 1.000.000 UF) | Empleados: 181</t>
        </is>
      </c>
      <c r="L756" s="61" t="n"/>
      <c r="M756" s="61" t="n"/>
      <c r="N756" s="61" t="n"/>
      <c r="O756" s="61" t="n"/>
      <c r="P756" s="61" t="n"/>
      <c r="Q756" s="62" t="n"/>
      <c r="R756" s="61" t="n"/>
    </row>
    <row r="757" ht="15.75" customHeight="1" s="38">
      <c r="A757" s="66" t="inlineStr">
        <is>
          <t>Ferri S.A.I.C.</t>
        </is>
      </c>
      <c r="B757" s="66" t="inlineStr">
        <is>
          <t>Plásticos Industriales, Productos de Goma</t>
        </is>
      </c>
      <c r="C757" s="66" t="inlineStr">
        <is>
          <t>Santiago</t>
        </is>
      </c>
      <c r="D757" s="66" t="inlineStr">
        <is>
          <t>ventas@ferri.cl</t>
        </is>
      </c>
      <c r="E757" s="66" t="inlineStr">
        <is>
          <t>(56) 2 2551 0694</t>
        </is>
      </c>
      <c r="F757" s="66" t="n"/>
      <c r="G757" s="66" t="n"/>
      <c r="H757" s="66" t="n"/>
      <c r="I757" s="66" t="inlineStr">
        <is>
          <t>96.871.720-0</t>
        </is>
      </c>
      <c r="J757" s="66" t="n"/>
      <c r="K757" s="66" t="inlineStr">
        <is>
          <t>Ventas: MEDIANA 1 (25.000 - 50.000 UF) | Empleados: 6</t>
        </is>
      </c>
      <c r="L757" s="61" t="n"/>
      <c r="M757" s="61" t="n"/>
      <c r="N757" s="61" t="n"/>
      <c r="O757" s="61" t="n"/>
      <c r="P757" s="61" t="n"/>
      <c r="Q757" s="62" t="n"/>
      <c r="R757" s="61" t="n"/>
    </row>
    <row r="758" ht="15.75" customHeight="1" s="38">
      <c r="A758" s="66" t="inlineStr">
        <is>
          <t>Ferrocaucho Ltda.</t>
        </is>
      </c>
      <c r="B758" s="66" t="inlineStr">
        <is>
          <t>Repuestos de Goma</t>
        </is>
      </c>
      <c r="C758" s="66" t="inlineStr">
        <is>
          <t>Santiago</t>
        </is>
      </c>
      <c r="D758" s="66" t="inlineStr">
        <is>
          <t>ventas@ferrocaucho.cl</t>
        </is>
      </c>
      <c r="E758" s="66" t="inlineStr">
        <is>
          <t>(56) 2 2443 9340</t>
        </is>
      </c>
      <c r="F758" s="66" t="n"/>
      <c r="G758" s="66" t="n"/>
      <c r="H758" s="66" t="n"/>
      <c r="I758" s="66" t="inlineStr">
        <is>
          <t>78.599.150-8</t>
        </is>
      </c>
      <c r="J758" s="66" t="n"/>
      <c r="K758" s="66" t="inlineStr">
        <is>
          <t>Ventas: GRANDE 1 (100.000 - 200.000 UF) | Empleados: 38</t>
        </is>
      </c>
      <c r="L758" s="61" t="n"/>
      <c r="M758" s="61" t="n"/>
      <c r="N758" s="61" t="n"/>
      <c r="O758" s="61" t="n"/>
      <c r="P758" s="61" t="n"/>
      <c r="Q758" s="62" t="n"/>
      <c r="R758" s="61" t="n"/>
    </row>
    <row r="759" ht="15.75" customHeight="1" s="38">
      <c r="A759" s="59" t="inlineStr">
        <is>
          <t>Ferrocentro - Maestranza Maipú</t>
        </is>
      </c>
      <c r="B759" s="59" t="inlineStr">
        <is>
          <t>Servicios en Productos de Acero</t>
        </is>
      </c>
      <c r="C759" s="59" t="inlineStr">
        <is>
          <t>Santiago</t>
        </is>
      </c>
      <c r="D759" s="59" t="inlineStr">
        <is>
          <t>ventas@ferrocentro.cl</t>
        </is>
      </c>
      <c r="E759" s="59" t="inlineStr">
        <is>
          <t>(56) 2 2836 4900</t>
        </is>
      </c>
      <c r="F759" s="59" t="inlineStr">
        <is>
          <t>Gerente General (Gerente General)</t>
        </is>
      </c>
      <c r="G759" s="59" t="inlineStr">
        <is>
          <t>sistemas@ferrocentro.cl</t>
        </is>
      </c>
      <c r="H759" s="59" t="n"/>
      <c r="I759" s="59" t="inlineStr">
        <is>
          <t>79.677.100-3</t>
        </is>
      </c>
      <c r="J759" s="59" t="inlineStr">
        <is>
          <t>Investigación en Proceso</t>
        </is>
      </c>
      <c r="K759" s="59" t="inlineStr">
        <is>
          <t>Ventas: GRANDE 3 (600.000 - 1.000.000 UF) | Empleados: 161</t>
        </is>
      </c>
      <c r="L759" s="61" t="n"/>
      <c r="M759" s="61" t="n"/>
      <c r="N759" s="61" t="n"/>
      <c r="O759" s="61" t="n"/>
      <c r="P759" s="61" t="n"/>
      <c r="Q759" s="62" t="n"/>
      <c r="R759" s="61" t="n"/>
    </row>
    <row r="760" ht="15.75" customHeight="1" s="38">
      <c r="A760" s="66" t="inlineStr">
        <is>
          <t>Ferrocor</t>
        </is>
      </c>
      <c r="B760" s="66" t="inlineStr">
        <is>
          <t>Puertas Blindadas y Cortafuego, Puertas de Acero para Minería Subterránea</t>
        </is>
      </c>
      <c r="C760" s="66" t="inlineStr">
        <is>
          <t>Santiago</t>
        </is>
      </c>
      <c r="D760" s="66" t="inlineStr">
        <is>
          <t>ventas@ferrocor.cl</t>
        </is>
      </c>
      <c r="E760" s="66" t="inlineStr">
        <is>
          <t>(56) 2 2671 1045</t>
        </is>
      </c>
      <c r="F760" s="66" t="n"/>
      <c r="G760" s="66" t="n"/>
      <c r="H760" s="66" t="n"/>
      <c r="I760" s="66" t="inlineStr">
        <is>
          <t>76.249.931-2</t>
        </is>
      </c>
      <c r="J760" s="66" t="n"/>
      <c r="K760" s="66" t="inlineStr">
        <is>
          <t>Ventas: GRANDE 1 (100.000 - 200.000 UF) | Empleados: 26</t>
        </is>
      </c>
      <c r="L760" s="61" t="n"/>
      <c r="M760" s="61" t="n"/>
      <c r="N760" s="61" t="n"/>
      <c r="O760" s="61" t="n"/>
      <c r="P760" s="61" t="n"/>
      <c r="Q760" s="62" t="n"/>
      <c r="R760" s="61" t="n"/>
    </row>
    <row r="761" ht="15.75" customHeight="1" s="38">
      <c r="A761" s="66" t="inlineStr">
        <is>
          <t>Ferrogroup Ltda.</t>
        </is>
      </c>
      <c r="B761" s="66" t="inlineStr">
        <is>
          <t>Puertas y Portones</t>
        </is>
      </c>
      <c r="C761" s="66" t="inlineStr">
        <is>
          <t>Santiago</t>
        </is>
      </c>
      <c r="D761" s="66" t="inlineStr">
        <is>
          <t>pcortes@ferrogroup.cl</t>
        </is>
      </c>
      <c r="E761" s="66" t="inlineStr">
        <is>
          <t>(56) 2 2342 6992</t>
        </is>
      </c>
      <c r="F761" s="66" t="n"/>
      <c r="G761" s="66" t="n"/>
      <c r="H761" s="66" t="n"/>
      <c r="I761" s="66" t="inlineStr">
        <is>
          <t>76.000.085-K</t>
        </is>
      </c>
      <c r="J761" s="66" t="n"/>
      <c r="K761" s="66" t="inlineStr">
        <is>
          <t>Ventas: GRANDE 2 (200.000 - 600.000 UF) | Empleados: 0</t>
        </is>
      </c>
      <c r="L761" s="61" t="n"/>
      <c r="M761" s="61" t="n"/>
      <c r="N761" s="61" t="n"/>
      <c r="O761" s="61" t="n"/>
      <c r="P761" s="61" t="n"/>
      <c r="Q761" s="62" t="n"/>
      <c r="R761" s="61" t="n"/>
    </row>
    <row r="762" ht="15.75" customHeight="1" s="38">
      <c r="A762" s="66" t="inlineStr">
        <is>
          <t>Ferroman S.A.</t>
        </is>
      </c>
      <c r="B762" s="66" t="inlineStr">
        <is>
          <t>Reparación de Motores Eléctricos</t>
        </is>
      </c>
      <c r="C762" s="66" t="inlineStr">
        <is>
          <t>Santiago</t>
        </is>
      </c>
      <c r="D762" s="66" t="inlineStr">
        <is>
          <t>corporativo@ferroman.cl</t>
        </is>
      </c>
      <c r="E762" s="66" t="inlineStr">
        <is>
          <t>(56) 2 2889 4600</t>
        </is>
      </c>
      <c r="F762" s="66" t="n"/>
      <c r="G762" s="66" t="n"/>
      <c r="H762" s="66" t="n"/>
      <c r="I762" s="66" t="inlineStr">
        <is>
          <t>88.198.500-4</t>
        </is>
      </c>
      <c r="J762" s="66" t="n"/>
      <c r="K762" s="66" t="inlineStr">
        <is>
          <t>Ventas: GRANDE 2 (200.000 - 600.000 UF) | Empleados: 63</t>
        </is>
      </c>
      <c r="L762" s="61" t="n"/>
      <c r="M762" s="61" t="n"/>
      <c r="N762" s="61" t="n"/>
      <c r="O762" s="61" t="n"/>
      <c r="P762" s="61" t="n"/>
      <c r="Q762" s="62" t="n"/>
      <c r="R762" s="61" t="n"/>
    </row>
    <row r="763" ht="15.75" customHeight="1" s="38">
      <c r="A763" s="66" t="inlineStr">
        <is>
          <t>Ferronor S.A.</t>
        </is>
      </c>
      <c r="B763" s="66" t="inlineStr">
        <is>
          <t>Transporte Terrestre</t>
        </is>
      </c>
      <c r="C763" s="66" t="inlineStr">
        <is>
          <t>Santiago</t>
        </is>
      </c>
      <c r="D763" s="66" t="inlineStr">
        <is>
          <t>contacto@ferronor.cl</t>
        </is>
      </c>
      <c r="E763" s="66" t="inlineStr">
        <is>
          <t>(56) 2 2938 3170</t>
        </is>
      </c>
      <c r="F763" s="66" t="n"/>
      <c r="G763" s="66" t="n"/>
      <c r="H763" s="66" t="n"/>
      <c r="I763" s="66" t="inlineStr">
        <is>
          <t>96.545.600-7</t>
        </is>
      </c>
      <c r="J763" s="66" t="n"/>
      <c r="K763" s="66" t="inlineStr">
        <is>
          <t>Ventas: GRANDE (Estimado por Empleados) | Empleados: 577</t>
        </is>
      </c>
      <c r="L763" s="61" t="n"/>
      <c r="M763" s="61" t="n"/>
      <c r="N763" s="61" t="n"/>
      <c r="O763" s="61" t="n"/>
      <c r="P763" s="61" t="n"/>
      <c r="Q763" s="62" t="n"/>
      <c r="R763" s="61" t="n"/>
    </row>
    <row r="764" ht="15.75" customHeight="1" s="38">
      <c r="A764" s="66" t="inlineStr">
        <is>
          <t>Ferrostaal Chile S.A.C</t>
        </is>
      </c>
      <c r="B764" s="66" t="inlineStr">
        <is>
          <t>Construcción y Montaje Industrial. Piping, Mecánica Estructural, Electromecánica, Eléctrico e Instrumental, Gestión de Subcontratos, Equipos para Minería Subterránea</t>
        </is>
      </c>
      <c r="C764" s="66" t="inlineStr">
        <is>
          <t>Santiago</t>
        </is>
      </c>
      <c r="D764" s="66" t="inlineStr">
        <is>
          <t>ramon.rada@ferrostaal-chile.com</t>
        </is>
      </c>
      <c r="E764" s="66" t="inlineStr">
        <is>
          <t>(56) 2 2388 7800</t>
        </is>
      </c>
      <c r="F764" s="66" t="n"/>
      <c r="G764" s="66" t="n"/>
      <c r="H764" s="66" t="n"/>
      <c r="I764" s="66" t="inlineStr">
        <is>
          <t>91.336.000-1</t>
        </is>
      </c>
      <c r="J764" s="66" t="n"/>
      <c r="K764" s="66" t="inlineStr">
        <is>
          <t>Ventas: GRANDE (Estimado por Empleados) | Empleados: 2969</t>
        </is>
      </c>
      <c r="L764" s="61" t="n"/>
      <c r="M764" s="61" t="n"/>
      <c r="N764" s="61" t="n"/>
      <c r="O764" s="61" t="n"/>
      <c r="P764" s="61" t="n"/>
      <c r="Q764" s="62" t="n"/>
      <c r="R764" s="61" t="n"/>
    </row>
    <row r="765" ht="15.75" customHeight="1" s="38">
      <c r="A765" s="66" t="inlineStr">
        <is>
          <t>Ferrovial S.A.</t>
        </is>
      </c>
      <c r="B765" s="66" t="inlineStr">
        <is>
          <t>Transporte de Cargas Especiales</t>
        </is>
      </c>
      <c r="C765" s="66" t="inlineStr">
        <is>
          <t>Antofagasta</t>
        </is>
      </c>
      <c r="D765" s="66" t="n"/>
      <c r="E765" s="66" t="inlineStr">
        <is>
          <t>(56) 55 289 4200</t>
        </is>
      </c>
      <c r="F765" s="66" t="n"/>
      <c r="G765" s="66" t="n"/>
      <c r="H765" s="66" t="n"/>
      <c r="I765" s="66" t="inlineStr">
        <is>
          <t>96.846.410-8</t>
        </is>
      </c>
      <c r="J765" s="66" t="n"/>
      <c r="K765" s="66" t="inlineStr">
        <is>
          <t>Ventas: GRANDE (Estimado por Empleados) | Empleados: 1417</t>
        </is>
      </c>
      <c r="L765" s="61" t="n"/>
      <c r="M765" s="61" t="n"/>
      <c r="N765" s="61" t="n"/>
      <c r="O765" s="61" t="n"/>
      <c r="P765" s="61" t="n"/>
      <c r="Q765" s="62" t="n"/>
      <c r="R765" s="61" t="n"/>
    </row>
    <row r="766" ht="15.75" customHeight="1" s="38">
      <c r="A766" s="59" t="inlineStr">
        <is>
          <t>Fertec</t>
        </is>
      </c>
      <c r="B766" s="59" t="inlineStr">
        <is>
          <t>Proveedor Destacado, Abrasivos, Corte y Mecanizado, Equipos de Levante, Equipos de Medición y Precisión, Equipos Hidráulicos</t>
        </is>
      </c>
      <c r="C766" s="59" t="inlineStr">
        <is>
          <t>Santiago</t>
        </is>
      </c>
      <c r="D766" s="59" t="inlineStr">
        <is>
          <t>web@fertec.cl</t>
        </is>
      </c>
      <c r="E766" s="59" t="inlineStr">
        <is>
          <t>(56) 55 247 6985</t>
        </is>
      </c>
      <c r="F766" s="59" t="inlineStr">
        <is>
          <t>Camilo Román Celis (Soporte TI)</t>
        </is>
      </c>
      <c r="G766" s="59" t="inlineStr">
        <is>
          <t>c.roman@fertec.cl</t>
        </is>
      </c>
      <c r="H766" s="59" t="inlineStr">
        <is>
          <t>http://www.fertec.cl</t>
        </is>
      </c>
      <c r="I766" s="59" t="inlineStr">
        <is>
          <t>99.552.660-3</t>
        </is>
      </c>
      <c r="J766" s="59" t="inlineStr">
        <is>
          <t>Investigación en Proceso</t>
        </is>
      </c>
      <c r="K766" s="59" t="inlineStr">
        <is>
          <t>Ventas: GRANDE 3 (600.000 - 1.000.000 UF) | Empleados: 63</t>
        </is>
      </c>
      <c r="L766" s="61" t="n"/>
      <c r="M766" s="61" t="n"/>
      <c r="N766" s="61" t="n"/>
      <c r="O766" s="61" t="n"/>
      <c r="P766" s="61" t="n"/>
      <c r="Q766" s="62" t="n"/>
      <c r="R766" s="61" t="n"/>
    </row>
    <row r="767" ht="15.75" customHeight="1" s="38">
      <c r="A767" s="66" t="inlineStr">
        <is>
          <t>Fesanco SpA</t>
        </is>
      </c>
      <c r="B767" s="66" t="inlineStr">
        <is>
          <t>Reparación de Maquinaria para la Minería</t>
        </is>
      </c>
      <c r="C767" s="66" t="inlineStr">
        <is>
          <t>Valparaíso</t>
        </is>
      </c>
      <c r="D767" s="66" t="inlineStr">
        <is>
          <t>fesanco@fesanco.cl</t>
        </is>
      </c>
      <c r="E767" s="66" t="inlineStr">
        <is>
          <t>(56) 32 299 8600</t>
        </is>
      </c>
      <c r="F767" s="66" t="n"/>
      <c r="G767" s="66" t="n"/>
      <c r="H767" s="66" t="n"/>
      <c r="I767" s="66" t="inlineStr">
        <is>
          <t>96.852.610-3</t>
        </is>
      </c>
      <c r="J767" s="66" t="n"/>
      <c r="K767" s="66" t="inlineStr">
        <is>
          <t>Ventas: GRANDE 2 (200.000 - 600.000 UF) | Empleados: 111</t>
        </is>
      </c>
      <c r="L767" s="61" t="n"/>
      <c r="M767" s="61" t="n"/>
      <c r="N767" s="61" t="n"/>
      <c r="O767" s="61" t="n"/>
      <c r="P767" s="61" t="n"/>
      <c r="Q767" s="62" t="n"/>
      <c r="R767" s="61" t="n"/>
    </row>
    <row r="768" ht="15.75" customHeight="1" s="38">
      <c r="A768" s="59" t="inlineStr">
        <is>
          <t>Festo S.A.</t>
        </is>
      </c>
      <c r="B768" s="59" t="inlineStr">
        <is>
          <t>Automatización Industrial, Robots industriales</t>
        </is>
      </c>
      <c r="C768" s="59" t="inlineStr">
        <is>
          <t>Santiago</t>
        </is>
      </c>
      <c r="D768" s="59" t="inlineStr">
        <is>
          <t>ventas.cl@festo.com</t>
        </is>
      </c>
      <c r="E768" s="59" t="inlineStr">
        <is>
          <t>(56) 2 2690 2800</t>
        </is>
      </c>
      <c r="F768" s="59" t="inlineStr">
        <is>
          <t>Mauricio Tapia (Regional Head of IT)</t>
        </is>
      </c>
      <c r="G768" s="59" t="inlineStr">
        <is>
          <t>m.tapia@festo.com</t>
        </is>
      </c>
      <c r="H768" s="59" t="n"/>
      <c r="I768" s="59" t="inlineStr">
        <is>
          <t>96.951.450-8</t>
        </is>
      </c>
      <c r="J768" s="59" t="inlineStr">
        <is>
          <t>Investigación en Proceso</t>
        </is>
      </c>
      <c r="K768" s="59" t="inlineStr">
        <is>
          <t>Ventas: GRANDE 3 (600.000 - 1.000.000 UF) | Empleados: 42</t>
        </is>
      </c>
      <c r="L768" s="61" t="n"/>
      <c r="M768" s="61" t="n"/>
      <c r="N768" s="61" t="n"/>
      <c r="O768" s="61" t="n"/>
      <c r="P768" s="61" t="n"/>
      <c r="Q768" s="62" t="n"/>
      <c r="R768" s="61" t="n"/>
    </row>
    <row r="769" ht="15.75" customHeight="1" s="38">
      <c r="A769" s="66" t="inlineStr">
        <is>
          <t>FF Geomechanics Ingeniería Ltda.</t>
        </is>
      </c>
      <c r="B769" s="66" t="inlineStr">
        <is>
          <t>Diseño de Minas, Planificación de Minas</t>
        </is>
      </c>
      <c r="C769" s="66" t="inlineStr">
        <is>
          <t>Valparaíso</t>
        </is>
      </c>
      <c r="D769" s="66" t="inlineStr">
        <is>
          <t>contacto@ffgeomechanics.cl</t>
        </is>
      </c>
      <c r="E769" s="66" t="inlineStr">
        <is>
          <t>(56) 32 259 5116</t>
        </is>
      </c>
      <c r="F769" s="66" t="n"/>
      <c r="G769" s="66" t="n"/>
      <c r="H769" s="66" t="n"/>
      <c r="I769" s="66" t="inlineStr">
        <is>
          <t>76.249.343-8</t>
        </is>
      </c>
      <c r="J769" s="66" t="n"/>
      <c r="K769" s="66" t="inlineStr">
        <is>
          <t>Ventas: MEDIANA 1 (25.000 - 50.000 UF) | Empleados: 16</t>
        </is>
      </c>
      <c r="L769" s="61" t="n"/>
      <c r="M769" s="61" t="n"/>
      <c r="N769" s="61" t="n"/>
      <c r="O769" s="61" t="n"/>
      <c r="P769" s="61" t="n"/>
      <c r="Q769" s="62" t="n"/>
      <c r="R769" s="61" t="n"/>
    </row>
    <row r="770" ht="15.75" customHeight="1" s="38">
      <c r="A770" s="66" t="inlineStr">
        <is>
          <t>Ficom SpA</t>
        </is>
      </c>
      <c r="B770" s="66" t="inlineStr">
        <is>
          <t>Comunicación Satelital Móvil, Conectividad, Redes y Telecomunicaciones</t>
        </is>
      </c>
      <c r="C770" s="66" t="inlineStr">
        <is>
          <t>Santiago</t>
        </is>
      </c>
      <c r="D770" s="66" t="inlineStr">
        <is>
          <t>contacto@ficom.cl</t>
        </is>
      </c>
      <c r="E770" s="66" t="inlineStr">
        <is>
          <t>(56) 2 3344 6107</t>
        </is>
      </c>
      <c r="F770" s="66" t="n"/>
      <c r="G770" s="66" t="n"/>
      <c r="H770" s="66" t="n"/>
      <c r="I770" s="66" t="inlineStr">
        <is>
          <t>96896570-0</t>
        </is>
      </c>
      <c r="J770" s="66" t="n"/>
      <c r="K770" s="66" t="inlineStr">
        <is>
          <t>Ventas: MICRO 1 (0.01 - 200 UF) | Empleados: 0</t>
        </is>
      </c>
      <c r="L770" s="61" t="n"/>
      <c r="M770" s="61" t="n"/>
      <c r="N770" s="61" t="n"/>
      <c r="O770" s="61" t="n"/>
      <c r="P770" s="61" t="n"/>
      <c r="Q770" s="62" t="n"/>
      <c r="R770" s="61" t="n"/>
    </row>
    <row r="771" ht="15.75" customHeight="1" s="38">
      <c r="A771" s="66" t="inlineStr">
        <is>
          <t>Fiefre S.A.</t>
        </is>
      </c>
      <c r="B771" s="66" t="inlineStr">
        <is>
          <t>Equipos para Izaje, Polipastos</t>
        </is>
      </c>
      <c r="C771" s="66" t="inlineStr">
        <is>
          <t>Talagante</t>
        </is>
      </c>
      <c r="D771" s="66" t="inlineStr">
        <is>
          <t>contacto@fiefre.cl</t>
        </is>
      </c>
      <c r="E771" s="66" t="inlineStr">
        <is>
          <t>(56) 2 2753 4800</t>
        </is>
      </c>
      <c r="F771" s="66" t="n"/>
      <c r="G771" s="66" t="n"/>
      <c r="H771" s="66" t="n"/>
      <c r="I771" s="66" t="inlineStr">
        <is>
          <t>76.505.795-7</t>
        </is>
      </c>
      <c r="J771" s="66" t="n"/>
      <c r="K771" s="66" t="inlineStr">
        <is>
          <t>Ventas: GRANDE 2 (200.000 - 600.000 UF) | Empleados: 90</t>
        </is>
      </c>
      <c r="L771" s="61" t="n"/>
      <c r="M771" s="61" t="n"/>
      <c r="N771" s="61" t="n"/>
      <c r="O771" s="61" t="n"/>
      <c r="P771" s="61" t="n"/>
      <c r="Q771" s="62" t="n"/>
      <c r="R771" s="61" t="n"/>
    </row>
    <row r="772" ht="15.75" customHeight="1" s="38">
      <c r="A772" s="66" t="inlineStr">
        <is>
          <t>Filterpore Ltda.</t>
        </is>
      </c>
      <c r="B772" s="66" t="inlineStr">
        <is>
          <t>Purificación de Fluidos</t>
        </is>
      </c>
      <c r="C772" s="66" t="inlineStr">
        <is>
          <t>Santiago</t>
        </is>
      </c>
      <c r="D772" s="66" t="inlineStr">
        <is>
          <t>filterpore@filterpore.cl</t>
        </is>
      </c>
      <c r="E772" s="66" t="inlineStr">
        <is>
          <t>(56) 2 2899 7990</t>
        </is>
      </c>
      <c r="F772" s="66" t="n"/>
      <c r="G772" s="66" t="n"/>
      <c r="H772" s="66" t="n"/>
      <c r="I772" s="66" t="inlineStr">
        <is>
          <t>78.858.080-0</t>
        </is>
      </c>
      <c r="J772" s="66" t="n"/>
      <c r="K772" s="66" t="inlineStr">
        <is>
          <t>Ventas: PEQUEÑA 3 (10.000 - 25.000 UF) | Empleados: 3</t>
        </is>
      </c>
      <c r="L772" s="61" t="n"/>
      <c r="M772" s="61" t="n"/>
      <c r="N772" s="61" t="n"/>
      <c r="O772" s="61" t="n"/>
      <c r="P772" s="61" t="n"/>
      <c r="Q772" s="62" t="n"/>
      <c r="R772" s="61" t="n"/>
    </row>
    <row r="773" ht="15.75" customHeight="1" s="38">
      <c r="A773" s="66" t="inlineStr">
        <is>
          <t>Filtros Absolutos Chile SpA</t>
        </is>
      </c>
      <c r="B773" s="66" t="inlineStr">
        <is>
          <t>Purificación de Aire</t>
        </is>
      </c>
      <c r="C773" s="66" t="inlineStr">
        <is>
          <t>Santiago</t>
        </is>
      </c>
      <c r="D773" s="66" t="inlineStr">
        <is>
          <t>ventas@absolutos.cl</t>
        </is>
      </c>
      <c r="E773" s="66" t="inlineStr">
        <is>
          <t>(56) 2 2918 7576</t>
        </is>
      </c>
      <c r="F773" s="66" t="n"/>
      <c r="G773" s="66" t="n"/>
      <c r="H773" s="66" t="n"/>
      <c r="I773" s="66" t="inlineStr">
        <is>
          <t>52.004.939-8</t>
        </is>
      </c>
      <c r="J773" s="66" t="n"/>
      <c r="K773" s="66" t="inlineStr">
        <is>
          <t>Ventas: MICRO 2 (200 - 600 UF) | Empleados: 0</t>
        </is>
      </c>
      <c r="L773" s="61" t="n"/>
      <c r="M773" s="61" t="n"/>
      <c r="N773" s="61" t="n"/>
      <c r="O773" s="61" t="n"/>
      <c r="P773" s="61" t="n"/>
      <c r="Q773" s="62" t="n"/>
      <c r="R773" s="61" t="n"/>
    </row>
    <row r="774" ht="15.75" customHeight="1" s="38">
      <c r="A774" s="66" t="inlineStr">
        <is>
          <t>Finning Chile S.A.</t>
        </is>
      </c>
      <c r="B774" s="66" t="inlineStr">
        <is>
          <t>Proveedor Destacado, Arriendo de Grupos Electrógenos, Camiones de Bajo Perfil para Minería Subterránea, Camiones Fuera de Carretera, Camiones Ultra Class, Cargadores de Bajo Perfil para Minería Subterránea, Cargadores Frontales, Retroexcavadoras, Soluciones de Energía Natural (Biogás), Técnología, Tractores, Venta de Maquinaria usada Garantizada</t>
        </is>
      </c>
      <c r="C774" s="66" t="inlineStr">
        <is>
          <t>Santiago</t>
        </is>
      </c>
      <c r="D774" s="66" t="inlineStr">
        <is>
          <t>medios@finning.com</t>
        </is>
      </c>
      <c r="E774" s="66" t="inlineStr">
        <is>
          <t>(56) 2 2927 7000</t>
        </is>
      </c>
      <c r="F774" s="66" t="n"/>
      <c r="G774" s="66" t="n"/>
      <c r="H774" s="66" t="inlineStr">
        <is>
          <t>http://www.finning.com</t>
        </is>
      </c>
      <c r="I774" s="66" t="inlineStr">
        <is>
          <t>91.489.000-4</t>
        </is>
      </c>
      <c r="J774" s="66" t="n"/>
      <c r="K774" s="66" t="inlineStr">
        <is>
          <t>Ventas: GRANDE (Estimado por Empleados) | Empleados: 6351</t>
        </is>
      </c>
      <c r="L774" s="61" t="n"/>
      <c r="M774" s="61" t="n"/>
      <c r="N774" s="61" t="n"/>
      <c r="O774" s="61" t="n"/>
      <c r="P774" s="61" t="n"/>
      <c r="Q774" s="62" t="n"/>
      <c r="R774" s="61" t="n"/>
    </row>
    <row r="775" ht="15.75" customHeight="1" s="38">
      <c r="A775" s="66" t="inlineStr">
        <is>
          <t>Fire Stop System Chile S.A.</t>
        </is>
      </c>
      <c r="B775" s="66" t="inlineStr">
        <is>
          <t>Prevención de Riesgos, Protección Pasiva contra Incendios</t>
        </is>
      </c>
      <c r="C775" s="66" t="inlineStr">
        <is>
          <t>Santiago</t>
        </is>
      </c>
      <c r="D775" s="66" t="inlineStr">
        <is>
          <t>fsilvac@firestop.cl</t>
        </is>
      </c>
      <c r="E775" s="66" t="inlineStr">
        <is>
          <t>(56) 2 2696 3178</t>
        </is>
      </c>
      <c r="F775" s="66" t="n"/>
      <c r="G775" s="66" t="n"/>
      <c r="H775" s="66" t="n"/>
      <c r="I775" s="66" t="inlineStr">
        <is>
          <t>96.928.460-K</t>
        </is>
      </c>
      <c r="J775" s="66" t="n"/>
      <c r="K775" s="66" t="inlineStr">
        <is>
          <t>Ventas: MEDIANA 1 (25.000 - 50.000 UF) | Empleados: 27</t>
        </is>
      </c>
      <c r="L775" s="61" t="n"/>
      <c r="M775" s="61" t="n"/>
      <c r="N775" s="61" t="n"/>
      <c r="O775" s="61" t="n"/>
      <c r="P775" s="61" t="n"/>
      <c r="Q775" s="62" t="n"/>
      <c r="R775" s="61" t="n"/>
    </row>
    <row r="776" ht="15.75" customHeight="1" s="38">
      <c r="A776" s="66" t="inlineStr">
        <is>
          <t>Firefly Helicópteros</t>
        </is>
      </c>
      <c r="B776" s="66" t="inlineStr">
        <is>
          <t>Arriendo de Helicópteros, Transporte Aéreo en Helicóptero</t>
        </is>
      </c>
      <c r="C776" s="66" t="inlineStr">
        <is>
          <t>Santiago</t>
        </is>
      </c>
      <c r="D776" s="66" t="inlineStr">
        <is>
          <t>contacto@firefly.aero</t>
        </is>
      </c>
      <c r="E776" s="66" t="inlineStr">
        <is>
          <t>(56) 2 2636 8000</t>
        </is>
      </c>
      <c r="F776" s="66" t="n"/>
      <c r="G776" s="66" t="n"/>
      <c r="H776" s="66" t="n"/>
      <c r="I776" s="66" t="inlineStr">
        <is>
          <t>76.119.533-6</t>
        </is>
      </c>
      <c r="J776" s="66" t="n"/>
      <c r="K776" s="66" t="inlineStr">
        <is>
          <t>Ventas: MEDIANA 1 (25.000 - 50.000 UF) | Empleados: 3</t>
        </is>
      </c>
      <c r="L776" s="61" t="n"/>
      <c r="M776" s="61" t="n"/>
      <c r="N776" s="61" t="n"/>
      <c r="O776" s="61" t="n"/>
      <c r="P776" s="61" t="n"/>
      <c r="Q776" s="62" t="n"/>
      <c r="R776" s="61" t="n"/>
    </row>
    <row r="777" ht="15.75" customHeight="1" s="38">
      <c r="A777" s="66" t="inlineStr">
        <is>
          <t>First Rent a Car</t>
        </is>
      </c>
      <c r="B777" s="66" t="inlineStr">
        <is>
          <t>Arriendo de Camionetas</t>
        </is>
      </c>
      <c r="C777" s="66" t="inlineStr">
        <is>
          <t>Santiago</t>
        </is>
      </c>
      <c r="D777" s="66" t="inlineStr">
        <is>
          <t>reservasnacionales@first.cl</t>
        </is>
      </c>
      <c r="E777" s="66" t="inlineStr">
        <is>
          <t>(56) 2 2225 6328</t>
        </is>
      </c>
      <c r="F777" s="66" t="n"/>
      <c r="G777" s="66" t="n"/>
      <c r="H777" s="66" t="n"/>
      <c r="I777" s="66" t="inlineStr">
        <is>
          <t>89.135.000-7</t>
        </is>
      </c>
      <c r="J777" s="66" t="n"/>
      <c r="K777" s="66" t="inlineStr">
        <is>
          <t>Ventas: GRANDE 2 (200.000 - 600.000 UF) | Empleados: 120</t>
        </is>
      </c>
      <c r="L777" s="61" t="n"/>
      <c r="M777" s="61" t="n"/>
      <c r="N777" s="61" t="n"/>
      <c r="O777" s="61" t="n"/>
      <c r="P777" s="61" t="n"/>
      <c r="Q777" s="62" t="n"/>
      <c r="R777" s="61" t="n"/>
    </row>
    <row r="778" ht="15.75" customHeight="1" s="38">
      <c r="A778" s="59" t="inlineStr">
        <is>
          <t>FitFlow</t>
        </is>
      </c>
      <c r="B778" s="59" t="inlineStr">
        <is>
          <t>Equipos contra Incendios, Sistemas contra Incendios</t>
        </is>
      </c>
      <c r="C778" s="59" t="inlineStr">
        <is>
          <t>Santiago</t>
        </is>
      </c>
      <c r="D778" s="59" t="inlineStr">
        <is>
          <t>marketing@fitflow.com</t>
        </is>
      </c>
      <c r="E778" s="59" t="inlineStr">
        <is>
          <t>(56) 2 2706 6920</t>
        </is>
      </c>
      <c r="F778" s="59" t="inlineStr">
        <is>
          <t>Bruno Turrarol (Gerente de Operaciones (IT Resp))</t>
        </is>
      </c>
      <c r="G778" s="59" t="inlineStr">
        <is>
          <t>b.turrarol@fitflow.com</t>
        </is>
      </c>
      <c r="H778" s="59" t="n"/>
      <c r="I778" s="59" t="inlineStr">
        <is>
          <t>76.652.750-7</t>
        </is>
      </c>
      <c r="J778" s="59" t="inlineStr">
        <is>
          <t>Investigación en Proceso</t>
        </is>
      </c>
      <c r="K778" s="59" t="inlineStr">
        <is>
          <t>Ventas: GRANDE 3 (600.000 - 1.000.000 UF) | Empleados: 158</t>
        </is>
      </c>
      <c r="L778" s="61" t="n"/>
      <c r="M778" s="61" t="n"/>
      <c r="N778" s="61" t="n"/>
      <c r="O778" s="61" t="n"/>
      <c r="P778" s="61" t="n"/>
      <c r="Q778" s="62" t="n"/>
      <c r="R778" s="61" t="n"/>
    </row>
    <row r="779" ht="15.75" customHeight="1" s="38">
      <c r="A779" s="66" t="inlineStr">
        <is>
          <t>Fittex</t>
        </is>
      </c>
      <c r="B779" s="66" t="inlineStr">
        <is>
          <t>Tuberías</t>
        </is>
      </c>
      <c r="C779" s="66" t="inlineStr">
        <is>
          <t>Santiago</t>
        </is>
      </c>
      <c r="D779" s="66" t="inlineStr">
        <is>
          <t>ventas@fittex.cl</t>
        </is>
      </c>
      <c r="E779" s="66" t="inlineStr">
        <is>
          <t>(56) 2 2947 9300</t>
        </is>
      </c>
      <c r="F779" s="66" t="inlineStr">
        <is>
          <t>Gerente de TI / CIO (Director de Tecnología)</t>
        </is>
      </c>
      <c r="G779" s="66" t="n"/>
      <c r="H779" s="66" t="n"/>
      <c r="I779" s="66" t="inlineStr">
        <is>
          <t>76.140.214-5</t>
        </is>
      </c>
      <c r="J779" s="66" t="n"/>
      <c r="K779" s="66" t="inlineStr">
        <is>
          <t>Ventas: GRANDE 4 (Mas de 1.000.000 UF) | Empleados: 78</t>
        </is>
      </c>
      <c r="L779" s="61" t="n"/>
      <c r="M779" s="61" t="n"/>
      <c r="N779" s="61" t="n"/>
      <c r="O779" s="61" t="n"/>
      <c r="P779" s="61" t="n"/>
      <c r="Q779" s="62" t="n"/>
      <c r="R779" s="61" t="n"/>
    </row>
    <row r="780" ht="15.75" customHeight="1" s="38">
      <c r="A780" s="66" t="inlineStr">
        <is>
          <t>Fitting Chile</t>
        </is>
      </c>
      <c r="B780" s="66" t="inlineStr">
        <is>
          <t>Válvulas</t>
        </is>
      </c>
      <c r="C780" s="66" t="inlineStr">
        <is>
          <t>Iquique</t>
        </is>
      </c>
      <c r="D780" s="66" t="inlineStr">
        <is>
          <t>ventas@fittingchile.com</t>
        </is>
      </c>
      <c r="E780" s="66" t="inlineStr">
        <is>
          <t>(56) 57 222 6256</t>
        </is>
      </c>
      <c r="F780" s="66" t="n"/>
      <c r="G780" s="66" t="n"/>
      <c r="H780" s="66" t="n"/>
      <c r="I780" s="66" t="inlineStr">
        <is>
          <t>76861712-0</t>
        </is>
      </c>
      <c r="J780" s="66" t="n"/>
      <c r="K780" s="66" t="inlineStr">
        <is>
          <t>Ventas: PEQUEÑA 1 (2.400 - 5.000 UF) | Empleados: 0</t>
        </is>
      </c>
      <c r="L780" s="61" t="n"/>
      <c r="M780" s="61" t="n"/>
      <c r="N780" s="61" t="n"/>
      <c r="O780" s="61" t="n"/>
      <c r="P780" s="61" t="n"/>
      <c r="Q780" s="62" t="n"/>
      <c r="R780" s="61" t="n"/>
    </row>
    <row r="781" ht="15.75" customHeight="1" s="38">
      <c r="A781" s="66" t="inlineStr">
        <is>
          <t>Flamegroup SpA</t>
        </is>
      </c>
      <c r="B781" s="66" t="inlineStr">
        <is>
          <t>Calderas, Equipos para Medición de Emisiones y Calidad del Aire</t>
        </is>
      </c>
      <c r="C781" s="66" t="inlineStr">
        <is>
          <t>Santiago</t>
        </is>
      </c>
      <c r="D781" s="66" t="inlineStr">
        <is>
          <t>info@flamegroup.cl</t>
        </is>
      </c>
      <c r="E781" s="66" t="inlineStr">
        <is>
          <t>(56) 2 2942 2092</t>
        </is>
      </c>
      <c r="F781" s="66" t="n"/>
      <c r="G781" s="66" t="n"/>
      <c r="H781" s="66" t="n"/>
      <c r="I781" s="66" t="inlineStr">
        <is>
          <t>77.351.460-7</t>
        </is>
      </c>
      <c r="J781" s="66" t="n"/>
      <c r="K781" s="66" t="inlineStr">
        <is>
          <t>Ventas: GRANDE 1 (100.000 - 200.000 UF) | Empleados: 45</t>
        </is>
      </c>
      <c r="L781" s="61" t="n"/>
      <c r="M781" s="61" t="n"/>
      <c r="N781" s="61" t="n"/>
      <c r="O781" s="61" t="n"/>
      <c r="P781" s="61" t="n"/>
      <c r="Q781" s="62" t="n"/>
      <c r="R781" s="61" t="n"/>
    </row>
    <row r="782" ht="15.75" customHeight="1" s="38">
      <c r="A782" s="66" t="inlineStr">
        <is>
          <t>Flanders Electric Chile SpA</t>
        </is>
      </c>
      <c r="B782" s="66" t="inlineStr">
        <is>
          <t>Automatización</t>
        </is>
      </c>
      <c r="C782" s="66" t="inlineStr">
        <is>
          <t>Antofagasta</t>
        </is>
      </c>
      <c r="D782" s="66" t="n"/>
      <c r="E782" s="66" t="inlineStr">
        <is>
          <t>(56) 55 289 6060</t>
        </is>
      </c>
      <c r="F782" s="66" t="n"/>
      <c r="G782" s="66" t="n"/>
      <c r="H782" s="66" t="n"/>
      <c r="I782" s="66" t="inlineStr">
        <is>
          <t>76.779.700-1</t>
        </is>
      </c>
      <c r="J782" s="66" t="n"/>
      <c r="K782" s="66" t="inlineStr">
        <is>
          <t>Ventas: MEDIANA (Estimado por Empleados) | Empleados: 96</t>
        </is>
      </c>
      <c r="L782" s="61" t="n"/>
      <c r="M782" s="61" t="n"/>
      <c r="N782" s="61" t="n"/>
      <c r="O782" s="61" t="n"/>
      <c r="P782" s="61" t="n"/>
      <c r="Q782" s="62" t="n"/>
      <c r="R782" s="61" t="n"/>
    </row>
    <row r="783" ht="15.75" customHeight="1" s="38">
      <c r="A783" s="59" t="inlineStr">
        <is>
          <t>Flender SpA</t>
        </is>
      </c>
      <c r="B783" s="59" t="inlineStr">
        <is>
          <t>Acoplamientos, Reductores</t>
        </is>
      </c>
      <c r="C783" s="59" t="inlineStr">
        <is>
          <t>Santiago</t>
        </is>
      </c>
      <c r="D783" s="59" t="n"/>
      <c r="E783" s="59" t="inlineStr">
        <is>
          <t>(56) 9 8808 3824</t>
        </is>
      </c>
      <c r="F783" s="59" t="inlineStr">
        <is>
          <t>Javier Iglesias (Gerente Centro Servicios)</t>
        </is>
      </c>
      <c r="G783" s="59" t="n"/>
      <c r="H783" s="59" t="n"/>
      <c r="I783" s="59" t="inlineStr">
        <is>
          <t>76879562-2</t>
        </is>
      </c>
      <c r="J783" s="59" t="inlineStr">
        <is>
          <t>Digitalización Accionamientos AI-IQ</t>
        </is>
      </c>
      <c r="K783" s="59" t="inlineStr">
        <is>
          <t>Ventas: GRANDE 3 (600.000 - 1.000.000 UF) | Empleados: 25</t>
        </is>
      </c>
      <c r="L783" s="61" t="n"/>
      <c r="M783" s="61" t="n"/>
      <c r="N783" s="61" t="n"/>
      <c r="O783" s="61" t="n"/>
      <c r="P783" s="61" t="n"/>
      <c r="Q783" s="62" t="n"/>
      <c r="R783" s="61" t="n"/>
    </row>
    <row r="784" ht="15.75" customHeight="1" s="38">
      <c r="A784" s="66" t="inlineStr">
        <is>
          <t>Flesan</t>
        </is>
      </c>
      <c r="B784" s="66" t="inlineStr">
        <is>
          <t>Desmantelamientos Industriales y Demoliciones</t>
        </is>
      </c>
      <c r="C784" s="66" t="inlineStr">
        <is>
          <t>Santiago</t>
        </is>
      </c>
      <c r="D784" s="66" t="inlineStr">
        <is>
          <t>info@flesan.cl</t>
        </is>
      </c>
      <c r="E784" s="66" t="inlineStr">
        <is>
          <t>(56) 2 2530 9900</t>
        </is>
      </c>
      <c r="F784" s="66" t="inlineStr">
        <is>
          <t>Gerente de TI / CIO (Director de Tecnología)</t>
        </is>
      </c>
      <c r="G784" s="66" t="n"/>
      <c r="H784" s="66" t="n"/>
      <c r="I784" s="66" t="inlineStr">
        <is>
          <t>76.727.168-9</t>
        </is>
      </c>
      <c r="J784" s="66" t="n"/>
      <c r="K784" s="66" t="inlineStr">
        <is>
          <t>Ventas: GRANDE 4 (Mas de 1.000.000 UF) | Empleados: 908</t>
        </is>
      </c>
      <c r="L784" s="61" t="n"/>
      <c r="M784" s="61" t="n"/>
      <c r="N784" s="61" t="n"/>
      <c r="O784" s="61" t="n"/>
      <c r="P784" s="61" t="n"/>
      <c r="Q784" s="62" t="n"/>
      <c r="R784" s="61" t="n"/>
    </row>
    <row r="785" ht="15.75" customHeight="1" s="38">
      <c r="A785" s="66" t="inlineStr">
        <is>
          <t>Flexar Industrial</t>
        </is>
      </c>
      <c r="B785" s="66" t="inlineStr">
        <is>
          <t>Plataformas Elevadoras</t>
        </is>
      </c>
      <c r="C785" s="66" t="inlineStr">
        <is>
          <t>Antofagasta</t>
        </is>
      </c>
      <c r="D785" s="66" t="inlineStr">
        <is>
          <t>ventas@flexar.cl</t>
        </is>
      </c>
      <c r="E785" s="66" t="inlineStr">
        <is>
          <t>(56) 55 243 4118</t>
        </is>
      </c>
      <c r="F785" s="66" t="n"/>
      <c r="G785" s="66" t="n"/>
      <c r="H785" s="66" t="n"/>
      <c r="I785" s="66" t="inlineStr">
        <is>
          <t>76.598.651-6</t>
        </is>
      </c>
      <c r="J785" s="66" t="n"/>
      <c r="K785" s="66" t="inlineStr">
        <is>
          <t>Ventas: PEQUEÑA 2 (5.000 - 10.000 UF) | Empleados: 1</t>
        </is>
      </c>
      <c r="L785" s="61" t="n"/>
      <c r="M785" s="61" t="n"/>
      <c r="N785" s="61" t="n"/>
      <c r="O785" s="61" t="n"/>
      <c r="P785" s="61" t="n"/>
      <c r="Q785" s="62" t="n"/>
      <c r="R785" s="61" t="n"/>
    </row>
    <row r="786" ht="15.75" customHeight="1" s="38">
      <c r="A786" s="66" t="inlineStr">
        <is>
          <t>Flexcenter</t>
        </is>
      </c>
      <c r="B786" s="66" t="inlineStr">
        <is>
          <t>Arriendo de Bodegas</t>
        </is>
      </c>
      <c r="C786" s="66" t="inlineStr">
        <is>
          <t>Santiago</t>
        </is>
      </c>
      <c r="D786" s="66" t="inlineStr">
        <is>
          <t>contacto@bodenorflexcenter.cl</t>
        </is>
      </c>
      <c r="E786" s="66" t="inlineStr">
        <is>
          <t>(56) 2 2370 1090</t>
        </is>
      </c>
      <c r="F786" s="66" t="n"/>
      <c r="G786" s="66" t="n"/>
      <c r="H786" s="66" t="n"/>
      <c r="I786" s="66" t="inlineStr">
        <is>
          <t>78.476.980-1</t>
        </is>
      </c>
      <c r="J786" s="66" t="n"/>
      <c r="K786" s="66" t="inlineStr">
        <is>
          <t>Ventas: GRANDE 3 (600.000 - 1.000.000 UF) | Empleados: 8</t>
        </is>
      </c>
      <c r="L786" s="61" t="n"/>
      <c r="M786" s="61" t="n"/>
      <c r="N786" s="61" t="n"/>
      <c r="O786" s="61" t="n"/>
      <c r="P786" s="61" t="n"/>
      <c r="Q786" s="62" t="n"/>
      <c r="R786" s="61" t="n"/>
    </row>
    <row r="787" ht="15.75" customHeight="1" s="38">
      <c r="A787" s="59" t="inlineStr">
        <is>
          <t>Flexco de Chile SpA</t>
        </is>
      </c>
      <c r="B787" s="59" t="inlineStr">
        <is>
          <t>Alineadores para Correas Transportadoras</t>
        </is>
      </c>
      <c r="C787" s="59" t="inlineStr">
        <is>
          <t>Santiago</t>
        </is>
      </c>
      <c r="D787" s="59" t="inlineStr">
        <is>
          <t>ventaslatam@flexco.com</t>
        </is>
      </c>
      <c r="E787" s="59" t="inlineStr">
        <is>
          <t>(56) 2 2896 7870</t>
        </is>
      </c>
      <c r="F787" s="59" t="inlineStr">
        <is>
          <t>Franklin Mendoza (Gerente Operaciones)</t>
        </is>
      </c>
      <c r="G787" s="59" t="n"/>
      <c r="H787" s="59" t="n"/>
      <c r="I787" s="59" t="inlineStr">
        <is>
          <t>76.126.089-8</t>
        </is>
      </c>
      <c r="J787" s="59" t="inlineStr">
        <is>
          <t>IoT en Cintas Transportadoras Inteligentes</t>
        </is>
      </c>
      <c r="K787" s="59" t="inlineStr">
        <is>
          <t>Ventas: GRANDE 3 (600.000 - 1.000.000 UF) | Empleados: 42</t>
        </is>
      </c>
      <c r="L787" s="61" t="n"/>
      <c r="M787" s="61" t="n"/>
      <c r="N787" s="61" t="n"/>
      <c r="O787" s="61" t="n"/>
      <c r="P787" s="61" t="n"/>
      <c r="Q787" s="62" t="n"/>
      <c r="R787" s="61" t="n"/>
    </row>
    <row r="788" ht="15.75" customHeight="1" s="38">
      <c r="A788" s="66" t="inlineStr">
        <is>
          <t>Flexicon Chile Ltda.</t>
        </is>
      </c>
      <c r="B788" s="66" t="inlineStr">
        <is>
          <t>Sistemas para Transporte Neumático</t>
        </is>
      </c>
      <c r="C788" s="66" t="inlineStr">
        <is>
          <t>Santiago</t>
        </is>
      </c>
      <c r="D788" s="66" t="inlineStr">
        <is>
          <t>ventas@flexicon.com</t>
        </is>
      </c>
      <c r="E788" s="66" t="inlineStr">
        <is>
          <t>(56) 2 2415 1286</t>
        </is>
      </c>
      <c r="F788" s="66" t="n"/>
      <c r="G788" s="66" t="n"/>
      <c r="H788" s="66" t="n"/>
      <c r="I788" s="66" t="inlineStr">
        <is>
          <t>76.116.028-1</t>
        </is>
      </c>
      <c r="J788" s="66" t="n"/>
      <c r="K788" s="66" t="inlineStr">
        <is>
          <t>Ventas: MICRO 1 (0.01 - 200 UF) | Empleados: 0</t>
        </is>
      </c>
      <c r="L788" s="61" t="n"/>
      <c r="M788" s="61" t="n"/>
      <c r="N788" s="61" t="n"/>
      <c r="O788" s="61" t="n"/>
      <c r="P788" s="61" t="n"/>
      <c r="Q788" s="62" t="n"/>
      <c r="R788" s="61" t="n"/>
    </row>
    <row r="789" ht="15.75" customHeight="1" s="38">
      <c r="A789" s="66" t="inlineStr">
        <is>
          <t>Flexseal</t>
        </is>
      </c>
      <c r="B789" s="66" t="inlineStr">
        <is>
          <t>Bombas, Ventiladores Axiales</t>
        </is>
      </c>
      <c r="C789" s="66" t="inlineStr">
        <is>
          <t>Antofagasta</t>
        </is>
      </c>
      <c r="D789" s="66" t="inlineStr">
        <is>
          <t>comercial@flexseal.cl</t>
        </is>
      </c>
      <c r="E789" s="66" t="inlineStr">
        <is>
          <t>(56) 9 9873 0267</t>
        </is>
      </c>
      <c r="F789" s="66" t="n"/>
      <c r="G789" s="66" t="n"/>
      <c r="H789" s="66" t="n"/>
      <c r="I789" s="66" t="inlineStr">
        <is>
          <t>76.070.846-1</t>
        </is>
      </c>
      <c r="J789" s="66" t="n"/>
      <c r="K789" s="66" t="inlineStr">
        <is>
          <t>Ventas: GRANDE 1 (100.000 - 200.000 UF) | Empleados: 29</t>
        </is>
      </c>
      <c r="L789" s="61" t="n"/>
      <c r="M789" s="61" t="n"/>
      <c r="N789" s="61" t="n"/>
      <c r="O789" s="61" t="n"/>
      <c r="P789" s="61" t="n"/>
      <c r="Q789" s="62" t="n"/>
      <c r="R789" s="61" t="n"/>
    </row>
    <row r="790" ht="15.75" customHeight="1" s="38">
      <c r="A790" s="66" t="inlineStr">
        <is>
          <t>Flopower Chile</t>
        </is>
      </c>
      <c r="B790" s="66" t="inlineStr">
        <is>
          <t>Reguladores de Voltaje de Media Tensión, Transformadores</t>
        </is>
      </c>
      <c r="C790" s="66" t="inlineStr">
        <is>
          <t>Santiago</t>
        </is>
      </c>
      <c r="D790" s="66" t="inlineStr">
        <is>
          <t>ignacio.pinzon@flopower.com</t>
        </is>
      </c>
      <c r="E790" s="66" t="inlineStr">
        <is>
          <t>(56) 2 2902 3092</t>
        </is>
      </c>
      <c r="F790" s="66" t="n"/>
      <c r="G790" s="66" t="n"/>
      <c r="H790" s="66" t="n"/>
      <c r="I790" s="66" t="inlineStr">
        <is>
          <t>76.613.898-5</t>
        </is>
      </c>
      <c r="J790" s="66" t="n"/>
      <c r="K790" s="66" t="inlineStr">
        <is>
          <t>Ventas: MEDIANA 1 (25.000 - 50.000 UF) | Empleados: 3</t>
        </is>
      </c>
      <c r="L790" s="61" t="n"/>
      <c r="M790" s="61" t="n"/>
      <c r="N790" s="61" t="n"/>
      <c r="O790" s="61" t="n"/>
      <c r="P790" s="61" t="n"/>
      <c r="Q790" s="62" t="n"/>
      <c r="R790" s="61" t="n"/>
    </row>
    <row r="791" ht="15.75" customHeight="1" s="38">
      <c r="A791" s="66" t="inlineStr">
        <is>
          <t>Flota Verschae</t>
        </is>
      </c>
      <c r="B791" s="66" t="inlineStr">
        <is>
          <t>Buses Eléctricos</t>
        </is>
      </c>
      <c r="C791" s="66" t="inlineStr">
        <is>
          <t>Concon</t>
        </is>
      </c>
      <c r="D791" s="66" t="inlineStr">
        <is>
          <t>contactoweb@verschae.cl</t>
        </is>
      </c>
      <c r="E791" s="66" t="inlineStr">
        <is>
          <t>600 5000 700</t>
        </is>
      </c>
      <c r="F791" s="66" t="n"/>
      <c r="G791" s="66" t="n"/>
      <c r="H791" s="66" t="n"/>
      <c r="I791" s="66" t="inlineStr">
        <is>
          <t>96.709.430-7</t>
        </is>
      </c>
      <c r="J791" s="66" t="n"/>
      <c r="K791" s="66" t="inlineStr">
        <is>
          <t>Ventas: GRANDE 2 (200.000 - 600.000 UF) | Empleados: 126</t>
        </is>
      </c>
      <c r="L791" s="61" t="n"/>
      <c r="M791" s="61" t="n"/>
      <c r="N791" s="61" t="n"/>
      <c r="O791" s="61" t="n"/>
      <c r="P791" s="61" t="n"/>
      <c r="Q791" s="62" t="n"/>
      <c r="R791" s="61" t="n"/>
    </row>
    <row r="792" ht="15.75" customHeight="1" s="38">
      <c r="A792" s="66" t="inlineStr">
        <is>
          <t>Flottec Chile SpA</t>
        </is>
      </c>
      <c r="B792" s="66" t="inlineStr">
        <is>
          <t>Ayuda Proceso</t>
        </is>
      </c>
      <c r="C792" s="66" t="inlineStr">
        <is>
          <t>Santiago</t>
        </is>
      </c>
      <c r="D792" s="66" t="inlineStr">
        <is>
          <t>service.chile@flottec.com</t>
        </is>
      </c>
      <c r="E792" s="66" t="inlineStr">
        <is>
          <t>(56) 2 2993 5151</t>
        </is>
      </c>
      <c r="F792" s="66" t="n"/>
      <c r="G792" s="66" t="n"/>
      <c r="H792" s="66" t="n"/>
      <c r="I792" s="66" t="inlineStr">
        <is>
          <t>76.893.824-5</t>
        </is>
      </c>
      <c r="J792" s="66" t="n"/>
      <c r="K792" s="66" t="inlineStr">
        <is>
          <t>Ventas: MEDIANA 1 (25.000 - 50.000 UF) | Empleados: 3</t>
        </is>
      </c>
      <c r="L792" s="61" t="n"/>
      <c r="M792" s="61" t="n"/>
      <c r="N792" s="61" t="n"/>
      <c r="O792" s="61" t="n"/>
      <c r="P792" s="61" t="n"/>
      <c r="Q792" s="62" t="n"/>
      <c r="R792" s="61" t="n"/>
    </row>
    <row r="793" ht="15.75" customHeight="1" s="38">
      <c r="A793" s="66" t="inlineStr">
        <is>
          <t>Flow Valve</t>
        </is>
      </c>
      <c r="B793" s="66" t="inlineStr">
        <is>
          <t>Válvulas</t>
        </is>
      </c>
      <c r="C793" s="66" t="inlineStr">
        <is>
          <t>Santiago</t>
        </is>
      </c>
      <c r="D793" s="66" t="inlineStr">
        <is>
          <t>flowvalve@flowvalve.cl</t>
        </is>
      </c>
      <c r="E793" s="66" t="inlineStr">
        <is>
          <t>(56) 2 2482 3500</t>
        </is>
      </c>
      <c r="F793" s="66" t="n"/>
      <c r="G793" s="66" t="n"/>
      <c r="H793" s="66" t="n"/>
      <c r="I793" s="66" t="inlineStr">
        <is>
          <t>77.210.140-6</t>
        </is>
      </c>
      <c r="J793" s="66" t="n"/>
      <c r="K793" s="66" t="inlineStr">
        <is>
          <t>Ventas: GRANDE 3 (600.000 - 1.000.000 UF) | Empleados: 38</t>
        </is>
      </c>
      <c r="L793" s="61" t="n"/>
      <c r="M793" s="61" t="n"/>
      <c r="N793" s="61" t="n"/>
      <c r="O793" s="61" t="n"/>
      <c r="P793" s="61" t="n"/>
      <c r="Q793" s="62" t="n"/>
      <c r="R793" s="61" t="n"/>
    </row>
    <row r="794" ht="15.75" customHeight="1" s="38">
      <c r="A794" s="66" t="inlineStr">
        <is>
          <t>Flowserve Chile S.A.</t>
        </is>
      </c>
      <c r="B794" s="66" t="inlineStr">
        <is>
          <t>Bombas, Sellos Mecánicos, Válvulas</t>
        </is>
      </c>
      <c r="C794" s="66" t="inlineStr">
        <is>
          <t>Santiago</t>
        </is>
      </c>
      <c r="D794" s="66" t="inlineStr">
        <is>
          <t>agonzalezramirez@flowserve.com</t>
        </is>
      </c>
      <c r="E794" s="66" t="inlineStr">
        <is>
          <t>(56) 2 2979 9600</t>
        </is>
      </c>
      <c r="F794" s="66" t="inlineStr">
        <is>
          <t>Gerente de TI / CIO (Director de Tecnología)</t>
        </is>
      </c>
      <c r="G794" s="66" t="n"/>
      <c r="H794" s="66" t="n"/>
      <c r="I794" s="66" t="inlineStr">
        <is>
          <t>96.959.580-K</t>
        </is>
      </c>
      <c r="J794" s="66" t="n"/>
      <c r="K794" s="66" t="inlineStr">
        <is>
          <t>Ventas: GRANDE 4 (Mas de 1.000.000 UF) | Empleados: 92</t>
        </is>
      </c>
      <c r="L794" s="61" t="n"/>
      <c r="M794" s="61" t="n"/>
      <c r="N794" s="61" t="n"/>
      <c r="O794" s="61" t="n"/>
      <c r="P794" s="61" t="n"/>
      <c r="Q794" s="62" t="n"/>
      <c r="R794" s="61" t="n"/>
    </row>
    <row r="795" ht="15.75" customHeight="1" s="38">
      <c r="A795" s="66" t="inlineStr">
        <is>
          <t>FlSmidth Minerals S.A.</t>
        </is>
      </c>
      <c r="B795" s="66" t="inlineStr">
        <is>
          <t>Sistemas para Transporte de Materiales</t>
        </is>
      </c>
      <c r="C795" s="66" t="inlineStr">
        <is>
          <t>Santiago</t>
        </is>
      </c>
      <c r="D795" s="66" t="inlineStr">
        <is>
          <t>info@flsmidth.com</t>
        </is>
      </c>
      <c r="E795" s="66" t="inlineStr">
        <is>
          <t>(56) 2 2290 0000</t>
        </is>
      </c>
      <c r="F795" s="66" t="n"/>
      <c r="G795" s="66" t="n"/>
      <c r="H795" s="66" t="n"/>
      <c r="I795" s="66" t="inlineStr">
        <is>
          <t>89.664.200-6</t>
        </is>
      </c>
      <c r="J795" s="66" t="n"/>
      <c r="K795" s="66" t="inlineStr">
        <is>
          <t>Ventas: GRANDE (Estimado por Empleados) | Empleados: 2339</t>
        </is>
      </c>
      <c r="L795" s="61" t="n"/>
      <c r="M795" s="61" t="n"/>
      <c r="N795" s="61" t="n"/>
      <c r="O795" s="61" t="n"/>
      <c r="P795" s="61" t="n"/>
      <c r="Q795" s="62" t="n"/>
      <c r="R795" s="61" t="n"/>
    </row>
    <row r="796" ht="15.75" customHeight="1" s="38">
      <c r="A796" s="66" t="inlineStr">
        <is>
          <t>Fluid Supply SpA</t>
        </is>
      </c>
      <c r="B796" s="66" t="inlineStr">
        <is>
          <t>Bombas, Válvulas Industriales</t>
        </is>
      </c>
      <c r="C796" s="66" t="inlineStr">
        <is>
          <t>Antofagasta</t>
        </is>
      </c>
      <c r="D796" s="66" t="inlineStr">
        <is>
          <t>ventas@fluid-supply.com</t>
        </is>
      </c>
      <c r="E796" s="66" t="inlineStr">
        <is>
          <t>(56) 2 2441 6521</t>
        </is>
      </c>
      <c r="F796" s="66" t="n"/>
      <c r="G796" s="66" t="n"/>
      <c r="H796" s="66" t="n"/>
      <c r="I796" s="66" t="inlineStr">
        <is>
          <t>77.081.132-5</t>
        </is>
      </c>
      <c r="J796" s="66" t="n"/>
      <c r="K796" s="66" t="inlineStr">
        <is>
          <t>Ventas: GRANDE 1 (100.000 - 200.000 UF) | Empleados: 6</t>
        </is>
      </c>
      <c r="L796" s="61" t="n"/>
      <c r="M796" s="61" t="n"/>
      <c r="N796" s="61" t="n"/>
      <c r="O796" s="61" t="n"/>
      <c r="P796" s="61" t="n"/>
      <c r="Q796" s="62" t="n"/>
      <c r="R796" s="61" t="n"/>
    </row>
    <row r="797" ht="15.75" customHeight="1" s="38">
      <c r="A797" s="66" t="inlineStr">
        <is>
          <t>Fluimat</t>
        </is>
      </c>
      <c r="B797" s="66" t="inlineStr">
        <is>
          <t>Válvulas, Válvulas de Acero Inoxidable</t>
        </is>
      </c>
      <c r="C797" s="66" t="inlineStr">
        <is>
          <t>Santiago</t>
        </is>
      </c>
      <c r="D797" s="66" t="inlineStr">
        <is>
          <t>ventas@fluimat.cl</t>
        </is>
      </c>
      <c r="E797" s="66" t="inlineStr">
        <is>
          <t>(56) 2 2774 3374</t>
        </is>
      </c>
      <c r="F797" s="66" t="n"/>
      <c r="G797" s="66" t="n"/>
      <c r="H797" s="66" t="n"/>
      <c r="I797" s="66" t="inlineStr">
        <is>
          <t>12.660.110-7</t>
        </is>
      </c>
      <c r="J797" s="66" t="n"/>
      <c r="K797" s="66" t="inlineStr">
        <is>
          <t>Ventas: No en base SII | Empleados: S/I</t>
        </is>
      </c>
      <c r="L797" s="61" t="n"/>
      <c r="M797" s="61" t="n"/>
      <c r="N797" s="61" t="n"/>
      <c r="O797" s="61" t="n"/>
      <c r="P797" s="61" t="n"/>
      <c r="Q797" s="62" t="n"/>
      <c r="R797" s="61" t="n"/>
    </row>
    <row r="798" ht="15.75" customHeight="1" s="38">
      <c r="A798" s="66" t="inlineStr">
        <is>
          <t>Fluintek Chile S.A</t>
        </is>
      </c>
      <c r="B798" s="66" t="inlineStr">
        <is>
          <t>Bombas para Fluidos Corrosivos</t>
        </is>
      </c>
      <c r="C798" s="66" t="inlineStr">
        <is>
          <t>Santiago</t>
        </is>
      </c>
      <c r="D798" s="66" t="n"/>
      <c r="E798" s="66" t="n"/>
      <c r="F798" s="66" t="n"/>
      <c r="G798" s="66" t="n"/>
      <c r="H798" s="66" t="n"/>
      <c r="I798" s="66" t="inlineStr">
        <is>
          <t>78590970-4</t>
        </is>
      </c>
      <c r="J798" s="66" t="n"/>
      <c r="K798" s="66" t="inlineStr">
        <is>
          <t>Ventas: GRANDE 1 (100.000 - 200.000 UF) | Empleados: 16</t>
        </is>
      </c>
      <c r="L798" s="61" t="n"/>
      <c r="M798" s="61" t="n"/>
      <c r="N798" s="61" t="n"/>
      <c r="O798" s="61" t="n"/>
      <c r="P798" s="61" t="n"/>
      <c r="Q798" s="62" t="n"/>
      <c r="R798" s="61" t="n"/>
    </row>
    <row r="799" ht="15.75" customHeight="1" s="38">
      <c r="A799" s="66" t="inlineStr">
        <is>
          <t>Fluitek Chile S.A.</t>
        </is>
      </c>
      <c r="B799" s="66" t="inlineStr">
        <is>
          <t>Equipos contra Incendios, Sistemas para Lubricación Automática</t>
        </is>
      </c>
      <c r="C799" s="66" t="inlineStr">
        <is>
          <t>Santiago</t>
        </is>
      </c>
      <c r="D799" s="66" t="inlineStr">
        <is>
          <t>consultas@fluitekmarco.cl</t>
        </is>
      </c>
      <c r="E799" s="66" t="inlineStr">
        <is>
          <t>(56) 2 2782 4400</t>
        </is>
      </c>
      <c r="F799" s="66" t="n"/>
      <c r="G799" s="66" t="n"/>
      <c r="H799" s="66" t="n"/>
      <c r="I799" s="66" t="inlineStr">
        <is>
          <t>96.946.910-3</t>
        </is>
      </c>
      <c r="J799" s="66" t="n"/>
      <c r="K799" s="66" t="inlineStr">
        <is>
          <t>Ventas: GRANDE 3 (600.000 - 1.000.000 UF) | Empleados: 161</t>
        </is>
      </c>
      <c r="L799" s="61" t="n"/>
      <c r="M799" s="61" t="n"/>
      <c r="N799" s="61" t="n"/>
      <c r="O799" s="61" t="n"/>
      <c r="P799" s="61" t="n"/>
      <c r="Q799" s="62" t="n"/>
      <c r="R799" s="61" t="n"/>
    </row>
    <row r="800" ht="15.75" customHeight="1" s="38">
      <c r="A800" s="66" t="inlineStr">
        <is>
          <t>Flutek</t>
        </is>
      </c>
      <c r="B800" s="66" t="inlineStr">
        <is>
          <t>Bombas Sumergibles, Equipos de Bombeo</t>
        </is>
      </c>
      <c r="C800" s="66" t="inlineStr">
        <is>
          <t>Santiago</t>
        </is>
      </c>
      <c r="D800" s="66" t="inlineStr">
        <is>
          <t>contacto@flutek.cl</t>
        </is>
      </c>
      <c r="E800" s="66" t="inlineStr">
        <is>
          <t>(56) 2 2797 6972</t>
        </is>
      </c>
      <c r="F800" s="66" t="n"/>
      <c r="G800" s="66" t="n"/>
      <c r="H800" s="66" t="n"/>
      <c r="I800" s="66" t="inlineStr">
        <is>
          <t>76.596.564-0</t>
        </is>
      </c>
      <c r="J800" s="66" t="n"/>
      <c r="K800" s="66" t="inlineStr">
        <is>
          <t>Ventas: GRANDE 2 (200.000 - 600.000 UF) | Empleados: 33</t>
        </is>
      </c>
      <c r="L800" s="61" t="n"/>
      <c r="M800" s="61" t="n"/>
      <c r="N800" s="61" t="n"/>
      <c r="O800" s="61" t="n"/>
      <c r="P800" s="61" t="n"/>
      <c r="Q800" s="62" t="n"/>
      <c r="R800" s="61" t="n"/>
    </row>
    <row r="801" ht="15.75" customHeight="1" s="38">
      <c r="A801" s="66" t="inlineStr">
        <is>
          <t>FMA</t>
        </is>
      </c>
      <c r="B801" s="66" t="inlineStr">
        <is>
          <t>Camiones Tiende y Enrolla Cables</t>
        </is>
      </c>
      <c r="C801" s="66" t="inlineStr">
        <is>
          <t>Santiago</t>
        </is>
      </c>
      <c r="D801" s="66" t="inlineStr">
        <is>
          <t>contacto@fmaindustrial.com</t>
        </is>
      </c>
      <c r="E801" s="66" t="inlineStr">
        <is>
          <t>(56) 2 2331 4600</t>
        </is>
      </c>
      <c r="F801" s="66" t="n"/>
      <c r="G801" s="66" t="n"/>
      <c r="H801" s="66" t="n"/>
      <c r="I801" s="66" t="inlineStr">
        <is>
          <t>87.801.300-K</t>
        </is>
      </c>
      <c r="J801" s="66" t="n"/>
      <c r="K801" s="66" t="inlineStr">
        <is>
          <t>Ventas: GRANDE 3 (600.000 - 1.000.000 UF) | Empleados: 135</t>
        </is>
      </c>
      <c r="L801" s="61" t="n"/>
      <c r="M801" s="61" t="n"/>
      <c r="N801" s="61" t="n"/>
      <c r="O801" s="61" t="n"/>
      <c r="P801" s="61" t="n"/>
      <c r="Q801" s="62" t="n"/>
      <c r="R801" s="61" t="n"/>
    </row>
    <row r="802" ht="15.75" customHeight="1" s="38">
      <c r="A802" s="66" t="inlineStr">
        <is>
          <t>Foraco</t>
        </is>
      </c>
      <c r="B802" s="66" t="inlineStr">
        <is>
          <t>Pozos de Agua, Sondajes Mineros</t>
        </is>
      </c>
      <c r="C802" s="66" t="inlineStr">
        <is>
          <t>Santiago</t>
        </is>
      </c>
      <c r="D802" s="66" t="inlineStr">
        <is>
          <t>chile@foraco.com</t>
        </is>
      </c>
      <c r="E802" s="66" t="inlineStr">
        <is>
          <t>(56) 2 2714 8501</t>
        </is>
      </c>
      <c r="F802" s="66" t="n"/>
      <c r="G802" s="66" t="n"/>
      <c r="H802" s="66" t="n"/>
      <c r="I802" s="66" t="inlineStr">
        <is>
          <t>96.924.960-K</t>
        </is>
      </c>
      <c r="J802" s="66" t="n"/>
      <c r="K802" s="66" t="inlineStr">
        <is>
          <t>Ventas: GRANDE 3 (600.000 - 1.000.000 UF) | Empleados: 330</t>
        </is>
      </c>
      <c r="L802" s="61" t="n"/>
      <c r="M802" s="61" t="n"/>
      <c r="N802" s="61" t="n"/>
      <c r="O802" s="61" t="n"/>
      <c r="P802" s="61" t="n"/>
      <c r="Q802" s="62" t="n"/>
      <c r="R802" s="61" t="n"/>
    </row>
    <row r="803" ht="15.75" customHeight="1" s="38">
      <c r="A803" s="66" t="inlineStr">
        <is>
          <t>Forbo Siegling Chile S.A.</t>
        </is>
      </c>
      <c r="B803" s="66" t="inlineStr">
        <is>
          <t>Correas para Transmisión de Potencia, Correas Transportadoras</t>
        </is>
      </c>
      <c r="C803" s="66" t="inlineStr">
        <is>
          <t>Santiago</t>
        </is>
      </c>
      <c r="D803" s="66" t="n"/>
      <c r="E803" s="66" t="inlineStr">
        <is>
          <t>(56) 2 2554 5043</t>
        </is>
      </c>
      <c r="F803" s="66" t="n"/>
      <c r="G803" s="66" t="n"/>
      <c r="H803" s="66" t="n"/>
      <c r="I803" s="66" t="inlineStr">
        <is>
          <t>96.814.510-K</t>
        </is>
      </c>
      <c r="J803" s="66" t="n"/>
      <c r="K803" s="66" t="inlineStr">
        <is>
          <t>Ventas: GRANDE 1 (100.000 - 200.000 UF) | Empleados: 46</t>
        </is>
      </c>
      <c r="L803" s="61" t="n"/>
      <c r="M803" s="61" t="n"/>
      <c r="N803" s="61" t="n"/>
      <c r="O803" s="61" t="n"/>
      <c r="P803" s="61" t="n"/>
      <c r="Q803" s="62" t="n"/>
      <c r="R803" s="61" t="n"/>
    </row>
    <row r="804" ht="15.75" customHeight="1" s="38">
      <c r="A804" s="66" t="inlineStr">
        <is>
          <t>Ford Motor Company Chile SpA</t>
        </is>
      </c>
      <c r="B804" s="66" t="inlineStr">
        <is>
          <t>Camiones, Camionetas, Vehículos para Transporte de Personal</t>
        </is>
      </c>
      <c r="C804" s="66" t="inlineStr">
        <is>
          <t>Santiago</t>
        </is>
      </c>
      <c r="D804" s="66" t="inlineStr">
        <is>
          <t>ACFORDCL@ford.com</t>
        </is>
      </c>
      <c r="E804" s="66" t="inlineStr">
        <is>
          <t>(56) 2 2940 5800</t>
        </is>
      </c>
      <c r="F804" s="66" t="n"/>
      <c r="G804" s="66" t="n"/>
      <c r="H804" s="66" t="n"/>
      <c r="I804" s="66" t="inlineStr">
        <is>
          <t>78.703.910-3</t>
        </is>
      </c>
      <c r="J804" s="66" t="n"/>
      <c r="K804" s="66" t="inlineStr">
        <is>
          <t>Ventas: PEQUEÑA (Estimado por Empleados) | Empleados: 39</t>
        </is>
      </c>
      <c r="L804" s="61" t="n"/>
      <c r="M804" s="61" t="n"/>
      <c r="N804" s="61" t="n"/>
      <c r="O804" s="61" t="n"/>
      <c r="P804" s="61" t="n"/>
      <c r="Q804" s="62" t="n"/>
      <c r="R804" s="61" t="n"/>
    </row>
    <row r="805" ht="15.75" customHeight="1" s="38">
      <c r="A805" s="66" t="inlineStr">
        <is>
          <t>Fordia Sudamérica Ltda.</t>
        </is>
      </c>
      <c r="B805" s="66" t="inlineStr">
        <is>
          <t>Brocas</t>
        </is>
      </c>
      <c r="C805" s="66" t="inlineStr">
        <is>
          <t>Santiago</t>
        </is>
      </c>
      <c r="D805" s="66" t="inlineStr">
        <is>
          <t>info@fordia.com</t>
        </is>
      </c>
      <c r="E805" s="66" t="inlineStr">
        <is>
          <t>(56) 2 2739 2909</t>
        </is>
      </c>
      <c r="F805" s="66" t="n"/>
      <c r="G805" s="66" t="n"/>
      <c r="H805" s="66" t="n"/>
      <c r="I805" s="66" t="inlineStr">
        <is>
          <t>78.428.210-4</t>
        </is>
      </c>
      <c r="J805" s="66" t="n"/>
      <c r="K805" s="66" t="inlineStr">
        <is>
          <t>Ventas: MICRO 1 (0.01 - 200 UF) | Empleados: 0</t>
        </is>
      </c>
      <c r="L805" s="61" t="n"/>
      <c r="M805" s="61" t="n"/>
      <c r="N805" s="61" t="n"/>
      <c r="O805" s="61" t="n"/>
      <c r="P805" s="61" t="n"/>
      <c r="Q805" s="62" t="n"/>
      <c r="R805" s="61" t="n"/>
    </row>
    <row r="806" ht="15.75" customHeight="1" s="38">
      <c r="A806" s="66" t="inlineStr">
        <is>
          <t>Foremin Ltda.</t>
        </is>
      </c>
      <c r="B806" s="66" t="inlineStr">
        <is>
          <t>Repuestos para Maquinaria Minera</t>
        </is>
      </c>
      <c r="C806" s="66" t="inlineStr">
        <is>
          <t>Santiago</t>
        </is>
      </c>
      <c r="D806" s="66" t="inlineStr">
        <is>
          <t>contacto@foremin.com</t>
        </is>
      </c>
      <c r="E806" s="66" t="inlineStr">
        <is>
          <t>(56) 2 2215 6672</t>
        </is>
      </c>
      <c r="F806" s="66" t="n"/>
      <c r="G806" s="66" t="n"/>
      <c r="H806" s="66" t="n"/>
      <c r="I806" s="66" t="inlineStr">
        <is>
          <t>76.895.660-K</t>
        </is>
      </c>
      <c r="J806" s="66" t="n"/>
      <c r="K806" s="66" t="inlineStr">
        <is>
          <t>Ventas: GRANDE 1 (100.000 - 200.000 UF) | Empleados: 11</t>
        </is>
      </c>
      <c r="L806" s="61" t="n"/>
      <c r="M806" s="61" t="n"/>
      <c r="N806" s="61" t="n"/>
      <c r="O806" s="61" t="n"/>
      <c r="P806" s="61" t="n"/>
      <c r="Q806" s="62" t="n"/>
      <c r="R806" s="61" t="n"/>
    </row>
    <row r="807" ht="15.75" customHeight="1" s="38">
      <c r="A807" s="66" t="inlineStr">
        <is>
          <t>ForeServices SpA</t>
        </is>
      </c>
      <c r="B807" s="66" t="inlineStr">
        <is>
          <t>Seguridad Minera e Industrial, Servicios de Ingeniería</t>
        </is>
      </c>
      <c r="C807" s="66" t="inlineStr">
        <is>
          <t>Santiago</t>
        </is>
      </c>
      <c r="D807" s="66" t="inlineStr">
        <is>
          <t>info@foreservices.cl</t>
        </is>
      </c>
      <c r="E807" s="66" t="inlineStr">
        <is>
          <t>(56) 2 2775 5021</t>
        </is>
      </c>
      <c r="F807" s="66" t="n"/>
      <c r="G807" s="66" t="n"/>
      <c r="H807" s="66" t="n"/>
      <c r="I807" s="66" t="inlineStr">
        <is>
          <t>77266128-2</t>
        </is>
      </c>
      <c r="J807" s="66" t="n"/>
      <c r="K807" s="66" t="inlineStr">
        <is>
          <t>Ventas: MEDIANA 2 (50.000 - 100.000 UF) | Empleados: 9</t>
        </is>
      </c>
      <c r="L807" s="61" t="n"/>
      <c r="M807" s="61" t="n"/>
      <c r="N807" s="61" t="n"/>
      <c r="O807" s="61" t="n"/>
      <c r="P807" s="61" t="n"/>
      <c r="Q807" s="62" t="n"/>
      <c r="R807" s="61" t="n"/>
    </row>
    <row r="808" ht="15.75" customHeight="1" s="38">
      <c r="A808" s="66" t="inlineStr">
        <is>
          <t>Form-Scaff Chile S.A.</t>
        </is>
      </c>
      <c r="B808" s="66" t="inlineStr">
        <is>
          <t>Alzaprimas</t>
        </is>
      </c>
      <c r="C808" s="66" t="inlineStr">
        <is>
          <t>Santiago</t>
        </is>
      </c>
      <c r="D808" s="66" t="inlineStr">
        <is>
          <t>info@formscaff.cl</t>
        </is>
      </c>
      <c r="E808" s="66" t="inlineStr">
        <is>
          <t>(56) 2 2738 5019</t>
        </is>
      </c>
      <c r="F808" s="66" t="n"/>
      <c r="G808" s="66" t="n"/>
      <c r="H808" s="66" t="n"/>
      <c r="I808" s="66" t="inlineStr">
        <is>
          <t>96.759.820-8</t>
        </is>
      </c>
      <c r="J808" s="66" t="n"/>
      <c r="K808" s="66" t="inlineStr">
        <is>
          <t>Ventas: MEDIANA 2 (50.000 - 100.000 UF) | Empleados: 26</t>
        </is>
      </c>
      <c r="L808" s="61" t="n"/>
      <c r="M808" s="61" t="n"/>
      <c r="N808" s="61" t="n"/>
      <c r="O808" s="61" t="n"/>
      <c r="P808" s="61" t="n"/>
      <c r="Q808" s="62" t="n"/>
      <c r="R808" s="61" t="n"/>
    </row>
    <row r="809" ht="15.75" customHeight="1" s="38">
      <c r="A809" s="66" t="inlineStr">
        <is>
          <t>Formac S.A.</t>
        </is>
      </c>
      <c r="B809" s="66" t="inlineStr">
        <is>
          <t>Tubos de Acero</t>
        </is>
      </c>
      <c r="C809" s="66" t="inlineStr">
        <is>
          <t>Santiago</t>
        </is>
      </c>
      <c r="D809" s="66" t="inlineStr">
        <is>
          <t>soluciones@formac.cl</t>
        </is>
      </c>
      <c r="E809" s="66" t="inlineStr">
        <is>
          <t>(56) 2 2484 9000</t>
        </is>
      </c>
      <c r="F809" s="66" t="n"/>
      <c r="G809" s="66" t="n"/>
      <c r="H809" s="66" t="n"/>
      <c r="I809" s="66" t="inlineStr">
        <is>
          <t>95.672.000-1</t>
        </is>
      </c>
      <c r="J809" s="66" t="n"/>
      <c r="K809" s="66" t="inlineStr">
        <is>
          <t>Ventas: MEDIANA (Estimado por Empleados) | Empleados: 165</t>
        </is>
      </c>
      <c r="L809" s="61" t="n"/>
      <c r="M809" s="61" t="n"/>
      <c r="N809" s="61" t="n"/>
      <c r="O809" s="61" t="n"/>
      <c r="P809" s="61" t="n"/>
      <c r="Q809" s="62" t="n"/>
      <c r="R809" s="61" t="n"/>
    </row>
    <row r="810" ht="15.75" customHeight="1" s="38">
      <c r="A810" s="66" t="inlineStr">
        <is>
          <t>Fosfoquim S.A.</t>
        </is>
      </c>
      <c r="B810" s="66" t="inlineStr">
        <is>
          <t>Productos Químicos para la Minería, Reactivos para Flotación</t>
        </is>
      </c>
      <c r="C810" s="66" t="inlineStr">
        <is>
          <t>Santiago</t>
        </is>
      </c>
      <c r="D810" s="66" t="inlineStr">
        <is>
          <t>fosfoquim@fosfoquim.cl</t>
        </is>
      </c>
      <c r="E810" s="66" t="inlineStr">
        <is>
          <t>(56) 2 2355 7800</t>
        </is>
      </c>
      <c r="F810" s="66" t="n"/>
      <c r="G810" s="66" t="n"/>
      <c r="H810" s="66" t="n"/>
      <c r="I810" s="66" t="inlineStr">
        <is>
          <t>96.515.810-3</t>
        </is>
      </c>
      <c r="J810" s="66" t="n"/>
      <c r="K810" s="66" t="inlineStr">
        <is>
          <t>Ventas: GRANDE (Estimado por Empleados) | Empleados: 223</t>
        </is>
      </c>
      <c r="L810" s="61" t="n"/>
      <c r="M810" s="61" t="n"/>
      <c r="N810" s="61" t="n"/>
      <c r="O810" s="61" t="n"/>
      <c r="P810" s="61" t="n"/>
      <c r="Q810" s="62" t="n"/>
      <c r="R810" s="61" t="n"/>
    </row>
    <row r="811" ht="15.75" customHeight="1" s="38">
      <c r="A811" s="66" t="inlineStr">
        <is>
          <t>Foster Ingenieros Consultores</t>
        </is>
      </c>
      <c r="B811" s="66" t="inlineStr">
        <is>
          <t>Desarrollo de Ingeniería Multidisciplinaria, Desarrollo Procesos Productivos (Cu, Mo, Au/Ag, Zn, Co, Li), Ensayos Experimentales a Escala de Laboratorio y Semiindustrial (planta piloto)</t>
        </is>
      </c>
      <c r="C811" s="66" t="inlineStr">
        <is>
          <t>Santiago</t>
        </is>
      </c>
      <c r="D811" s="66" t="inlineStr">
        <is>
          <t>foster@fostering.cl</t>
        </is>
      </c>
      <c r="E811" s="66" t="inlineStr">
        <is>
          <t>(56) 2 2437 6786</t>
        </is>
      </c>
      <c r="F811" s="66" t="n"/>
      <c r="G811" s="66" t="n"/>
      <c r="H811" s="66" t="n"/>
      <c r="I811" s="66" t="inlineStr">
        <is>
          <t>76.257.417-9</t>
        </is>
      </c>
      <c r="J811" s="66" t="n"/>
      <c r="K811" s="66" t="inlineStr">
        <is>
          <t>Ventas: MEDIANA 2 (50.000 - 100.000 UF) | Empleados: 21</t>
        </is>
      </c>
      <c r="L811" s="61" t="n"/>
      <c r="M811" s="61" t="n"/>
      <c r="N811" s="61" t="n"/>
      <c r="O811" s="61" t="n"/>
      <c r="P811" s="61" t="n"/>
      <c r="Q811" s="62" t="n"/>
      <c r="R811" s="61" t="n"/>
    </row>
    <row r="812" ht="15.75" customHeight="1" s="38">
      <c r="A812" s="59" t="inlineStr">
        <is>
          <t>Fourthane</t>
        </is>
      </c>
      <c r="B812" s="59" t="inlineStr">
        <is>
          <t>Reparación de Correas Transportadoras</t>
        </is>
      </c>
      <c r="C812" s="59" t="inlineStr">
        <is>
          <t>Santiago</t>
        </is>
      </c>
      <c r="D812" s="59" t="inlineStr">
        <is>
          <t>fourthane@fourthane.com</t>
        </is>
      </c>
      <c r="E812" s="59" t="inlineStr">
        <is>
          <t>(56) 2 2443 6031</t>
        </is>
      </c>
      <c r="F812" s="59" t="inlineStr">
        <is>
          <t>Gerente de Innovación (Gerente Innovación)</t>
        </is>
      </c>
      <c r="G812" s="59" t="n"/>
      <c r="H812" s="59" t="n"/>
      <c r="I812" s="59" t="inlineStr">
        <is>
          <t>76.526.130-9</t>
        </is>
      </c>
      <c r="J812" s="59" t="inlineStr">
        <is>
          <t>Soluciones Tecnológicas Reparación Cintas</t>
        </is>
      </c>
      <c r="K812" s="59" t="inlineStr">
        <is>
          <t>Ventas: GRANDE 3 (600.000 - 1.000.000 UF) | Empleados: 551</t>
        </is>
      </c>
      <c r="L812" s="61" t="n"/>
      <c r="M812" s="61" t="n"/>
      <c r="N812" s="61" t="n"/>
      <c r="O812" s="61" t="n"/>
      <c r="P812" s="61" t="n"/>
      <c r="Q812" s="62" t="n"/>
      <c r="R812" s="61" t="n"/>
    </row>
    <row r="813" ht="15.75" customHeight="1" s="38">
      <c r="A813" s="66" t="inlineStr">
        <is>
          <t>Fracttal SpA</t>
        </is>
      </c>
      <c r="B813" s="66" t="inlineStr">
        <is>
          <t>Proveedor Destacado, Seguridad y Cumplimiento Normativo, Software como Servicio (SaaS), Sostenibilidad y Eficiencia Energética, Tecnología e Innovación</t>
        </is>
      </c>
      <c r="C813" s="66" t="inlineStr">
        <is>
          <t>Santiago</t>
        </is>
      </c>
      <c r="D813" s="66" t="inlineStr">
        <is>
          <t>administracion.chile@fracttal.com</t>
        </is>
      </c>
      <c r="E813" s="66" t="inlineStr">
        <is>
          <t>(56) 2 2973 5481</t>
        </is>
      </c>
      <c r="F813" s="66" t="n"/>
      <c r="G813" s="66" t="n"/>
      <c r="H813" s="66" t="inlineStr">
        <is>
          <t>http://www.fracttal.com</t>
        </is>
      </c>
      <c r="I813" s="66" t="inlineStr">
        <is>
          <t>76.405.572-1</t>
        </is>
      </c>
      <c r="J813" s="66" t="n"/>
      <c r="K813" s="66" t="inlineStr">
        <is>
          <t>Ventas: GRANDE 2 (200.000 - 600.000 UF) | Empleados: 55</t>
        </is>
      </c>
      <c r="L813" s="61" t="n"/>
      <c r="M813" s="61" t="n"/>
      <c r="N813" s="61" t="n"/>
      <c r="O813" s="61" t="n"/>
      <c r="P813" s="61" t="n"/>
      <c r="Q813" s="62" t="n"/>
      <c r="R813" s="61" t="n"/>
    </row>
    <row r="814" ht="15.75" customHeight="1" s="38">
      <c r="A814" s="66" t="inlineStr">
        <is>
          <t>Francisco Petricio S.A.</t>
        </is>
      </c>
      <c r="B814" s="66" t="inlineStr">
        <is>
          <t>Adhesivos, Barras de Acero para Hormigón</t>
        </is>
      </c>
      <c r="C814" s="66" t="inlineStr">
        <is>
          <t>Santiago</t>
        </is>
      </c>
      <c r="D814" s="66" t="inlineStr">
        <is>
          <t>rpetricio@fpetricio.cl</t>
        </is>
      </c>
      <c r="E814" s="66" t="inlineStr">
        <is>
          <t>(56) 2 2347 3200</t>
        </is>
      </c>
      <c r="F814" s="66" t="n"/>
      <c r="G814" s="66" t="n"/>
      <c r="H814" s="66" t="n"/>
      <c r="I814" s="66" t="inlineStr">
        <is>
          <t>92.296.000-3</t>
        </is>
      </c>
      <c r="J814" s="66" t="n"/>
      <c r="K814" s="66" t="inlineStr">
        <is>
          <t>Ventas: MEDIANA (Estimado por Empleados) | Empleados: 157</t>
        </is>
      </c>
      <c r="L814" s="61" t="n"/>
      <c r="M814" s="61" t="n"/>
      <c r="N814" s="61" t="n"/>
      <c r="O814" s="61" t="n"/>
      <c r="P814" s="61" t="n"/>
      <c r="Q814" s="62" t="n"/>
      <c r="R814" s="61" t="n"/>
    </row>
    <row r="815" ht="15.75" customHeight="1" s="38">
      <c r="A815" s="66" t="inlineStr">
        <is>
          <t>FRD Chile S.A.</t>
        </is>
      </c>
      <c r="B815" s="66" t="inlineStr">
        <is>
          <t>Equipos para Demolición, Equipos para Perforación</t>
        </is>
      </c>
      <c r="C815" s="66" t="inlineStr">
        <is>
          <t>Santiago</t>
        </is>
      </c>
      <c r="D815" s="66" t="inlineStr">
        <is>
          <t>info@frdchile.cl</t>
        </is>
      </c>
      <c r="E815" s="66" t="inlineStr">
        <is>
          <t>(56) 2 2565 5000</t>
        </is>
      </c>
      <c r="F815" s="66" t="n"/>
      <c r="G815" s="66" t="n"/>
      <c r="H815" s="66" t="n"/>
      <c r="I815" s="66" t="inlineStr">
        <is>
          <t>76.007.708-9</t>
        </is>
      </c>
      <c r="J815" s="66" t="n"/>
      <c r="K815" s="66" t="inlineStr">
        <is>
          <t>Ventas: MEDIANA 1 (25.000 - 50.000 UF) | Empleados: 5</t>
        </is>
      </c>
      <c r="L815" s="61" t="n"/>
      <c r="M815" s="61" t="n"/>
      <c r="N815" s="61" t="n"/>
      <c r="O815" s="61" t="n"/>
      <c r="P815" s="61" t="n"/>
      <c r="Q815" s="62" t="n"/>
      <c r="R815" s="61" t="n"/>
    </row>
    <row r="816" ht="15.75" customHeight="1" s="38">
      <c r="A816" s="66" t="inlineStr">
        <is>
          <t>Freemaq SpA</t>
        </is>
      </c>
      <c r="B816" s="66" t="inlineStr">
        <is>
          <t>Construcción de Plantas para Tratamiento de Agua, Servicios de Mantenimiento de Plantas</t>
        </is>
      </c>
      <c r="C816" s="66" t="inlineStr">
        <is>
          <t>Viña del Mar</t>
        </is>
      </c>
      <c r="D816" s="66" t="inlineStr">
        <is>
          <t>contacto@freemaq.cl</t>
        </is>
      </c>
      <c r="E816" s="66" t="inlineStr">
        <is>
          <t>(56) 32 287 4606</t>
        </is>
      </c>
      <c r="F816" s="66" t="n"/>
      <c r="G816" s="66" t="n"/>
      <c r="H816" s="66" t="n"/>
      <c r="I816" s="66" t="inlineStr">
        <is>
          <t>76.045.774-4</t>
        </is>
      </c>
      <c r="J816" s="66" t="n"/>
      <c r="K816" s="66" t="inlineStr">
        <is>
          <t>Ventas: GRANDE 2 (200.000 - 600.000 UF) | Empleados: 179</t>
        </is>
      </c>
      <c r="L816" s="61" t="n"/>
      <c r="M816" s="61" t="n"/>
      <c r="N816" s="61" t="n"/>
      <c r="O816" s="61" t="n"/>
      <c r="P816" s="61" t="n"/>
      <c r="Q816" s="62" t="n"/>
      <c r="R816" s="61" t="n"/>
    </row>
    <row r="817" ht="15.75" customHeight="1" s="38">
      <c r="A817" s="59" t="inlineStr">
        <is>
          <t>Freeport-Mcmoran South America</t>
        </is>
      </c>
      <c r="B817" s="59" t="inlineStr">
        <is>
          <t>Concentrados de Cobre</t>
        </is>
      </c>
      <c r="C817" s="59" t="inlineStr">
        <is>
          <t>Santiago</t>
        </is>
      </c>
      <c r="D817" s="59" t="inlineStr">
        <is>
          <t>barbara_duran@fmi.com</t>
        </is>
      </c>
      <c r="E817" s="59" t="inlineStr">
        <is>
          <t>(56) 2 2873 1200</t>
        </is>
      </c>
      <c r="F817" s="59" t="inlineStr">
        <is>
          <t>Mario Larenas (Country Manager)</t>
        </is>
      </c>
      <c r="G817" s="59" t="n"/>
      <c r="H817" s="59" t="n"/>
      <c r="I817" s="59" t="inlineStr">
        <is>
          <t>78.273.180-7</t>
        </is>
      </c>
      <c r="J817" s="59" t="inlineStr">
        <is>
          <t>Inversión Continuidad El Abra</t>
        </is>
      </c>
      <c r="K817" s="59" t="inlineStr">
        <is>
          <t>Ventas: GRANDE 4 (Mas de 1.000.000 UF) | Empleados: 72</t>
        </is>
      </c>
      <c r="L817" s="61" t="n"/>
      <c r="M817" s="61" t="n"/>
      <c r="N817" s="61" t="n"/>
      <c r="O817" s="61" t="n"/>
      <c r="P817" s="61" t="n"/>
      <c r="Q817" s="62" t="n"/>
      <c r="R817" s="61" t="n"/>
    </row>
    <row r="818" ht="15.75" customHeight="1" s="38">
      <c r="A818" s="66" t="inlineStr">
        <is>
          <t>FRV Chile</t>
        </is>
      </c>
      <c r="B818" s="66" t="inlineStr">
        <is>
          <t>Plantas Fotovoltaicas</t>
        </is>
      </c>
      <c r="C818" s="66" t="inlineStr">
        <is>
          <t>Santiago</t>
        </is>
      </c>
      <c r="D818" s="66" t="inlineStr">
        <is>
          <t>info@frv.com</t>
        </is>
      </c>
      <c r="E818" s="66" t="n"/>
      <c r="F818" s="66" t="n"/>
      <c r="G818" s="66" t="n"/>
      <c r="H818" s="66" t="n"/>
      <c r="I818" s="66" t="inlineStr">
        <is>
          <t>77101348-1</t>
        </is>
      </c>
      <c r="J818" s="66" t="n"/>
      <c r="K818" s="66" t="inlineStr">
        <is>
          <t>Ventas: PEQUEÑA 1 (2.400 - 5.000 UF) | Empleados: 0</t>
        </is>
      </c>
      <c r="L818" s="61" t="n"/>
      <c r="M818" s="61" t="n"/>
      <c r="N818" s="61" t="n"/>
      <c r="O818" s="61" t="n"/>
      <c r="P818" s="61" t="n"/>
      <c r="Q818" s="62" t="n"/>
      <c r="R818" s="61" t="n"/>
    </row>
    <row r="819" ht="15.75" customHeight="1" s="38">
      <c r="A819" s="66" t="inlineStr">
        <is>
          <t>Frío Loa Ltda.</t>
        </is>
      </c>
      <c r="B819" s="66" t="inlineStr">
        <is>
          <t>Climatización, Refrigeración</t>
        </is>
      </c>
      <c r="C819" s="66" t="inlineStr">
        <is>
          <t>Calama</t>
        </is>
      </c>
      <c r="D819" s="66" t="inlineStr">
        <is>
          <t>contacto@frio-loa.cl</t>
        </is>
      </c>
      <c r="E819" s="66" t="inlineStr">
        <is>
          <t>(56) 55 256 1295</t>
        </is>
      </c>
      <c r="F819" s="66" t="n"/>
      <c r="G819" s="66" t="n"/>
      <c r="H819" s="66" t="n"/>
      <c r="I819" s="66" t="inlineStr">
        <is>
          <t>78.611.010-6</t>
        </is>
      </c>
      <c r="J819" s="66" t="n"/>
      <c r="K819" s="66" t="inlineStr">
        <is>
          <t>Ventas: MEDIANA 1 (25.000 - 50.000 UF) | Empleados: 31</t>
        </is>
      </c>
      <c r="L819" s="61" t="n"/>
      <c r="M819" s="61" t="n"/>
      <c r="N819" s="61" t="n"/>
      <c r="O819" s="61" t="n"/>
      <c r="P819" s="61" t="n"/>
      <c r="Q819" s="62" t="n"/>
      <c r="R819" s="61" t="n"/>
    </row>
    <row r="820" ht="15.75" customHeight="1" s="38">
      <c r="A820" s="66" t="inlineStr">
        <is>
          <t>FS Mining</t>
        </is>
      </c>
      <c r="B820" s="66" t="inlineStr">
        <is>
          <t>Proveedor Destacado, Aceros para Perforación Minería, Construcción y Obras Civiles, Asesorías y Consultorías en Aceros de Perforación, Barras y Accesorios para Perforación, Equipos para Minería Subterránea, Servicios de Acero de Perforación, Servicios de Perforación de Superficie y subterránea, Sistemas de Sondaje ( E-Sence )</t>
        </is>
      </c>
      <c r="C820" s="66" t="inlineStr">
        <is>
          <t>Santiago</t>
        </is>
      </c>
      <c r="D820" s="66" t="inlineStr">
        <is>
          <t>contacto@fsmining.cl</t>
        </is>
      </c>
      <c r="E820" s="66" t="inlineStr">
        <is>
          <t>(56) 2 2267 8910</t>
        </is>
      </c>
      <c r="F820" s="66" t="n"/>
      <c r="G820" s="66" t="n"/>
      <c r="H820" s="66" t="inlineStr">
        <is>
          <t>http://www.fsmining.cl</t>
        </is>
      </c>
      <c r="I820" s="66" t="inlineStr">
        <is>
          <t>76.095.376-8</t>
        </is>
      </c>
      <c r="J820" s="66" t="n"/>
      <c r="K820" s="66" t="inlineStr">
        <is>
          <t>Ventas: GRANDE 1 (100.000 - 200.000 UF) | Empleados: 17</t>
        </is>
      </c>
      <c r="L820" s="61" t="n"/>
      <c r="M820" s="61" t="n"/>
      <c r="N820" s="61" t="n"/>
      <c r="O820" s="61" t="n"/>
      <c r="P820" s="61" t="n"/>
      <c r="Q820" s="62" t="n"/>
      <c r="R820" s="61" t="n"/>
    </row>
    <row r="821" ht="15.75" customHeight="1" s="38">
      <c r="A821" s="66" t="inlineStr">
        <is>
          <t>FTF Montaje de Andamios</t>
        </is>
      </c>
      <c r="B821" s="66" t="inlineStr">
        <is>
          <t>Alzaprimas, Andamios</t>
        </is>
      </c>
      <c r="C821" s="66" t="inlineStr">
        <is>
          <t>Santiago</t>
        </is>
      </c>
      <c r="D821" s="66" t="inlineStr">
        <is>
          <t>info@ftf.cl</t>
        </is>
      </c>
      <c r="E821" s="66" t="inlineStr">
        <is>
          <t>(56) 2 2580 2106</t>
        </is>
      </c>
      <c r="F821" s="66" t="n"/>
      <c r="G821" s="66" t="n"/>
      <c r="H821" s="66" t="n"/>
      <c r="I821" s="66" t="inlineStr">
        <is>
          <t>76.109.736-9</t>
        </is>
      </c>
      <c r="J821" s="66" t="n"/>
      <c r="K821" s="66" t="inlineStr">
        <is>
          <t>Ventas: MEDIANA 1 (25.000 - 50.000 UF) | Empleados: 28</t>
        </is>
      </c>
      <c r="L821" s="61" t="n"/>
      <c r="M821" s="61" t="n"/>
      <c r="N821" s="61" t="n"/>
      <c r="O821" s="61" t="n"/>
      <c r="P821" s="61" t="n"/>
      <c r="Q821" s="62" t="n"/>
      <c r="R821" s="61" t="n"/>
    </row>
    <row r="822" ht="15.75" customHeight="1" s="38">
      <c r="A822" s="66" t="inlineStr">
        <is>
          <t>Fuentes Dessy Asociados</t>
        </is>
      </c>
      <c r="B822" s="66" t="inlineStr">
        <is>
          <t>Proveedor Destacado, Edición de Directorios Especializados</t>
        </is>
      </c>
      <c r="C822" s="66" t="inlineStr">
        <is>
          <t>Santiago</t>
        </is>
      </c>
      <c r="D822" s="66" t="inlineStr">
        <is>
          <t>info@direcmin.com</t>
        </is>
      </c>
      <c r="E822" s="66" t="inlineStr">
        <is>
          <t>(56) 9 8484 1305</t>
        </is>
      </c>
      <c r="F822" s="66" t="n"/>
      <c r="G822" s="66" t="n"/>
      <c r="H822" s="66" t="inlineStr">
        <is>
          <t>http://www.direcmin.com</t>
        </is>
      </c>
      <c r="I822" s="66" t="inlineStr">
        <is>
          <t>76.638.483-8</t>
        </is>
      </c>
      <c r="J822" s="66" t="n"/>
      <c r="K822" s="66" t="inlineStr">
        <is>
          <t>Ventas: PEQUEÑA 3 (10.000 - 25.000 UF) | Empleados: 1</t>
        </is>
      </c>
      <c r="L822" s="61" t="n"/>
      <c r="M822" s="61" t="n"/>
      <c r="N822" s="61" t="n"/>
      <c r="O822" s="61" t="n"/>
      <c r="P822" s="61" t="n"/>
      <c r="Q822" s="62" t="n"/>
      <c r="R822" s="61" t="n"/>
    </row>
    <row r="823" ht="15.75" customHeight="1" s="38">
      <c r="A823" s="66" t="inlineStr">
        <is>
          <t>Fukushi SpA</t>
        </is>
      </c>
      <c r="B823" s="66" t="inlineStr">
        <is>
          <t>Equipos Eléctricos, Reparación de Equipos</t>
        </is>
      </c>
      <c r="C823" s="66" t="inlineStr">
        <is>
          <t>Antofagasta</t>
        </is>
      </c>
      <c r="D823" s="66" t="inlineStr">
        <is>
          <t>kindar.escobedo@fukushi.cl</t>
        </is>
      </c>
      <c r="E823" s="66" t="inlineStr">
        <is>
          <t>(56) 55 241 7980</t>
        </is>
      </c>
      <c r="F823" s="66" t="n"/>
      <c r="G823" s="66" t="n"/>
      <c r="H823" s="66" t="n"/>
      <c r="I823" s="66" t="inlineStr">
        <is>
          <t>77.039.300-0</t>
        </is>
      </c>
      <c r="J823" s="66" t="n"/>
      <c r="K823" s="66" t="inlineStr">
        <is>
          <t>Ventas: MEDIANA 2 (50.000 - 100.000 UF) | Empleados: 43</t>
        </is>
      </c>
      <c r="L823" s="61" t="n"/>
      <c r="M823" s="61" t="n"/>
      <c r="N823" s="61" t="n"/>
      <c r="O823" s="61" t="n"/>
      <c r="P823" s="61" t="n"/>
      <c r="Q823" s="62" t="n"/>
      <c r="R823" s="61" t="n"/>
    </row>
    <row r="824" ht="15.75" customHeight="1" s="38">
      <c r="A824" s="66" t="inlineStr">
        <is>
          <t>Fullen</t>
        </is>
      </c>
      <c r="B824" s="66" t="inlineStr">
        <is>
          <t>Cargadores Frontales, Retroexcavadoras</t>
        </is>
      </c>
      <c r="C824" s="66" t="inlineStr">
        <is>
          <t>Santiago</t>
        </is>
      </c>
      <c r="D824" s="66" t="inlineStr">
        <is>
          <t>jaimef@fullen.cl</t>
        </is>
      </c>
      <c r="E824" s="66" t="inlineStr">
        <is>
          <t>(56) 2 2339 0850</t>
        </is>
      </c>
      <c r="F824" s="66" t="n"/>
      <c r="G824" s="66" t="n"/>
      <c r="H824" s="66" t="n"/>
      <c r="I824" s="66" t="inlineStr">
        <is>
          <t>76.497.234-1</t>
        </is>
      </c>
      <c r="J824" s="66" t="n"/>
      <c r="K824" s="66" t="inlineStr">
        <is>
          <t>Ventas: GRANDE 2 (200.000 - 600.000 UF) | Empleados: 41</t>
        </is>
      </c>
      <c r="L824" s="61" t="n"/>
      <c r="M824" s="61" t="n"/>
      <c r="N824" s="61" t="n"/>
      <c r="O824" s="61" t="n"/>
      <c r="P824" s="61" t="n"/>
      <c r="Q824" s="62" t="n"/>
      <c r="R824" s="61" t="n"/>
    </row>
    <row r="825" ht="15.75" customHeight="1" s="38">
      <c r="A825" s="66" t="inlineStr">
        <is>
          <t>Fullmed</t>
        </is>
      </c>
      <c r="B825" s="66" t="inlineStr">
        <is>
          <t>Transportes de Personal</t>
        </is>
      </c>
      <c r="C825" s="66" t="inlineStr">
        <is>
          <t>Antofagasta</t>
        </is>
      </c>
      <c r="D825" s="66" t="inlineStr">
        <is>
          <t>enavea@serviciosfullmed.cl</t>
        </is>
      </c>
      <c r="E825" s="66" t="inlineStr">
        <is>
          <t>(56) 9 9995 9226</t>
        </is>
      </c>
      <c r="F825" s="66" t="n"/>
      <c r="G825" s="66" t="n"/>
      <c r="H825" s="66" t="n"/>
      <c r="I825" s="66" t="inlineStr">
        <is>
          <t>77339858-5</t>
        </is>
      </c>
      <c r="J825" s="66" t="n"/>
      <c r="K825" s="66" t="inlineStr">
        <is>
          <t>Ventas: MICRO 2 (200 - 600 UF) | Empleados: 0</t>
        </is>
      </c>
      <c r="L825" s="61" t="n"/>
      <c r="M825" s="61" t="n"/>
      <c r="N825" s="61" t="n"/>
      <c r="O825" s="61" t="n"/>
      <c r="P825" s="61" t="n"/>
      <c r="Q825" s="62" t="n"/>
      <c r="R825" s="61" t="n"/>
    </row>
    <row r="826" ht="15.75" customHeight="1" s="38">
      <c r="A826" s="66" t="inlineStr">
        <is>
          <t>Fulltent</t>
        </is>
      </c>
      <c r="B826" s="66" t="inlineStr">
        <is>
          <t>Carpas para Almacenaje, Domos Geodésicos</t>
        </is>
      </c>
      <c r="C826" s="66" t="inlineStr">
        <is>
          <t>Santiago</t>
        </is>
      </c>
      <c r="D826" s="66" t="inlineStr">
        <is>
          <t>contacto@fulltent.cl</t>
        </is>
      </c>
      <c r="E826" s="66" t="inlineStr">
        <is>
          <t>(56) 2 3217 1422</t>
        </is>
      </c>
      <c r="F826" s="66" t="n"/>
      <c r="G826" s="66" t="n"/>
      <c r="H826" s="66" t="n"/>
      <c r="I826" s="66" t="inlineStr">
        <is>
          <t>76.273.211-4</t>
        </is>
      </c>
      <c r="J826" s="66" t="n"/>
      <c r="K826" s="66" t="inlineStr">
        <is>
          <t>Ventas: MEDIANA 2 (50.000 - 100.000 UF) | Empleados: 5</t>
        </is>
      </c>
      <c r="L826" s="61" t="n"/>
      <c r="M826" s="61" t="n"/>
      <c r="N826" s="61" t="n"/>
      <c r="O826" s="61" t="n"/>
      <c r="P826" s="61" t="n"/>
      <c r="Q826" s="62" t="n"/>
      <c r="R826" s="61" t="n"/>
    </row>
    <row r="827" ht="15.75" customHeight="1" s="38">
      <c r="A827" s="59" t="inlineStr">
        <is>
          <t>Fundación Ceduc - UCN (Centro de Educación y Capacitación de la U. Católica del Norte)</t>
        </is>
      </c>
      <c r="B827" s="59" t="inlineStr">
        <is>
          <t>Capacitación en Especialidades Mineras, Certificación de Operadores de Maquinarias y Equipos</t>
        </is>
      </c>
      <c r="C827" s="59" t="inlineStr">
        <is>
          <t>Coquimbo</t>
        </is>
      </c>
      <c r="D827" s="59" t="inlineStr">
        <is>
          <t>subdireccion.coquimbo@ceduc.cl</t>
        </is>
      </c>
      <c r="E827" s="59" t="inlineStr">
        <is>
          <t>(56) 51 254 7000</t>
        </is>
      </c>
      <c r="F827" s="59" t="inlineStr">
        <is>
          <t>Claudio Fredes F. (Jefe TI)</t>
        </is>
      </c>
      <c r="G827" s="59" t="inlineStr">
        <is>
          <t>cfredes@ceduc.cl</t>
        </is>
      </c>
      <c r="H827" s="59" t="n"/>
      <c r="I827" s="59" t="inlineStr">
        <is>
          <t>74.822.900-0</t>
        </is>
      </c>
      <c r="J827" s="59" t="inlineStr">
        <is>
          <t>Investigación en Proceso</t>
        </is>
      </c>
      <c r="K827" s="59" t="inlineStr">
        <is>
          <t>Ventas: GRANDE 3 (600.000 - 1.000.000 UF) | Empleados: 603</t>
        </is>
      </c>
      <c r="L827" s="61" t="n"/>
      <c r="M827" s="61" t="n"/>
      <c r="N827" s="61" t="n"/>
      <c r="O827" s="61" t="n"/>
      <c r="P827" s="61" t="n"/>
      <c r="Q827" s="62" t="n"/>
      <c r="R827" s="61" t="n"/>
    </row>
    <row r="828" ht="15.75" customHeight="1" s="38">
      <c r="A828" s="59" t="inlineStr">
        <is>
          <t>Fundación Chile</t>
        </is>
      </c>
      <c r="B828" s="59" t="inlineStr">
        <is>
          <t>Asesorías en Medioambiente, Capacitación de Personal</t>
        </is>
      </c>
      <c r="C828" s="59" t="inlineStr">
        <is>
          <t>Santiago</t>
        </is>
      </c>
      <c r="D828" s="59" t="inlineStr">
        <is>
          <t>contacto@fch.cl</t>
        </is>
      </c>
      <c r="E828" s="59" t="inlineStr">
        <is>
          <t>(56) 2 2240 0300</t>
        </is>
      </c>
      <c r="F828" s="59" t="inlineStr">
        <is>
          <t>Iván Córdova Concha (Subgerente Tecnología)</t>
        </is>
      </c>
      <c r="G828" s="59" t="inlineStr">
        <is>
          <t>ivan.cordova@fch.cl</t>
        </is>
      </c>
      <c r="H828" s="59" t="n"/>
      <c r="I828" s="59" t="inlineStr">
        <is>
          <t>70.300.000-2</t>
        </is>
      </c>
      <c r="J828" s="59" t="inlineStr">
        <is>
          <t>Hub Metropolitano &amp; Escalado Startups Científico-Tecnológicas</t>
        </is>
      </c>
      <c r="K828" s="59" t="inlineStr">
        <is>
          <t>Ventas: GRANDE 3 (600.000 - 1.000.000 UF) | Empleados: 203</t>
        </is>
      </c>
      <c r="L828" s="61" t="n"/>
      <c r="M828" s="61" t="n"/>
      <c r="N828" s="61" t="n"/>
      <c r="O828" s="61" t="n"/>
      <c r="P828" s="61" t="n"/>
      <c r="Q828" s="62" t="n"/>
      <c r="R828" s="61" t="n"/>
    </row>
    <row r="829" ht="15.75" customHeight="1" s="38">
      <c r="A829" s="66" t="inlineStr">
        <is>
          <t>Fundas Industriales SpA</t>
        </is>
      </c>
      <c r="B829" s="66" t="inlineStr">
        <is>
          <t>Carpas para Camiones</t>
        </is>
      </c>
      <c r="C829" s="66" t="inlineStr">
        <is>
          <t>Santiago</t>
        </is>
      </c>
      <c r="D829" s="66" t="inlineStr">
        <is>
          <t>contacto@fundasindustriales.cl</t>
        </is>
      </c>
      <c r="E829" s="66" t="inlineStr">
        <is>
          <t>(56) 9 9322 0004</t>
        </is>
      </c>
      <c r="F829" s="66" t="n"/>
      <c r="G829" s="66" t="n"/>
      <c r="H829" s="66" t="n"/>
      <c r="I829" s="66" t="inlineStr">
        <is>
          <t>77.015.548-7</t>
        </is>
      </c>
      <c r="J829" s="66" t="n"/>
      <c r="K829" s="66" t="inlineStr">
        <is>
          <t>Ventas: PEQUEÑA 1 (2.400 - 5.000 UF) | Empleados: 0</t>
        </is>
      </c>
      <c r="L829" s="61" t="n"/>
      <c r="M829" s="61" t="n"/>
      <c r="N829" s="61" t="n"/>
      <c r="O829" s="61" t="n"/>
      <c r="P829" s="61" t="n"/>
      <c r="Q829" s="62" t="n"/>
      <c r="R829" s="61" t="n"/>
    </row>
    <row r="830" ht="15.75" customHeight="1" s="38">
      <c r="A830" s="66" t="inlineStr">
        <is>
          <t>Fundicion Altonorte</t>
        </is>
      </c>
      <c r="B830" s="66" t="inlineStr">
        <is>
          <t>Anodos de Cobre</t>
        </is>
      </c>
      <c r="C830" s="66" t="inlineStr">
        <is>
          <t>Antofagasta</t>
        </is>
      </c>
      <c r="D830" s="66" t="n"/>
      <c r="E830" s="66" t="inlineStr">
        <is>
          <t>(56) 55 262 8104</t>
        </is>
      </c>
      <c r="F830" s="66" t="n"/>
      <c r="G830" s="66" t="n"/>
      <c r="H830" s="66" t="n"/>
      <c r="I830" s="66" t="inlineStr">
        <is>
          <t>88.325.800-2</t>
        </is>
      </c>
      <c r="J830" s="66" t="n"/>
      <c r="K830" s="66" t="inlineStr">
        <is>
          <t>Ventas: GRANDE (Estimado por Empleados) | Empleados: 959</t>
        </is>
      </c>
      <c r="L830" s="61" t="n"/>
      <c r="M830" s="61" t="n"/>
      <c r="N830" s="61" t="n"/>
      <c r="O830" s="61" t="n"/>
      <c r="P830" s="61" t="n"/>
      <c r="Q830" s="62" t="n"/>
      <c r="R830" s="61" t="n"/>
    </row>
    <row r="831" ht="15.75" customHeight="1" s="38">
      <c r="A831" s="66" t="inlineStr">
        <is>
          <t>Fundición Bruno S.A.</t>
        </is>
      </c>
      <c r="B831" s="66" t="inlineStr">
        <is>
          <t>Acoplamientos</t>
        </is>
      </c>
      <c r="C831" s="66" t="inlineStr">
        <is>
          <t>Santiago</t>
        </is>
      </c>
      <c r="D831" s="66" t="n"/>
      <c r="E831" s="66" t="inlineStr">
        <is>
          <t>(56) 2 2557 2024</t>
        </is>
      </c>
      <c r="F831" s="66" t="n"/>
      <c r="G831" s="66" t="n"/>
      <c r="H831" s="66" t="n"/>
      <c r="I831" s="66" t="inlineStr">
        <is>
          <t>81.347.800-5</t>
        </is>
      </c>
      <c r="J831" s="66" t="n"/>
      <c r="K831" s="66" t="inlineStr">
        <is>
          <t>Ventas: GRANDE 1 (100.000 - 200.000 UF) | Empleados: 64</t>
        </is>
      </c>
      <c r="L831" s="61" t="n"/>
      <c r="M831" s="61" t="n"/>
      <c r="N831" s="61" t="n"/>
      <c r="O831" s="61" t="n"/>
      <c r="P831" s="61" t="n"/>
      <c r="Q831" s="62" t="n"/>
      <c r="R831" s="61" t="n"/>
    </row>
    <row r="832" ht="15.75" customHeight="1" s="38">
      <c r="A832" s="59" t="inlineStr">
        <is>
          <t>Fundición Chagres - Anglo American Sur</t>
        </is>
      </c>
      <c r="B832" s="59" t="inlineStr">
        <is>
          <t>Anodos de Cobre, Concentrado de Cobre</t>
        </is>
      </c>
      <c r="C832" s="59" t="inlineStr">
        <is>
          <t>Valparaíso</t>
        </is>
      </c>
      <c r="D832" s="59" t="inlineStr">
        <is>
          <t>contacto.chile@angloamerican.com</t>
        </is>
      </c>
      <c r="E832" s="59" t="inlineStr">
        <is>
          <t>(56) 2 2230 8600</t>
        </is>
      </c>
      <c r="F832" s="59" t="inlineStr">
        <is>
          <t>Rodrigo Subiabre (VP Tech &amp; Innov)</t>
        </is>
      </c>
      <c r="G832" s="59" t="n"/>
      <c r="H832" s="59" t="n"/>
      <c r="I832" s="59" t="inlineStr">
        <is>
          <t>77.762.940-9</t>
        </is>
      </c>
      <c r="J832" s="59" t="inlineStr">
        <is>
          <t>Centro Remoto IROC</t>
        </is>
      </c>
      <c r="K832" s="59" t="inlineStr">
        <is>
          <t>Ventas: GRANDE (Estimado por Empleados) | Empleados: 2517</t>
        </is>
      </c>
      <c r="L832" s="61" t="n"/>
      <c r="M832" s="61" t="n"/>
      <c r="N832" s="61" t="n"/>
      <c r="O832" s="61" t="n"/>
      <c r="P832" s="61" t="n"/>
      <c r="Q832" s="62" t="n"/>
      <c r="R832" s="61" t="n"/>
    </row>
    <row r="833" ht="15.75" customHeight="1" s="38">
      <c r="A833" s="66" t="inlineStr">
        <is>
          <t>Fundinox Chile S.A.</t>
        </is>
      </c>
      <c r="B833" s="66" t="inlineStr">
        <is>
          <t>Aceros Inoxidables</t>
        </is>
      </c>
      <c r="C833" s="66" t="inlineStr">
        <is>
          <t>Santiago</t>
        </is>
      </c>
      <c r="D833" s="66" t="inlineStr">
        <is>
          <t>ventas@fundinox.cl</t>
        </is>
      </c>
      <c r="E833" s="66" t="inlineStr">
        <is>
          <t>(56) 2 2857 3263</t>
        </is>
      </c>
      <c r="F833" s="66" t="n"/>
      <c r="G833" s="66" t="n"/>
      <c r="H833" s="66" t="n"/>
      <c r="I833" s="66" t="inlineStr">
        <is>
          <t>96.641.980-6</t>
        </is>
      </c>
      <c r="J833" s="66" t="n"/>
      <c r="K833" s="66" t="inlineStr">
        <is>
          <t>Ventas: GRANDE 1 (100.000 - 200.000 UF) | Empleados: 37</t>
        </is>
      </c>
      <c r="L833" s="61" t="n"/>
      <c r="M833" s="61" t="n"/>
      <c r="N833" s="61" t="n"/>
      <c r="O833" s="61" t="n"/>
      <c r="P833" s="61" t="n"/>
      <c r="Q833" s="62" t="n"/>
      <c r="R833" s="61" t="n"/>
    </row>
    <row r="834" ht="15.75" customHeight="1" s="38">
      <c r="A834" s="66" t="inlineStr">
        <is>
          <t>Future And Quality Industrial Systems</t>
        </is>
      </c>
      <c r="B834" s="66" t="inlineStr">
        <is>
          <t>Automatización de Procesos, Servicios de Análisis de Vibraciones</t>
        </is>
      </c>
      <c r="C834" s="66" t="inlineStr">
        <is>
          <t>Padre Hurtado</t>
        </is>
      </c>
      <c r="D834" s="66" t="inlineStr">
        <is>
          <t>fq@fq.cl</t>
        </is>
      </c>
      <c r="E834" s="66" t="inlineStr">
        <is>
          <t>(56) 2 2811 1405</t>
        </is>
      </c>
      <c r="F834" s="66" t="n"/>
      <c r="G834" s="66" t="n"/>
      <c r="H834" s="66" t="n"/>
      <c r="I834" s="66" t="inlineStr">
        <is>
          <t>78.325.620-7</t>
        </is>
      </c>
      <c r="J834" s="66" t="n"/>
      <c r="K834" s="66" t="inlineStr">
        <is>
          <t>Ventas: MEDIANA 1 (25.000 - 50.000 UF) | Empleados: 16</t>
        </is>
      </c>
      <c r="L834" s="61" t="n"/>
      <c r="M834" s="61" t="n"/>
      <c r="N834" s="61" t="n"/>
      <c r="O834" s="61" t="n"/>
      <c r="P834" s="61" t="n"/>
      <c r="Q834" s="62" t="n"/>
      <c r="R834" s="61" t="n"/>
    </row>
    <row r="835" ht="15.75" customHeight="1" s="38">
      <c r="A835" s="66" t="inlineStr">
        <is>
          <t>G &amp; G Refrigeración</t>
        </is>
      </c>
      <c r="B835" s="66" t="inlineStr">
        <is>
          <t>Reparación de Equipos de Aire Acondicionado</t>
        </is>
      </c>
      <c r="C835" s="66" t="inlineStr">
        <is>
          <t>Curico</t>
        </is>
      </c>
      <c r="D835" s="66" t="inlineStr">
        <is>
          <t>gyg@gygrefrigeracion.cl</t>
        </is>
      </c>
      <c r="E835" s="66" t="inlineStr">
        <is>
          <t>(56) 9 7519 2915</t>
        </is>
      </c>
      <c r="F835" s="66" t="n"/>
      <c r="G835" s="66" t="n"/>
      <c r="H835" s="66" t="n"/>
      <c r="I835" s="66" t="inlineStr">
        <is>
          <t>76.091.711-7</t>
        </is>
      </c>
      <c r="J835" s="66" t="n"/>
      <c r="K835" s="66" t="inlineStr">
        <is>
          <t>Ventas: MICRO 1 (0.01 - 200 UF) | Empleados: 0</t>
        </is>
      </c>
      <c r="L835" s="61" t="n"/>
      <c r="M835" s="61" t="n"/>
      <c r="N835" s="61" t="n"/>
      <c r="O835" s="61" t="n"/>
      <c r="P835" s="61" t="n"/>
      <c r="Q835" s="62" t="n"/>
      <c r="R835" s="61" t="n"/>
    </row>
    <row r="836" ht="15.75" customHeight="1" s="38">
      <c r="A836" s="66" t="inlineStr">
        <is>
          <t>G y M Máquinas Industriales Ltda.</t>
        </is>
      </c>
      <c r="B836" s="66" t="inlineStr">
        <is>
          <t>Equipos para Automatización y Control</t>
        </is>
      </c>
      <c r="C836" s="66" t="inlineStr">
        <is>
          <t>Santiago</t>
        </is>
      </c>
      <c r="D836" s="66" t="inlineStr">
        <is>
          <t>gym@maquinasindustriales.cl</t>
        </is>
      </c>
      <c r="E836" s="66" t="inlineStr">
        <is>
          <t>(56) 9 9020 6023</t>
        </is>
      </c>
      <c r="F836" s="66" t="n"/>
      <c r="G836" s="66" t="n"/>
      <c r="H836" s="66" t="n"/>
      <c r="I836" s="66" t="inlineStr">
        <is>
          <t>76.054.740-9</t>
        </is>
      </c>
      <c r="J836" s="66" t="n"/>
      <c r="K836" s="66" t="inlineStr">
        <is>
          <t>Ventas: MEDIANA 1 (25.000 - 50.000 UF) | Empleados: 9</t>
        </is>
      </c>
      <c r="L836" s="61" t="n"/>
      <c r="M836" s="61" t="n"/>
      <c r="N836" s="61" t="n"/>
      <c r="O836" s="61" t="n"/>
      <c r="P836" s="61" t="n"/>
      <c r="Q836" s="62" t="n"/>
      <c r="R836" s="61" t="n"/>
    </row>
    <row r="837" ht="15.75" customHeight="1" s="38">
      <c r="A837" s="66" t="inlineStr">
        <is>
          <t>G. Busch y Cía. Ltda.</t>
        </is>
      </c>
      <c r="B837" s="66" t="inlineStr">
        <is>
          <t>Equipos para Análisis Metalográfico y Geológico</t>
        </is>
      </c>
      <c r="C837" s="66" t="inlineStr">
        <is>
          <t>Viña del Mar</t>
        </is>
      </c>
      <c r="D837" s="66" t="inlineStr">
        <is>
          <t>ventas@gbusch.cl</t>
        </is>
      </c>
      <c r="E837" s="66" t="inlineStr">
        <is>
          <t>(56) 32 269 2064</t>
        </is>
      </c>
      <c r="F837" s="66" t="n"/>
      <c r="G837" s="66" t="n"/>
      <c r="H837" s="66" t="n"/>
      <c r="I837" s="66" t="inlineStr">
        <is>
          <t>83.205.600-6</t>
        </is>
      </c>
      <c r="J837" s="66" t="n"/>
      <c r="K837" s="66" t="inlineStr">
        <is>
          <t>Ventas: GRANDE 2 (200.000 - 600.000 UF) | Empleados: 16</t>
        </is>
      </c>
      <c r="L837" s="61" t="n"/>
      <c r="M837" s="61" t="n"/>
      <c r="N837" s="61" t="n"/>
      <c r="O837" s="61" t="n"/>
      <c r="P837" s="61" t="n"/>
      <c r="Q837" s="62" t="n"/>
      <c r="R837" s="61" t="n"/>
    </row>
    <row r="838" ht="15.75" customHeight="1" s="38">
      <c r="A838" s="66" t="inlineStr">
        <is>
          <t>G2000 Ingenieros Consultores Ltda.</t>
        </is>
      </c>
      <c r="B838" s="66" t="inlineStr">
        <is>
          <t>Servicios de Ingeniería, Sistemas para Gestión Ambiental</t>
        </is>
      </c>
      <c r="C838" s="66" t="inlineStr">
        <is>
          <t>Santiago</t>
        </is>
      </c>
      <c r="D838" s="66" t="inlineStr">
        <is>
          <t>siac@g2000.cl</t>
        </is>
      </c>
      <c r="E838" s="66" t="inlineStr">
        <is>
          <t>(56) 2 2551 7624</t>
        </is>
      </c>
      <c r="F838" s="66" t="n"/>
      <c r="G838" s="66" t="n"/>
      <c r="H838" s="66" t="n"/>
      <c r="I838" s="66" t="inlineStr">
        <is>
          <t>77.429.560-7</t>
        </is>
      </c>
      <c r="J838" s="66" t="n"/>
      <c r="K838" s="66" t="inlineStr">
        <is>
          <t>Ventas: MEDIANA 1 (25.000 - 50.000 UF) | Empleados: 8</t>
        </is>
      </c>
      <c r="L838" s="61" t="n"/>
      <c r="M838" s="61" t="n"/>
      <c r="N838" s="61" t="n"/>
      <c r="O838" s="61" t="n"/>
      <c r="P838" s="61" t="n"/>
      <c r="Q838" s="62" t="n"/>
      <c r="R838" s="61" t="n"/>
    </row>
    <row r="839" ht="15.75" customHeight="1" s="38">
      <c r="A839" s="66" t="inlineStr">
        <is>
          <t>Gallmax Servicios Eléctricos SPA</t>
        </is>
      </c>
      <c r="B839" s="66" t="inlineStr">
        <is>
          <t>Servicios de Instalación y Pruebas Eléctricas Sistemas Aislados Media, Alta Tensión, Transmisión de Energía Eléctrica</t>
        </is>
      </c>
      <c r="C839" s="66" t="inlineStr">
        <is>
          <t>Santiago</t>
        </is>
      </c>
      <c r="D839" s="66" t="inlineStr">
        <is>
          <t>gallmax@gallmax.com</t>
        </is>
      </c>
      <c r="E839" s="66" t="inlineStr">
        <is>
          <t>(56) 2 2651 9250</t>
        </is>
      </c>
      <c r="F839" s="66" t="n"/>
      <c r="G839" s="66" t="n"/>
      <c r="H839" s="66" t="n"/>
      <c r="I839" s="66" t="inlineStr">
        <is>
          <t>96.667.410-5</t>
        </is>
      </c>
      <c r="J839" s="66" t="n"/>
      <c r="K839" s="66" t="inlineStr">
        <is>
          <t>Ventas: GRANDE 1 (100.000 - 200.000 UF) | Empleados: 30</t>
        </is>
      </c>
      <c r="L839" s="61" t="n"/>
      <c r="M839" s="61" t="n"/>
      <c r="N839" s="61" t="n"/>
      <c r="O839" s="61" t="n"/>
      <c r="P839" s="61" t="n"/>
      <c r="Q839" s="62" t="n"/>
      <c r="R839" s="61" t="n"/>
    </row>
    <row r="840" ht="15.75" customHeight="1" s="38">
      <c r="A840" s="66" t="inlineStr">
        <is>
          <t>Gallyas Telecom S.A.</t>
        </is>
      </c>
      <c r="B840" s="66" t="inlineStr">
        <is>
          <t>Proveedor Destacado, Conectividad e Internet, Conectividad y Telemetría, Seguridad Digital, Sistemas de Radiocomunicaciones</t>
        </is>
      </c>
      <c r="C840" s="66" t="inlineStr">
        <is>
          <t>Santiago</t>
        </is>
      </c>
      <c r="D840" s="66" t="inlineStr">
        <is>
          <t>contacto@gallyas.cl</t>
        </is>
      </c>
      <c r="E840" s="66" t="inlineStr">
        <is>
          <t>(56) 2 2336 8600</t>
        </is>
      </c>
      <c r="F840" s="66" t="n"/>
      <c r="G840" s="66" t="n"/>
      <c r="H840" s="66" t="inlineStr">
        <is>
          <t>http://www.gallyas.cl</t>
        </is>
      </c>
      <c r="I840" s="66" t="inlineStr">
        <is>
          <t>79.913.320-2</t>
        </is>
      </c>
      <c r="J840" s="66" t="n"/>
      <c r="K840" s="66" t="inlineStr">
        <is>
          <t>Ventas: GRANDE 2 (200.000 - 600.000 UF) | Empleados: 78</t>
        </is>
      </c>
      <c r="L840" s="61" t="n"/>
      <c r="M840" s="61" t="n"/>
      <c r="N840" s="61" t="n"/>
      <c r="O840" s="61" t="n"/>
      <c r="P840" s="61" t="n"/>
      <c r="Q840" s="62" t="n"/>
      <c r="R840" s="61" t="n"/>
    </row>
    <row r="841" ht="15.75" customHeight="1" s="38">
      <c r="A841" s="66" t="inlineStr">
        <is>
          <t>Galvanoplastia Crom-Niq Ltda.</t>
        </is>
      </c>
      <c r="B841" s="66" t="inlineStr">
        <is>
          <t>Cromado Industrial</t>
        </is>
      </c>
      <c r="C841" s="66" t="inlineStr">
        <is>
          <t>Santiago</t>
        </is>
      </c>
      <c r="D841" s="66" t="inlineStr">
        <is>
          <t>crom-niq@cromados.cl</t>
        </is>
      </c>
      <c r="E841" s="66" t="inlineStr">
        <is>
          <t>(56) 2 2779 4091</t>
        </is>
      </c>
      <c r="F841" s="66" t="n"/>
      <c r="G841" s="66" t="n"/>
      <c r="H841" s="66" t="n"/>
      <c r="I841" s="66" t="inlineStr">
        <is>
          <t>81.763.300-5</t>
        </is>
      </c>
      <c r="J841" s="66" t="n"/>
      <c r="K841" s="66" t="inlineStr">
        <is>
          <t>Ventas: PEQUEÑA 2 (5.000 - 10.000 UF) | Empleados: 18</t>
        </is>
      </c>
      <c r="L841" s="61" t="n"/>
      <c r="M841" s="61" t="n"/>
      <c r="N841" s="61" t="n"/>
      <c r="O841" s="61" t="n"/>
      <c r="P841" s="61" t="n"/>
      <c r="Q841" s="62" t="n"/>
      <c r="R841" s="61" t="n"/>
    </row>
    <row r="842" ht="15.75" customHeight="1" s="38">
      <c r="A842" s="66" t="inlineStr">
        <is>
          <t>Gama Mobility</t>
        </is>
      </c>
      <c r="B842" s="66" t="inlineStr">
        <is>
          <t>Proveedor Destacado, Arriendo de Autos, en Modalidad Tripp, Arriendo de Flota de Vehículos para Empresas, Rent a Car, Renting, Venta de Vehículos Usados</t>
        </is>
      </c>
      <c r="C842" s="66" t="inlineStr">
        <is>
          <t>Santiago</t>
        </is>
      </c>
      <c r="D842" s="66" t="inlineStr">
        <is>
          <t>contacto@gamamobility.cl</t>
        </is>
      </c>
      <c r="E842" s="66" t="inlineStr">
        <is>
          <t>600 586 8686</t>
        </is>
      </c>
      <c r="F842" s="66" t="n"/>
      <c r="G842" s="66" t="n"/>
      <c r="H842" s="66" t="inlineStr">
        <is>
          <t>http://www.gamamobility.cl</t>
        </is>
      </c>
      <c r="I842" s="66" t="inlineStr">
        <is>
          <t>99.525.100-0</t>
        </is>
      </c>
      <c r="J842" s="66" t="n"/>
      <c r="K842" s="66" t="inlineStr">
        <is>
          <t>Ventas: GRANDE (Estimado por Empleados) | Empleados: 347</t>
        </is>
      </c>
      <c r="L842" s="61" t="n"/>
      <c r="M842" s="61" t="n"/>
      <c r="N842" s="61" t="n"/>
      <c r="O842" s="61" t="n"/>
      <c r="P842" s="61" t="n"/>
      <c r="Q842" s="62" t="n"/>
      <c r="R842" s="61" t="n"/>
    </row>
    <row r="843" ht="15.75" customHeight="1" s="38">
      <c r="A843" s="66" t="inlineStr">
        <is>
          <t>Gamma Ingenieros S.A.</t>
        </is>
      </c>
      <c r="B843" s="66" t="inlineStr">
        <is>
          <t>Asesorías en Eficiencia Energética, Proyectos para Plantas de Proceso</t>
        </is>
      </c>
      <c r="C843" s="66" t="inlineStr">
        <is>
          <t>Santiago</t>
        </is>
      </c>
      <c r="D843" s="66" t="inlineStr">
        <is>
          <t>gamma@gamma.cl</t>
        </is>
      </c>
      <c r="E843" s="66" t="inlineStr">
        <is>
          <t>(56) 2 2223 2424</t>
        </is>
      </c>
      <c r="F843" s="66" t="n"/>
      <c r="G843" s="66" t="n"/>
      <c r="H843" s="66" t="n"/>
      <c r="I843" s="66" t="inlineStr">
        <is>
          <t>96.882.850-9</t>
        </is>
      </c>
      <c r="J843" s="66" t="n"/>
      <c r="K843" s="66" t="inlineStr">
        <is>
          <t>Ventas: PEQUEÑA 3 (10.000 - 25.000 UF) | Empleados: 5</t>
        </is>
      </c>
      <c r="L843" s="61" t="n"/>
      <c r="M843" s="61" t="n"/>
      <c r="N843" s="61" t="n"/>
      <c r="O843" s="61" t="n"/>
      <c r="P843" s="61" t="n"/>
      <c r="Q843" s="62" t="n"/>
      <c r="R843" s="61" t="n"/>
    </row>
    <row r="844" ht="15.75" customHeight="1" s="38">
      <c r="A844" s="66" t="inlineStr">
        <is>
          <t>Gardilcic</t>
        </is>
      </c>
      <c r="B844" s="66" t="inlineStr">
        <is>
          <t>Proveedor Destacado, Arriendo de Equipos Subterráneos</t>
        </is>
      </c>
      <c r="C844" s="66" t="inlineStr">
        <is>
          <t>Santiago</t>
        </is>
      </c>
      <c r="D844" s="66" t="inlineStr">
        <is>
          <t>constructora@gardilcic.cl</t>
        </is>
      </c>
      <c r="E844" s="66" t="inlineStr">
        <is>
          <t>(56) 2 2437 2800</t>
        </is>
      </c>
      <c r="F844" s="66" t="n"/>
      <c r="G844" s="66" t="n"/>
      <c r="H844" s="66" t="inlineStr">
        <is>
          <t>http://www.gardilcic.cl</t>
        </is>
      </c>
      <c r="I844" s="66" t="inlineStr">
        <is>
          <t>79.538.350-6</t>
        </is>
      </c>
      <c r="J844" s="66" t="n"/>
      <c r="K844" s="66" t="inlineStr">
        <is>
          <t>Ventas: GRANDE (Estimado por Empleados) | Empleados: 3215</t>
        </is>
      </c>
      <c r="L844" s="61" t="n"/>
      <c r="M844" s="61" t="n"/>
      <c r="N844" s="61" t="n"/>
      <c r="O844" s="61" t="n"/>
      <c r="P844" s="61" t="n"/>
      <c r="Q844" s="62" t="n"/>
      <c r="R844" s="61" t="n"/>
    </row>
    <row r="845" ht="15.75" customHeight="1" s="38">
      <c r="A845" s="66" t="inlineStr">
        <is>
          <t>Garmendia</t>
        </is>
      </c>
      <c r="B845" s="66" t="inlineStr">
        <is>
          <t>Calzado para Seguridad, Ropa para Seguridad</t>
        </is>
      </c>
      <c r="C845" s="66" t="inlineStr">
        <is>
          <t>Santiago</t>
        </is>
      </c>
      <c r="D845" s="66" t="n"/>
      <c r="E845" s="66" t="inlineStr">
        <is>
          <t>600 426 7000</t>
        </is>
      </c>
      <c r="F845" s="66" t="inlineStr">
        <is>
          <t>Gerente de TI / CIO (Director de Tecnología)</t>
        </is>
      </c>
      <c r="G845" s="66" t="n"/>
      <c r="H845" s="66" t="n"/>
      <c r="I845" s="66" t="inlineStr">
        <is>
          <t>96.889.950-3</t>
        </is>
      </c>
      <c r="J845" s="66" t="n"/>
      <c r="K845" s="66" t="inlineStr">
        <is>
          <t>Ventas: GRANDE 3 (600.000 - 1.000.000 UF) | Empleados: 211</t>
        </is>
      </c>
      <c r="L845" s="61" t="n"/>
      <c r="M845" s="61" t="n"/>
      <c r="N845" s="61" t="n"/>
      <c r="O845" s="61" t="n"/>
      <c r="P845" s="61" t="n"/>
      <c r="Q845" s="62" t="n"/>
      <c r="R845" s="61" t="n"/>
    </row>
    <row r="846" ht="15.75" customHeight="1" s="38">
      <c r="A846" s="59" t="inlineStr">
        <is>
          <t>Gasco</t>
        </is>
      </c>
      <c r="B846" s="59" t="inlineStr">
        <is>
          <t>Proveedor Destacado, Energía Eléctrica Distribuida, Energía para Calefacción Industrial, Energía para Hornos de Tratamiento Térmico, Energía para Hornos Rotatorios, Energía para Procesos Metalúrgicos y de Metalmecánica</t>
        </is>
      </c>
      <c r="C846" s="59" t="inlineStr">
        <is>
          <t>Santiago</t>
        </is>
      </c>
      <c r="D846" s="59" t="inlineStr">
        <is>
          <t>industrial@gasco.cl</t>
        </is>
      </c>
      <c r="E846" s="59" t="inlineStr">
        <is>
          <t>600 822 2222</t>
        </is>
      </c>
      <c r="F846" s="59" t="inlineStr">
        <is>
          <t>Guillermo Salazar (Gte Corp Tecnología)</t>
        </is>
      </c>
      <c r="G846" s="59" t="n"/>
      <c r="H846" s="59" t="inlineStr">
        <is>
          <t>http://solucionesenergeticas.gasco.cl</t>
        </is>
      </c>
      <c r="I846" s="59" t="inlineStr">
        <is>
          <t>96.568.740-8</t>
        </is>
      </c>
      <c r="J846" s="59" t="inlineStr">
        <is>
          <t>Optimización SAP &amp; Transf. Digital CX</t>
        </is>
      </c>
      <c r="K846" s="59" t="inlineStr">
        <is>
          <t>Ventas: GRANDE (Estimado por Empleados) | Empleados: 1059</t>
        </is>
      </c>
      <c r="L846" s="61" t="n"/>
      <c r="M846" s="61" t="n"/>
      <c r="N846" s="61" t="n"/>
      <c r="O846" s="61" t="n"/>
      <c r="P846" s="61" t="n"/>
      <c r="Q846" s="62" t="n"/>
      <c r="R846" s="61" t="n"/>
    </row>
    <row r="847" ht="15.75" customHeight="1" s="38">
      <c r="A847" s="66" t="inlineStr">
        <is>
          <t>Gauss Control</t>
        </is>
      </c>
      <c r="B847" s="66" t="inlineStr">
        <is>
          <t>Software para predecir Indices de Riesgo de los Trabajadores</t>
        </is>
      </c>
      <c r="C847" s="66" t="inlineStr">
        <is>
          <t>Santiago</t>
        </is>
      </c>
      <c r="D847" s="66" t="inlineStr">
        <is>
          <t>eh@gausscontrol.com</t>
        </is>
      </c>
      <c r="E847" s="66" t="inlineStr">
        <is>
          <t>(56) 9 6103 7267</t>
        </is>
      </c>
      <c r="F847" s="66" t="inlineStr">
        <is>
          <t>José Rafael Campino (Founder/CEO)</t>
        </is>
      </c>
      <c r="G847" s="66" t="n"/>
      <c r="H847" s="66" t="n"/>
      <c r="I847" s="66" t="inlineStr">
        <is>
          <t>96.871.070-2</t>
        </is>
      </c>
      <c r="J847" s="66" t="inlineStr">
        <is>
          <t>Fatiga &amp; IA Seguridad Operacional</t>
        </is>
      </c>
      <c r="K847" s="66" t="inlineStr">
        <is>
          <t>Ventas: No en base SII | Empleados: S/I</t>
        </is>
      </c>
      <c r="L847" s="61" t="n"/>
      <c r="M847" s="61" t="n"/>
      <c r="N847" s="61" t="n"/>
      <c r="O847" s="61" t="n"/>
      <c r="P847" s="61" t="n"/>
      <c r="Q847" s="62" t="n"/>
      <c r="R847" s="61" t="n"/>
    </row>
    <row r="848" ht="15.75" customHeight="1" s="38">
      <c r="A848" s="66" t="inlineStr">
        <is>
          <t>Gauss Electric</t>
        </is>
      </c>
      <c r="B848" s="66" t="inlineStr">
        <is>
          <t>Análisis de Sistemas Eléctricos: Protecciones, Corto Circuito, Niveles ArcFlash y Resistividad y Puesta a Tierra</t>
        </is>
      </c>
      <c r="C848" s="66" t="inlineStr">
        <is>
          <t>Santiago</t>
        </is>
      </c>
      <c r="D848" s="66" t="inlineStr">
        <is>
          <t>contacto@gausselectric.cl</t>
        </is>
      </c>
      <c r="E848" s="66" t="inlineStr">
        <is>
          <t>(56) 2 2840 0408</t>
        </is>
      </c>
      <c r="F848" s="66" t="n"/>
      <c r="G848" s="66" t="n"/>
      <c r="H848" s="66" t="n"/>
      <c r="I848" s="66" t="inlineStr">
        <is>
          <t>76.507.646-3</t>
        </is>
      </c>
      <c r="J848" s="66" t="n"/>
      <c r="K848" s="66" t="inlineStr">
        <is>
          <t>Ventas: MEDIANA 1 (25.000 - 50.000 UF) | Empleados: 4</t>
        </is>
      </c>
      <c r="L848" s="61" t="n"/>
      <c r="M848" s="61" t="n"/>
      <c r="N848" s="61" t="n"/>
      <c r="O848" s="61" t="n"/>
      <c r="P848" s="61" t="n"/>
      <c r="Q848" s="62" t="n"/>
      <c r="R848" s="61" t="n"/>
    </row>
    <row r="849" ht="15.75" customHeight="1" s="38">
      <c r="A849" s="66" t="inlineStr">
        <is>
          <t>GBI Fijaciones S.A.</t>
        </is>
      </c>
      <c r="B849" s="66" t="inlineStr">
        <is>
          <t>Anclajes Postensados</t>
        </is>
      </c>
      <c r="C849" s="66" t="inlineStr">
        <is>
          <t>Santiago</t>
        </is>
      </c>
      <c r="D849" s="66" t="inlineStr">
        <is>
          <t>ventasweb@ingefix.cl</t>
        </is>
      </c>
      <c r="E849" s="66" t="inlineStr">
        <is>
          <t>(56) 2 2818 5400</t>
        </is>
      </c>
      <c r="F849" s="66" t="n"/>
      <c r="G849" s="66" t="n"/>
      <c r="H849" s="66" t="n"/>
      <c r="I849" s="66" t="inlineStr">
        <is>
          <t>99.530.740-5</t>
        </is>
      </c>
      <c r="J849" s="66" t="n"/>
      <c r="K849" s="66" t="inlineStr">
        <is>
          <t>Ventas: GRANDE 2 (200.000 - 600.000 UF) | Empleados: 73</t>
        </is>
      </c>
      <c r="L849" s="61" t="n"/>
      <c r="M849" s="61" t="n"/>
      <c r="N849" s="61" t="n"/>
      <c r="O849" s="61" t="n"/>
      <c r="P849" s="61" t="n"/>
      <c r="Q849" s="62" t="n"/>
      <c r="R849" s="61" t="n"/>
    </row>
    <row r="850" ht="15.75" customHeight="1" s="38">
      <c r="A850" s="59" t="inlineStr">
        <is>
          <t>GE Mining</t>
        </is>
      </c>
      <c r="B850" s="59" t="inlineStr">
        <is>
          <t>Equipos para Minería de Superficie, Equipos para Minería Subterránea</t>
        </is>
      </c>
      <c r="C850" s="59" t="inlineStr">
        <is>
          <t>Santiago</t>
        </is>
      </c>
      <c r="D850" s="59" t="n"/>
      <c r="E850" s="59" t="inlineStr">
        <is>
          <t>(56) 2 2652 6500</t>
        </is>
      </c>
      <c r="F850" s="59" t="inlineStr">
        <is>
          <t>Franco Francino (Digital Mining)</t>
        </is>
      </c>
      <c r="G850" s="59" t="inlineStr">
        <is>
          <t>franco.francino@ge.com</t>
        </is>
      </c>
      <c r="H850" s="59" t="n"/>
      <c r="I850" s="59" t="inlineStr">
        <is>
          <t>59.010.820-0</t>
        </is>
      </c>
      <c r="J850" s="59" t="inlineStr">
        <is>
          <t>Investigación en Proceso</t>
        </is>
      </c>
      <c r="K850" s="59" t="inlineStr">
        <is>
          <t>Ventas: GRANDE 3 (600.000 - 1.000.000 UF) | Empleados: 18</t>
        </is>
      </c>
      <c r="L850" s="61" t="n"/>
      <c r="M850" s="61" t="n"/>
      <c r="N850" s="61" t="n"/>
      <c r="O850" s="61" t="n"/>
      <c r="P850" s="61" t="n"/>
      <c r="Q850" s="62" t="n"/>
      <c r="R850" s="61" t="n"/>
    </row>
    <row r="851" ht="15.75" customHeight="1" s="38">
      <c r="A851" s="59" t="inlineStr">
        <is>
          <t>GEA Chile</t>
        </is>
      </c>
      <c r="B851" s="59" t="inlineStr">
        <is>
          <t>Tratamiento de Efluentes</t>
        </is>
      </c>
      <c r="C851" s="59" t="inlineStr">
        <is>
          <t>Santiago</t>
        </is>
      </c>
      <c r="D851" s="59" t="n"/>
      <c r="E851" s="59" t="inlineStr">
        <is>
          <t>(56) 2 3210 9302</t>
        </is>
      </c>
      <c r="F851" s="59" t="inlineStr">
        <is>
          <t>Francisco Miño Kraus (Soluciones Digitales)</t>
        </is>
      </c>
      <c r="G851" s="59" t="inlineStr">
        <is>
          <t>francisco.mino@gea.com</t>
        </is>
      </c>
      <c r="H851" s="59" t="n"/>
      <c r="I851" s="59" t="inlineStr">
        <is>
          <t>96.573.980-7</t>
        </is>
      </c>
      <c r="J851" s="59" t="inlineStr">
        <is>
          <t>Investigación en Proceso</t>
        </is>
      </c>
      <c r="K851" s="59" t="inlineStr">
        <is>
          <t>Ventas: GRANDE 3 (600.000 - 1.000.000 UF) | Empleados: 27</t>
        </is>
      </c>
      <c r="L851" s="61" t="n"/>
      <c r="M851" s="61" t="n"/>
      <c r="N851" s="61" t="n"/>
      <c r="O851" s="61" t="n"/>
      <c r="P851" s="61" t="n"/>
      <c r="Q851" s="62" t="n"/>
      <c r="R851" s="61" t="n"/>
    </row>
    <row r="852" ht="15.75" customHeight="1" s="38">
      <c r="A852" s="66" t="inlineStr">
        <is>
          <t>Gecamin Ltda.</t>
        </is>
      </c>
      <c r="B852" s="66" t="inlineStr">
        <is>
          <t>Proveedor Destacado</t>
        </is>
      </c>
      <c r="C852" s="66" t="inlineStr">
        <is>
          <t>Santiago</t>
        </is>
      </c>
      <c r="D852" s="66" t="inlineStr">
        <is>
          <t>gecamin@gecamin.com</t>
        </is>
      </c>
      <c r="E852" s="66" t="n"/>
      <c r="F852" s="66" t="n"/>
      <c r="G852" s="66" t="n"/>
      <c r="H852" s="66" t="inlineStr">
        <is>
          <t>http://www.gecamin.com</t>
        </is>
      </c>
      <c r="I852" s="66" t="inlineStr">
        <is>
          <t>77.127.870-1</t>
        </is>
      </c>
      <c r="J852" s="66" t="n"/>
      <c r="K852" s="66" t="inlineStr">
        <is>
          <t>Ventas: GRANDE 1 (100.000 - 200.000 UF) | Empleados: 30</t>
        </is>
      </c>
      <c r="L852" s="61" t="n"/>
      <c r="M852" s="61" t="n"/>
      <c r="N852" s="61" t="n"/>
      <c r="O852" s="61" t="n"/>
      <c r="P852" s="61" t="n"/>
      <c r="Q852" s="62" t="n"/>
      <c r="R852" s="61" t="n"/>
    </row>
    <row r="853" ht="15.75" customHeight="1" s="38">
      <c r="A853" s="66" t="inlineStr">
        <is>
          <t>Geminis S.A.</t>
        </is>
      </c>
      <c r="B853" s="66" t="inlineStr">
        <is>
          <t>Transporte de Personal, Transporte Terrestre</t>
        </is>
      </c>
      <c r="C853" s="66" t="inlineStr">
        <is>
          <t>Calama</t>
        </is>
      </c>
      <c r="D853" s="66" t="inlineStr">
        <is>
          <t>contacto@geminis.cl</t>
        </is>
      </c>
      <c r="E853" s="66" t="inlineStr">
        <is>
          <t>(56) 55 289 2000</t>
        </is>
      </c>
      <c r="F853" s="66" t="n"/>
      <c r="G853" s="66" t="n"/>
      <c r="H853" s="66" t="n"/>
      <c r="I853" s="66" t="inlineStr">
        <is>
          <t>95.492.000-3</t>
        </is>
      </c>
      <c r="J853" s="66" t="n"/>
      <c r="K853" s="66" t="inlineStr">
        <is>
          <t>Ventas: GRANDE 3 (600.000 - 1.000.000 UF) | Empleados: 89</t>
        </is>
      </c>
      <c r="L853" s="61" t="n"/>
      <c r="M853" s="61" t="n"/>
      <c r="N853" s="61" t="n"/>
      <c r="O853" s="61" t="n"/>
      <c r="P853" s="61" t="n"/>
      <c r="Q853" s="62" t="n"/>
      <c r="R853" s="61" t="n"/>
    </row>
    <row r="854" ht="15.75" customHeight="1" s="38">
      <c r="A854" s="66" t="inlineStr">
        <is>
          <t>Genera S.A.</t>
        </is>
      </c>
      <c r="B854" s="66" t="inlineStr">
        <is>
          <t>Control de Accesos</t>
        </is>
      </c>
      <c r="C854" s="66" t="inlineStr">
        <is>
          <t>Santiago</t>
        </is>
      </c>
      <c r="D854" s="66" t="inlineStr">
        <is>
          <t>contacto@genera.cl</t>
        </is>
      </c>
      <c r="E854" s="66" t="inlineStr">
        <is>
          <t>(56) 9 3521 1943</t>
        </is>
      </c>
      <c r="F854" s="66" t="n"/>
      <c r="G854" s="66" t="n"/>
      <c r="H854" s="66" t="n"/>
      <c r="I854" s="66" t="inlineStr">
        <is>
          <t>79.760.110-1</t>
        </is>
      </c>
      <c r="J854" s="66" t="n"/>
      <c r="K854" s="66" t="inlineStr">
        <is>
          <t>Ventas: GRANDE 1 (100.000 - 200.000 UF) | Empleados: 65</t>
        </is>
      </c>
      <c r="L854" s="61" t="n"/>
      <c r="M854" s="61" t="n"/>
      <c r="N854" s="61" t="n"/>
      <c r="O854" s="61" t="n"/>
      <c r="P854" s="61" t="n"/>
      <c r="Q854" s="62" t="n"/>
      <c r="R854" s="61" t="n"/>
    </row>
    <row r="855" ht="15.75" customHeight="1" s="38">
      <c r="A855" s="66" t="inlineStr">
        <is>
          <t>Generadora Metropolitana</t>
        </is>
      </c>
      <c r="B855" s="66" t="inlineStr">
        <is>
          <t>Centrales Termoeléctricas, Energías Fotovoltaicas</t>
        </is>
      </c>
      <c r="C855" s="66" t="inlineStr">
        <is>
          <t>Santiago</t>
        </is>
      </c>
      <c r="D855" s="66" t="inlineStr">
        <is>
          <t>contacto@generadora.cl</t>
        </is>
      </c>
      <c r="E855" s="66" t="inlineStr">
        <is>
          <t>(56) 2 2391 1100</t>
        </is>
      </c>
      <c r="F855" s="66" t="n"/>
      <c r="G855" s="66" t="n"/>
      <c r="H855" s="66" t="n"/>
      <c r="I855" s="66" t="inlineStr">
        <is>
          <t>76538731-0</t>
        </is>
      </c>
      <c r="J855" s="66" t="n"/>
      <c r="K855" s="66" t="inlineStr">
        <is>
          <t>Ventas: MEDIANA (Estimado por Empleados) | Empleados: 77</t>
        </is>
      </c>
      <c r="L855" s="61" t="n"/>
      <c r="M855" s="61" t="n"/>
      <c r="N855" s="61" t="n"/>
      <c r="O855" s="61" t="n"/>
      <c r="P855" s="61" t="n"/>
      <c r="Q855" s="62" t="n"/>
      <c r="R855" s="61" t="n"/>
    </row>
    <row r="856" ht="15.75" customHeight="1" s="38">
      <c r="A856" s="66" t="inlineStr">
        <is>
          <t>General Motors Chile Ltd.</t>
        </is>
      </c>
      <c r="B856" s="66" t="inlineStr">
        <is>
          <t>Camiones, Camionetas</t>
        </is>
      </c>
      <c r="C856" s="66" t="inlineStr">
        <is>
          <t>Santiago</t>
        </is>
      </c>
      <c r="D856" s="66" t="inlineStr">
        <is>
          <t>atencion.chevrolet@gm.com</t>
        </is>
      </c>
      <c r="E856" s="66" t="inlineStr">
        <is>
          <t>(56) 2 2520 6100</t>
        </is>
      </c>
      <c r="F856" s="66" t="n"/>
      <c r="G856" s="66" t="n"/>
      <c r="H856" s="66" t="n"/>
      <c r="I856" s="66" t="inlineStr">
        <is>
          <t>93.515.000-0</t>
        </is>
      </c>
      <c r="J856" s="66" t="n"/>
      <c r="K856" s="66" t="inlineStr">
        <is>
          <t>Ventas: MEDIANA (Estimado por Empleados) | Empleados: 96</t>
        </is>
      </c>
      <c r="L856" s="61" t="n"/>
      <c r="M856" s="61" t="n"/>
      <c r="N856" s="61" t="n"/>
      <c r="O856" s="61" t="n"/>
      <c r="P856" s="61" t="n"/>
      <c r="Q856" s="62" t="n"/>
      <c r="R856" s="61" t="n"/>
    </row>
    <row r="857" ht="15.75" customHeight="1" s="38">
      <c r="A857" s="66" t="inlineStr">
        <is>
          <t>General Trade S.A.</t>
        </is>
      </c>
      <c r="B857" s="66" t="inlineStr">
        <is>
          <t>Aspiradores para Polvo, Contenedores para Desperdicios</t>
        </is>
      </c>
      <c r="C857" s="66" t="inlineStr">
        <is>
          <t>Santiago</t>
        </is>
      </c>
      <c r="D857" s="66" t="inlineStr">
        <is>
          <t>info@generaltrade.cl</t>
        </is>
      </c>
      <c r="E857" s="66" t="inlineStr">
        <is>
          <t>(56) 2 2940 9000</t>
        </is>
      </c>
      <c r="F857" s="66" t="n"/>
      <c r="G857" s="66" t="n"/>
      <c r="H857" s="66" t="n"/>
      <c r="I857" s="66" t="inlineStr">
        <is>
          <t>96.640.940-1</t>
        </is>
      </c>
      <c r="J857" s="66" t="n"/>
      <c r="K857" s="66" t="inlineStr">
        <is>
          <t>Ventas: GRANDE 2 (200.000 - 600.000 UF) | Empleados: 50</t>
        </is>
      </c>
      <c r="L857" s="61" t="n"/>
      <c r="M857" s="61" t="n"/>
      <c r="N857" s="61" t="n"/>
      <c r="O857" s="61" t="n"/>
      <c r="P857" s="61" t="n"/>
      <c r="Q857" s="62" t="n"/>
      <c r="R857" s="61" t="n"/>
    </row>
    <row r="858" ht="15.75" customHeight="1" s="38">
      <c r="A858" s="66" t="inlineStr">
        <is>
          <t>Genesys Latinoamérica Ltda.</t>
        </is>
      </c>
      <c r="B858" s="66" t="inlineStr">
        <is>
          <t>Antiincrustantes</t>
        </is>
      </c>
      <c r="C858" s="66" t="inlineStr">
        <is>
          <t>Santiago</t>
        </is>
      </c>
      <c r="D858" s="66" t="inlineStr">
        <is>
          <t>administracion@genesysro.es</t>
        </is>
      </c>
      <c r="E858" s="66" t="inlineStr">
        <is>
          <t>(56) 2 2969 0882</t>
        </is>
      </c>
      <c r="F858" s="66" t="n"/>
      <c r="G858" s="66" t="n"/>
      <c r="H858" s="66" t="n"/>
      <c r="I858" s="66" t="inlineStr">
        <is>
          <t>76.419.990-1</t>
        </is>
      </c>
      <c r="J858" s="66" t="n"/>
      <c r="K858" s="66" t="inlineStr">
        <is>
          <t>Ventas: GRANDE 1 (100.000 - 200.000 UF) | Empleados: 7</t>
        </is>
      </c>
      <c r="L858" s="61" t="n"/>
      <c r="M858" s="61" t="n"/>
      <c r="N858" s="61" t="n"/>
      <c r="O858" s="61" t="n"/>
      <c r="P858" s="61" t="n"/>
      <c r="Q858" s="62" t="n"/>
      <c r="R858" s="61" t="n"/>
    </row>
    <row r="859" ht="15.75" customHeight="1" s="38">
      <c r="A859" s="66" t="inlineStr">
        <is>
          <t>Genie</t>
        </is>
      </c>
      <c r="B859" s="66" t="inlineStr">
        <is>
          <t>Elevadores de Material, Plataformas Móviles de Elevación</t>
        </is>
      </c>
      <c r="C859" s="66" t="inlineStr">
        <is>
          <t>Santiago</t>
        </is>
      </c>
      <c r="D859" s="66" t="inlineStr">
        <is>
          <t>marketingla@terex.com</t>
        </is>
      </c>
      <c r="E859" s="66" t="inlineStr">
        <is>
          <t>(56) 9 6535 5195</t>
        </is>
      </c>
      <c r="F859" s="66" t="n"/>
      <c r="G859" s="66" t="n"/>
      <c r="H859" s="66" t="n"/>
      <c r="I859" s="66" t="inlineStr">
        <is>
          <t>76.507.499-1</t>
        </is>
      </c>
      <c r="J859" s="66" t="n"/>
      <c r="K859" s="66" t="inlineStr">
        <is>
          <t>Ventas: PEQUEÑA 3 (10.000 - 25.000 UF) | Empleados: 3</t>
        </is>
      </c>
      <c r="L859" s="61" t="n"/>
      <c r="M859" s="61" t="n"/>
      <c r="N859" s="61" t="n"/>
      <c r="O859" s="61" t="n"/>
      <c r="P859" s="61" t="n"/>
      <c r="Q859" s="62" t="n"/>
      <c r="R859" s="61" t="n"/>
    </row>
    <row r="860" ht="15.75" customHeight="1" s="38">
      <c r="A860" s="66" t="inlineStr">
        <is>
          <t>GEO Instrumentos Ltda.</t>
        </is>
      </c>
      <c r="B860" s="66" t="inlineStr">
        <is>
          <t>Drones</t>
        </is>
      </c>
      <c r="C860" s="66" t="inlineStr">
        <is>
          <t>Santiago</t>
        </is>
      </c>
      <c r="D860" s="66" t="inlineStr">
        <is>
          <t>contacto@geoinstrumentos.cl</t>
        </is>
      </c>
      <c r="E860" s="66" t="inlineStr">
        <is>
          <t>(56) 2 2222 8265</t>
        </is>
      </c>
      <c r="F860" s="66" t="n"/>
      <c r="G860" s="66" t="n"/>
      <c r="H860" s="66" t="n"/>
      <c r="I860" s="66" t="inlineStr">
        <is>
          <t>77.758.750-1</t>
        </is>
      </c>
      <c r="J860" s="66" t="n"/>
      <c r="K860" s="66" t="inlineStr">
        <is>
          <t>Ventas: MEDIANA 1 (25.000 - 50.000 UF) | Empleados: 7</t>
        </is>
      </c>
      <c r="L860" s="61" t="n"/>
      <c r="M860" s="61" t="n"/>
      <c r="N860" s="61" t="n"/>
      <c r="O860" s="61" t="n"/>
      <c r="P860" s="61" t="n"/>
      <c r="Q860" s="62" t="n"/>
      <c r="R860" s="61" t="n"/>
    </row>
    <row r="861" ht="15.75" customHeight="1" s="38">
      <c r="A861" s="59" t="inlineStr">
        <is>
          <t>Geo Operaciones Ltda.</t>
        </is>
      </c>
      <c r="B861" s="59" t="inlineStr">
        <is>
          <t>Servicios para la Minería, Sondajes</t>
        </is>
      </c>
      <c r="C861" s="59" t="inlineStr">
        <is>
          <t>Copiapó</t>
        </is>
      </c>
      <c r="D861" s="59" t="inlineStr">
        <is>
          <t>goper@geo-operaciones.cl</t>
        </is>
      </c>
      <c r="E861" s="59" t="inlineStr">
        <is>
          <t>(56) 52 220 2900</t>
        </is>
      </c>
      <c r="F861" s="59" t="inlineStr">
        <is>
          <t>Ricardo Soto (Jefe de Informática)</t>
        </is>
      </c>
      <c r="G861" s="59" t="inlineStr">
        <is>
          <t>r.soto@geo-operaciones.cl</t>
        </is>
      </c>
      <c r="H861" s="59" t="n"/>
      <c r="I861" s="59" t="inlineStr">
        <is>
          <t>79.634.910-7</t>
        </is>
      </c>
      <c r="J861" s="59" t="inlineStr">
        <is>
          <t>Investigación en Proceso</t>
        </is>
      </c>
      <c r="K861" s="59" t="inlineStr">
        <is>
          <t>Ventas: GRANDE 3 (600.000 - 1.000.000 UF) | Empleados: 315</t>
        </is>
      </c>
      <c r="L861" s="61" t="n"/>
      <c r="M861" s="61" t="n"/>
      <c r="N861" s="61" t="n"/>
      <c r="O861" s="61" t="n"/>
      <c r="P861" s="61" t="n"/>
      <c r="Q861" s="62" t="n"/>
      <c r="R861" s="61" t="n"/>
    </row>
    <row r="862" ht="15.75" customHeight="1" s="38">
      <c r="A862" s="66" t="inlineStr">
        <is>
          <t>Geoassay Group</t>
        </is>
      </c>
      <c r="B862" s="66" t="inlineStr">
        <is>
          <t>Proveedor Destacado</t>
        </is>
      </c>
      <c r="C862" s="66" t="inlineStr">
        <is>
          <t>Santiago</t>
        </is>
      </c>
      <c r="D862" s="66" t="inlineStr">
        <is>
          <t>secretaria@geoassay.cl</t>
        </is>
      </c>
      <c r="E862" s="66" t="n"/>
      <c r="F862" s="66" t="inlineStr">
        <is>
          <t>Gerente de TI / CIO (Director de Tecnología)</t>
        </is>
      </c>
      <c r="G862" s="66" t="n"/>
      <c r="H862" s="66" t="inlineStr">
        <is>
          <t>http://www.geoassay.cl</t>
        </is>
      </c>
      <c r="I862" s="66" t="inlineStr">
        <is>
          <t>76.040.561-2</t>
        </is>
      </c>
      <c r="J862" s="66" t="n"/>
      <c r="K862" s="66" t="inlineStr">
        <is>
          <t>Ventas: GRANDE 4 (Mas de 1.000.000 UF) | Empleados: 505</t>
        </is>
      </c>
      <c r="L862" s="61" t="n"/>
      <c r="M862" s="61" t="n"/>
      <c r="N862" s="61" t="n"/>
      <c r="O862" s="61" t="n"/>
      <c r="P862" s="61" t="n"/>
      <c r="Q862" s="62" t="n"/>
      <c r="R862" s="61" t="n"/>
    </row>
    <row r="863" ht="15.75" customHeight="1" s="38">
      <c r="A863" s="66" t="inlineStr">
        <is>
          <t>Geoaustral Ltda.</t>
        </is>
      </c>
      <c r="B863" s="66" t="inlineStr">
        <is>
          <t>Sistemas de Localización Satelital</t>
        </is>
      </c>
      <c r="C863" s="66" t="inlineStr">
        <is>
          <t>Antofagasta</t>
        </is>
      </c>
      <c r="D863" s="66" t="inlineStr">
        <is>
          <t>ventas@geoaustralchile.cl</t>
        </is>
      </c>
      <c r="E863" s="66" t="inlineStr">
        <is>
          <t>(56) 55 249 7487</t>
        </is>
      </c>
      <c r="F863" s="66" t="n"/>
      <c r="G863" s="66" t="n"/>
      <c r="H863" s="66" t="n"/>
      <c r="I863" s="66" t="inlineStr">
        <is>
          <t>76.680.150-1</t>
        </is>
      </c>
      <c r="J863" s="66" t="n"/>
      <c r="K863" s="66" t="inlineStr">
        <is>
          <t>Ventas: GRANDE 2 (200.000 - 600.000 UF) | Empleados: 35</t>
        </is>
      </c>
      <c r="L863" s="61" t="n"/>
      <c r="M863" s="61" t="n"/>
      <c r="N863" s="61" t="n"/>
      <c r="O863" s="61" t="n"/>
      <c r="P863" s="61" t="n"/>
      <c r="Q863" s="62" t="n"/>
      <c r="R863" s="61" t="n"/>
    </row>
    <row r="864" ht="15.75" customHeight="1" s="38">
      <c r="A864" s="59" t="inlineStr">
        <is>
          <t>Geobarra Exins S.A.</t>
        </is>
      </c>
      <c r="B864" s="59" t="inlineStr">
        <is>
          <t>Tratamiento de Residuos</t>
        </is>
      </c>
      <c r="C864" s="59" t="inlineStr">
        <is>
          <t>Rancagua</t>
        </is>
      </c>
      <c r="D864" s="59" t="inlineStr">
        <is>
          <t>mario.barra@geobarra.cl</t>
        </is>
      </c>
      <c r="E864" s="59" t="inlineStr">
        <is>
          <t>(56) 72 252 2143</t>
        </is>
      </c>
      <c r="F864" s="59" t="inlineStr">
        <is>
          <t>Emilio Briceño (Gerente de Operaciones)</t>
        </is>
      </c>
      <c r="G864" s="59" t="inlineStr">
        <is>
          <t>e.briceno@geobarra.cl</t>
        </is>
      </c>
      <c r="H864" s="59" t="n"/>
      <c r="I864" s="59" t="inlineStr">
        <is>
          <t>76.562.260-3</t>
        </is>
      </c>
      <c r="J864" s="59" t="inlineStr">
        <is>
          <t>Investigación en Proceso</t>
        </is>
      </c>
      <c r="K864" s="59" t="inlineStr">
        <is>
          <t>Ventas: GRANDE 3 (600.000 - 1.000.000 UF) | Empleados: 311</t>
        </is>
      </c>
      <c r="L864" s="61" t="n"/>
      <c r="M864" s="61" t="n"/>
      <c r="N864" s="61" t="n"/>
      <c r="O864" s="61" t="n"/>
      <c r="P864" s="61" t="n"/>
      <c r="Q864" s="62" t="n"/>
      <c r="R864" s="61" t="n"/>
    </row>
    <row r="865" ht="15.75" customHeight="1" s="38">
      <c r="A865" s="66" t="inlineStr">
        <is>
          <t>Geobrugg</t>
        </is>
      </c>
      <c r="B865" s="66" t="inlineStr">
        <is>
          <t>Protección contra Deslizamientos, Protecciones contra Caída de Rocas, Sistemas para Fortificación</t>
        </is>
      </c>
      <c r="C865" s="66" t="inlineStr">
        <is>
          <t>Santiago</t>
        </is>
      </c>
      <c r="D865" s="66" t="inlineStr">
        <is>
          <t>contacto@geobrugg.com</t>
        </is>
      </c>
      <c r="E865" s="66" t="inlineStr">
        <is>
          <t>(56) 2 2225 8400</t>
        </is>
      </c>
      <c r="F865" s="66" t="n"/>
      <c r="G865" s="66" t="n"/>
      <c r="H865" s="66" t="n"/>
      <c r="I865" s="66" t="inlineStr">
        <is>
          <t>76.338.498-5</t>
        </is>
      </c>
      <c r="J865" s="66" t="n"/>
      <c r="K865" s="66" t="inlineStr">
        <is>
          <t>Ventas: GRANDE 3 (600.000 - 1.000.000 UF) | Empleados: 31</t>
        </is>
      </c>
      <c r="L865" s="61" t="n"/>
      <c r="M865" s="61" t="n"/>
      <c r="N865" s="61" t="n"/>
      <c r="O865" s="61" t="n"/>
      <c r="P865" s="61" t="n"/>
      <c r="Q865" s="62" t="n"/>
      <c r="R865" s="61" t="n"/>
    </row>
    <row r="866" ht="15.75" customHeight="1" s="38">
      <c r="A866" s="66" t="inlineStr">
        <is>
          <t>Geocom</t>
        </is>
      </c>
      <c r="B866" s="66" t="inlineStr">
        <is>
          <t>Proveedor Destacado, Asesorías, Automatización de Procesos Mineros, Desarrollo de Instrumentación para Monitoreo, Drones, Proyectos Llave en Mano, Repuestos para Control de Maquinarias, Repuestos para Equipos Mineros, Sistemas GPS/GNSS Geodésicos y Cartográficos, Software para la Minería, Software para Procesamiento de Datos Topográficos y Geodésicos, Soluciones para Hidrografía, Soporte, Teodolitos, Topografía Aérea y Terrestre, Topografía con Láser Aerotransportado</t>
        </is>
      </c>
      <c r="C866" s="66" t="inlineStr">
        <is>
          <t>Santiago</t>
        </is>
      </c>
      <c r="D866" s="66" t="inlineStr">
        <is>
          <t>ventas@geocom.cl</t>
        </is>
      </c>
      <c r="E866" s="66" t="inlineStr">
        <is>
          <t>(56) 2 2480 3600</t>
        </is>
      </c>
      <c r="F866" s="66" t="n"/>
      <c r="G866" s="66" t="n"/>
      <c r="H866" s="66" t="inlineStr">
        <is>
          <t>http://www.geocom.cl</t>
        </is>
      </c>
      <c r="I866" s="66" t="inlineStr">
        <is>
          <t>96.667.520-9</t>
        </is>
      </c>
      <c r="J866" s="66" t="n"/>
      <c r="K866" s="66" t="inlineStr">
        <is>
          <t>Ventas: GRANDE 3 (600.000 - 1.000.000 UF) | Empleados: 87</t>
        </is>
      </c>
      <c r="L866" s="61" t="n"/>
      <c r="M866" s="61" t="n"/>
      <c r="N866" s="61" t="n"/>
      <c r="O866" s="61" t="n"/>
      <c r="P866" s="61" t="n"/>
      <c r="Q866" s="62" t="n"/>
      <c r="R866" s="61" t="n"/>
    </row>
    <row r="867" ht="15.75" customHeight="1" s="38">
      <c r="A867" s="66" t="inlineStr">
        <is>
          <t>Geocontrol Ltda.</t>
        </is>
      </c>
      <c r="B867" s="66" t="inlineStr">
        <is>
          <t>Ensayos Mecánicos</t>
        </is>
      </c>
      <c r="C867" s="66" t="inlineStr">
        <is>
          <t>Santiago</t>
        </is>
      </c>
      <c r="D867" s="66" t="inlineStr">
        <is>
          <t>geocontrol@geocontrol.cl</t>
        </is>
      </c>
      <c r="E867" s="66" t="inlineStr">
        <is>
          <t>(56) 9 3188 5475</t>
        </is>
      </c>
      <c r="F867" s="66" t="n"/>
      <c r="G867" s="66" t="n"/>
      <c r="H867" s="66" t="n"/>
      <c r="I867" s="66" t="inlineStr">
        <is>
          <t>77.304.630-1</t>
        </is>
      </c>
      <c r="J867" s="66" t="n"/>
      <c r="K867" s="66" t="inlineStr">
        <is>
          <t>Ventas: MEDIANA 2 (50.000 - 100.000 UF) | Empleados: 58</t>
        </is>
      </c>
      <c r="L867" s="61" t="n"/>
      <c r="M867" s="61" t="n"/>
      <c r="N867" s="61" t="n"/>
      <c r="O867" s="61" t="n"/>
      <c r="P867" s="61" t="n"/>
      <c r="Q867" s="62" t="n"/>
      <c r="R867" s="61" t="n"/>
    </row>
    <row r="868" ht="15.75" customHeight="1" s="38">
      <c r="A868" s="66" t="inlineStr">
        <is>
          <t>Geocontrol, Servicios de Ingeniería Ltda.</t>
        </is>
      </c>
      <c r="B868" s="66" t="inlineStr">
        <is>
          <t>Análisis de Suelos, Asesorías en Lixiviación</t>
        </is>
      </c>
      <c r="C868" s="66" t="inlineStr">
        <is>
          <t>Santiago</t>
        </is>
      </c>
      <c r="D868" s="66" t="inlineStr">
        <is>
          <t>administracion@geocontrolchile.com</t>
        </is>
      </c>
      <c r="E868" s="66" t="inlineStr">
        <is>
          <t>(56) 2 2269 5456</t>
        </is>
      </c>
      <c r="F868" s="66" t="n"/>
      <c r="G868" s="66" t="n"/>
      <c r="H868" s="66" t="n"/>
      <c r="I868" s="66" t="inlineStr">
        <is>
          <t>76.218.025-1</t>
        </is>
      </c>
      <c r="J868" s="66" t="n"/>
      <c r="K868" s="66" t="inlineStr">
        <is>
          <t>Ventas: MEDIANA 1 (25.000 - 50.000 UF) | Empleados: 4</t>
        </is>
      </c>
      <c r="L868" s="61" t="n"/>
      <c r="M868" s="61" t="n"/>
      <c r="N868" s="61" t="n"/>
      <c r="O868" s="61" t="n"/>
      <c r="P868" s="61" t="n"/>
      <c r="Q868" s="62" t="n"/>
      <c r="R868" s="61" t="n"/>
    </row>
    <row r="869" ht="15.75" customHeight="1" s="38">
      <c r="A869" s="66" t="inlineStr">
        <is>
          <t>Geodata Andina Ltda.</t>
        </is>
      </c>
      <c r="B869" s="66" t="inlineStr">
        <is>
          <t>Servicios Geodésicos, Servicios Topográficos</t>
        </is>
      </c>
      <c r="C869" s="66" t="inlineStr">
        <is>
          <t>Santiago</t>
        </is>
      </c>
      <c r="D869" s="66" t="inlineStr">
        <is>
          <t>contacto@geodataandina.cl</t>
        </is>
      </c>
      <c r="E869" s="66" t="inlineStr">
        <is>
          <t>(56) 2 2633 4598</t>
        </is>
      </c>
      <c r="F869" s="66" t="n"/>
      <c r="G869" s="66" t="n"/>
      <c r="H869" s="66" t="n"/>
      <c r="I869" s="66" t="inlineStr">
        <is>
          <t>76.104.760-4</t>
        </is>
      </c>
      <c r="J869" s="66" t="n"/>
      <c r="K869" s="66" t="inlineStr">
        <is>
          <t>Ventas: PEQUEÑA 3 (10.000 - 25.000 UF) | Empleados: 0</t>
        </is>
      </c>
      <c r="L869" s="61" t="n"/>
      <c r="M869" s="61" t="n"/>
      <c r="N869" s="61" t="n"/>
      <c r="O869" s="61" t="n"/>
      <c r="P869" s="61" t="n"/>
      <c r="Q869" s="62" t="n"/>
      <c r="R869" s="61" t="n"/>
    </row>
    <row r="870" ht="15.75" customHeight="1" s="38">
      <c r="A870" s="66" t="inlineStr">
        <is>
          <t>Geodatos</t>
        </is>
      </c>
      <c r="B870" s="66" t="inlineStr">
        <is>
          <t>Vuelos Aeromagnéticos y Radiométricos</t>
        </is>
      </c>
      <c r="C870" s="66" t="inlineStr">
        <is>
          <t>Santiago</t>
        </is>
      </c>
      <c r="D870" s="66" t="inlineStr">
        <is>
          <t>geodatos@geodatos.cl</t>
        </is>
      </c>
      <c r="E870" s="66" t="inlineStr">
        <is>
          <t>(56) 2 2840 7200</t>
        </is>
      </c>
      <c r="F870" s="66" t="n"/>
      <c r="G870" s="66" t="n"/>
      <c r="H870" s="66" t="n"/>
      <c r="I870" s="66" t="inlineStr">
        <is>
          <t>88.152.200-4</t>
        </is>
      </c>
      <c r="J870" s="66" t="n"/>
      <c r="K870" s="66" t="inlineStr">
        <is>
          <t>Ventas: GRANDE 1 (100.000 - 200.000 UF) | Empleados: 70</t>
        </is>
      </c>
      <c r="L870" s="61" t="n"/>
      <c r="M870" s="61" t="n"/>
      <c r="N870" s="61" t="n"/>
      <c r="O870" s="61" t="n"/>
      <c r="P870" s="61" t="n"/>
      <c r="Q870" s="62" t="n"/>
      <c r="R870" s="61" t="n"/>
    </row>
    <row r="871" ht="15.75" customHeight="1" s="38">
      <c r="A871" s="66" t="inlineStr">
        <is>
          <t>Geodetec Ingeniería S.A.</t>
        </is>
      </c>
      <c r="B871" s="66" t="inlineStr">
        <is>
          <t>Asesorías en Ingeniería</t>
        </is>
      </c>
      <c r="C871" s="66" t="inlineStr">
        <is>
          <t>Santiago</t>
        </is>
      </c>
      <c r="D871" s="66" t="inlineStr">
        <is>
          <t>contacto@geodetec.cl</t>
        </is>
      </c>
      <c r="E871" s="66" t="inlineStr">
        <is>
          <t>(56) 2 2346 2900</t>
        </is>
      </c>
      <c r="F871" s="66" t="n"/>
      <c r="G871" s="66" t="n"/>
      <c r="H871" s="66" t="n"/>
      <c r="I871" s="66" t="inlineStr">
        <is>
          <t>76.872.320-6</t>
        </is>
      </c>
      <c r="J871" s="66" t="n"/>
      <c r="K871" s="66" t="inlineStr">
        <is>
          <t>Ventas: GRANDE 2 (200.000 - 600.000 UF) | Empleados: 133</t>
        </is>
      </c>
      <c r="L871" s="61" t="n"/>
      <c r="M871" s="61" t="n"/>
      <c r="N871" s="61" t="n"/>
      <c r="O871" s="61" t="n"/>
      <c r="P871" s="61" t="n"/>
      <c r="Q871" s="62" t="n"/>
      <c r="R871" s="61" t="n"/>
    </row>
    <row r="872" ht="15.75" customHeight="1" s="38">
      <c r="A872" s="66" t="inlineStr">
        <is>
          <t>Geodis Chile Ltda.</t>
        </is>
      </c>
      <c r="B872" s="66" t="inlineStr">
        <is>
          <t>Transporte Internacional, Transporte Marítimo</t>
        </is>
      </c>
      <c r="C872" s="66" t="inlineStr">
        <is>
          <t>Santiago</t>
        </is>
      </c>
      <c r="D872" s="66" t="inlineStr">
        <is>
          <t>info@geodis.com</t>
        </is>
      </c>
      <c r="E872" s="66" t="inlineStr">
        <is>
          <t>(56) 2 2450 3600</t>
        </is>
      </c>
      <c r="F872" s="66" t="n"/>
      <c r="G872" s="66" t="n"/>
      <c r="H872" s="66" t="n"/>
      <c r="I872" s="66" t="inlineStr">
        <is>
          <t>79.699.520-3</t>
        </is>
      </c>
      <c r="J872" s="66" t="n"/>
      <c r="K872" s="66" t="inlineStr">
        <is>
          <t>Ventas: MEDIANA (Estimado por Empleados) | Empleados: 173</t>
        </is>
      </c>
      <c r="L872" s="61" t="n"/>
      <c r="M872" s="61" t="n"/>
      <c r="N872" s="61" t="n"/>
      <c r="O872" s="61" t="n"/>
      <c r="P872" s="61" t="n"/>
      <c r="Q872" s="62" t="n"/>
      <c r="R872" s="61" t="n"/>
    </row>
    <row r="873" ht="15.75" customHeight="1" s="38">
      <c r="A873" s="66" t="inlineStr">
        <is>
          <t>Geoequipos S.A.</t>
        </is>
      </c>
      <c r="B873" s="66" t="inlineStr">
        <is>
          <t>Equipos para Geología</t>
        </is>
      </c>
      <c r="C873" s="66" t="inlineStr">
        <is>
          <t>Santiago</t>
        </is>
      </c>
      <c r="D873" s="66" t="inlineStr">
        <is>
          <t>info@geoequipos.cl</t>
        </is>
      </c>
      <c r="E873" s="66" t="inlineStr">
        <is>
          <t>(56) 2 2235 5248</t>
        </is>
      </c>
      <c r="F873" s="66" t="n"/>
      <c r="G873" s="66" t="n"/>
      <c r="H873" s="66" t="n"/>
      <c r="I873" s="66" t="inlineStr">
        <is>
          <t>88.901.300-1</t>
        </is>
      </c>
      <c r="J873" s="66" t="n"/>
      <c r="K873" s="66" t="inlineStr">
        <is>
          <t>Ventas: MEDIANA 2 (50.000 - 100.000 UF) | Empleados: 8</t>
        </is>
      </c>
      <c r="L873" s="61" t="n"/>
      <c r="M873" s="61" t="n"/>
      <c r="N873" s="61" t="n"/>
      <c r="O873" s="61" t="n"/>
      <c r="P873" s="61" t="n"/>
      <c r="Q873" s="62" t="n"/>
      <c r="R873" s="61" t="n"/>
    </row>
    <row r="874" ht="15.75" customHeight="1" s="38">
      <c r="A874" s="66" t="inlineStr">
        <is>
          <t>GeoEstima</t>
        </is>
      </c>
      <c r="B874" s="66" t="inlineStr">
        <is>
          <t>Servicios de Minería y Estimación de Reservas</t>
        </is>
      </c>
      <c r="C874" s="66" t="inlineStr">
        <is>
          <t>Santiago</t>
        </is>
      </c>
      <c r="D874" s="66" t="inlineStr">
        <is>
          <t>contacto@geoestima.cl</t>
        </is>
      </c>
      <c r="E874" s="66" t="inlineStr">
        <is>
          <t>(56) 9 9918 6300</t>
        </is>
      </c>
      <c r="F874" s="66" t="n"/>
      <c r="G874" s="66" t="n"/>
      <c r="H874" s="66" t="n"/>
      <c r="I874" s="66" t="inlineStr">
        <is>
          <t>76262587-3</t>
        </is>
      </c>
      <c r="J874" s="66" t="n"/>
      <c r="K874" s="66" t="inlineStr">
        <is>
          <t>Ventas: GRANDE 1 (100.000 - 200.000 UF) | Empleados: 17</t>
        </is>
      </c>
      <c r="L874" s="61" t="n"/>
      <c r="M874" s="61" t="n"/>
      <c r="N874" s="61" t="n"/>
      <c r="O874" s="61" t="n"/>
      <c r="P874" s="61" t="n"/>
      <c r="Q874" s="62" t="n"/>
      <c r="R874" s="61" t="n"/>
    </row>
    <row r="875" ht="15.75" customHeight="1" s="38">
      <c r="A875" s="66" t="inlineStr">
        <is>
          <t>Geoexploration Technology</t>
        </is>
      </c>
      <c r="B875" s="66" t="inlineStr">
        <is>
          <t>Consultoría en Exploración Minera</t>
        </is>
      </c>
      <c r="C875" s="66" t="inlineStr">
        <is>
          <t>Santiago</t>
        </is>
      </c>
      <c r="D875" s="66" t="inlineStr">
        <is>
          <t>hector@geo-exploration.com</t>
        </is>
      </c>
      <c r="E875" s="66" t="inlineStr">
        <is>
          <t>(56) 9 9158 9125</t>
        </is>
      </c>
      <c r="F875" s="66" t="n"/>
      <c r="G875" s="66" t="n"/>
      <c r="H875" s="66" t="n"/>
      <c r="I875" s="66" t="inlineStr">
        <is>
          <t>76.055.844-3</t>
        </is>
      </c>
      <c r="J875" s="66" t="n"/>
      <c r="K875" s="66" t="inlineStr">
        <is>
          <t>Ventas: PEQUEÑA 3 (10.000 - 25.000 UF) | Empleados: 0</t>
        </is>
      </c>
      <c r="L875" s="61" t="n"/>
      <c r="M875" s="61" t="n"/>
      <c r="N875" s="61" t="n"/>
      <c r="O875" s="61" t="n"/>
      <c r="P875" s="61" t="n"/>
      <c r="Q875" s="62" t="n"/>
      <c r="R875" s="61" t="n"/>
    </row>
    <row r="876" ht="15.75" customHeight="1" s="38">
      <c r="A876" s="66" t="inlineStr">
        <is>
          <t>Geoinyecta Ingeniería Ltda.</t>
        </is>
      </c>
      <c r="B876" s="66" t="inlineStr">
        <is>
          <t>Proyectos de Ingeniería</t>
        </is>
      </c>
      <c r="C876" s="66" t="inlineStr">
        <is>
          <t>Santiago</t>
        </is>
      </c>
      <c r="D876" s="66" t="inlineStr">
        <is>
          <t>info@geoinyecta.cl</t>
        </is>
      </c>
      <c r="E876" s="66" t="inlineStr">
        <is>
          <t>(56) 2 2243 3156</t>
        </is>
      </c>
      <c r="F876" s="66" t="n"/>
      <c r="G876" s="66" t="n"/>
      <c r="H876" s="66" t="n"/>
      <c r="I876" s="66" t="inlineStr">
        <is>
          <t>76.342.080-9</t>
        </is>
      </c>
      <c r="J876" s="66" t="n"/>
      <c r="K876" s="66" t="inlineStr">
        <is>
          <t>Ventas: MICRO 1 (0.01 - 200 UF) | Empleados: 0</t>
        </is>
      </c>
      <c r="L876" s="61" t="n"/>
      <c r="M876" s="61" t="n"/>
      <c r="N876" s="61" t="n"/>
      <c r="O876" s="61" t="n"/>
      <c r="P876" s="61" t="n"/>
      <c r="Q876" s="62" t="n"/>
      <c r="R876" s="61" t="n"/>
    </row>
    <row r="877" ht="15.75" customHeight="1" s="38">
      <c r="A877" s="66" t="inlineStr">
        <is>
          <t>Geolidar SpA</t>
        </is>
      </c>
      <c r="B877" s="66" t="inlineStr">
        <is>
          <t>Energía Solar</t>
        </is>
      </c>
      <c r="C877" s="66" t="inlineStr">
        <is>
          <t>Antofagasta</t>
        </is>
      </c>
      <c r="D877" s="66" t="inlineStr">
        <is>
          <t>contactocorreo80@gmail.com</t>
        </is>
      </c>
      <c r="E877" s="66" t="inlineStr">
        <is>
          <t>(56) 9 8158 7887</t>
        </is>
      </c>
      <c r="F877" s="66" t="n"/>
      <c r="G877" s="66" t="n"/>
      <c r="H877" s="66" t="n"/>
      <c r="I877" s="66" t="inlineStr">
        <is>
          <t>76859919-K</t>
        </is>
      </c>
      <c r="J877" s="66" t="n"/>
      <c r="K877" s="66" t="inlineStr">
        <is>
          <t>Ventas: PEQUEÑA 1 (2.400 - 5.000 UF) | Empleados: 2</t>
        </is>
      </c>
      <c r="L877" s="61" t="n"/>
      <c r="M877" s="61" t="n"/>
      <c r="N877" s="61" t="n"/>
      <c r="O877" s="61" t="n"/>
      <c r="P877" s="61" t="n"/>
      <c r="Q877" s="62" t="n"/>
      <c r="R877" s="61" t="n"/>
    </row>
    <row r="878" ht="15.75" customHeight="1" s="38">
      <c r="A878" s="66" t="inlineStr">
        <is>
          <t>GeologicAI</t>
        </is>
      </c>
      <c r="B878" s="66" t="inlineStr">
        <is>
          <t>Análisis Robótico de Muestras de Minerales con Inteligencia Artificial</t>
        </is>
      </c>
      <c r="C878" s="66" t="inlineStr">
        <is>
          <t>Santiago</t>
        </is>
      </c>
      <c r="D878" s="66" t="inlineStr">
        <is>
          <t>mcamacho@geologicai.com</t>
        </is>
      </c>
      <c r="E878" s="66" t="n"/>
      <c r="F878" s="66" t="n"/>
      <c r="G878" s="66" t="n"/>
      <c r="H878" s="66" t="n"/>
      <c r="I878" s="66" t="inlineStr">
        <is>
          <t>77857927-8</t>
        </is>
      </c>
      <c r="J878" s="66" t="n"/>
      <c r="K878" s="66" t="inlineStr">
        <is>
          <t>Ventas: PEQUEÑA 2 (5.000 - 10.000 UF) | Empleados: 0</t>
        </is>
      </c>
      <c r="L878" s="61" t="n"/>
      <c r="M878" s="61" t="n"/>
      <c r="N878" s="61" t="n"/>
      <c r="O878" s="61" t="n"/>
      <c r="P878" s="61" t="n"/>
      <c r="Q878" s="62" t="n"/>
      <c r="R878" s="61" t="n"/>
    </row>
    <row r="879" ht="15.75" customHeight="1" s="38">
      <c r="A879" s="66" t="inlineStr">
        <is>
          <t>Geomat Chile SpA</t>
        </is>
      </c>
      <c r="B879" s="66" t="inlineStr">
        <is>
          <t>Rejillas de Ranura Continua, Tuberías de PVC</t>
        </is>
      </c>
      <c r="C879" s="66" t="inlineStr">
        <is>
          <t>Santiago</t>
        </is>
      </c>
      <c r="D879" s="66" t="inlineStr">
        <is>
          <t>info@geomat.cl</t>
        </is>
      </c>
      <c r="E879" s="66" t="inlineStr">
        <is>
          <t>(56) 2 2738 5319</t>
        </is>
      </c>
      <c r="F879" s="66" t="n"/>
      <c r="G879" s="66" t="n"/>
      <c r="H879" s="66" t="n"/>
      <c r="I879" s="66" t="inlineStr">
        <is>
          <t>76.488.030-7</t>
        </is>
      </c>
      <c r="J879" s="66" t="n"/>
      <c r="K879" s="66" t="inlineStr">
        <is>
          <t>Ventas: GRANDE 2 (200.000 - 600.000 UF) | Empleados: 54</t>
        </is>
      </c>
      <c r="L879" s="61" t="n"/>
      <c r="M879" s="61" t="n"/>
      <c r="N879" s="61" t="n"/>
      <c r="O879" s="61" t="n"/>
      <c r="P879" s="61" t="n"/>
      <c r="Q879" s="62" t="n"/>
      <c r="R879" s="61" t="n"/>
    </row>
    <row r="880" ht="15.75" customHeight="1" s="38">
      <c r="A880" s="66" t="inlineStr">
        <is>
          <t>Geomet SpA</t>
        </is>
      </c>
      <c r="B880" s="66" t="inlineStr">
        <is>
          <t>Análisis Químico</t>
        </is>
      </c>
      <c r="C880" s="66" t="inlineStr">
        <is>
          <t>Santiago</t>
        </is>
      </c>
      <c r="D880" s="66" t="inlineStr">
        <is>
          <t>geomet@geomet.cl</t>
        </is>
      </c>
      <c r="E880" s="66" t="inlineStr">
        <is>
          <t>(56) 2 2273 1541</t>
        </is>
      </c>
      <c r="F880" s="66" t="n"/>
      <c r="G880" s="66" t="n"/>
      <c r="H880" s="66" t="n"/>
      <c r="I880" s="66" t="inlineStr">
        <is>
          <t>96.858.890-7</t>
        </is>
      </c>
      <c r="J880" s="66" t="n"/>
      <c r="K880" s="66" t="inlineStr">
        <is>
          <t>Ventas: MEDIANA 1 (25.000 - 50.000 UF) | Empleados: 25</t>
        </is>
      </c>
      <c r="L880" s="61" t="n"/>
      <c r="M880" s="61" t="n"/>
      <c r="N880" s="61" t="n"/>
      <c r="O880" s="61" t="n"/>
      <c r="P880" s="61" t="n"/>
      <c r="Q880" s="62" t="n"/>
      <c r="R880" s="61" t="n"/>
    </row>
    <row r="881" ht="15.75" customHeight="1" s="38">
      <c r="A881" s="66" t="inlineStr">
        <is>
          <t>Geomintec SpA</t>
        </is>
      </c>
      <c r="B881" s="66" t="inlineStr">
        <is>
          <t>Software de Mapeo Geológico</t>
        </is>
      </c>
      <c r="C881" s="66" t="inlineStr">
        <is>
          <t>Rancagua</t>
        </is>
      </c>
      <c r="D881" s="66" t="inlineStr">
        <is>
          <t>contacto@geomintec.cl</t>
        </is>
      </c>
      <c r="E881" s="66" t="inlineStr">
        <is>
          <t>(56) 9 6658 9955</t>
        </is>
      </c>
      <c r="F881" s="66" t="n"/>
      <c r="G881" s="66" t="n"/>
      <c r="H881" s="66" t="n"/>
      <c r="I881" s="66" t="inlineStr">
        <is>
          <t>76279822-0</t>
        </is>
      </c>
      <c r="J881" s="66" t="n"/>
      <c r="K881" s="66" t="inlineStr">
        <is>
          <t>Ventas: PEQUEÑA 3 (10.000 - 25.000 UF) | Empleados: 4</t>
        </is>
      </c>
      <c r="L881" s="61" t="n"/>
      <c r="M881" s="61" t="n"/>
      <c r="N881" s="61" t="n"/>
      <c r="O881" s="61" t="n"/>
      <c r="P881" s="61" t="n"/>
      <c r="Q881" s="62" t="n"/>
      <c r="R881" s="61" t="n"/>
    </row>
    <row r="882" ht="15.75" customHeight="1" s="38">
      <c r="A882" s="66" t="inlineStr">
        <is>
          <t>Georock S.A.</t>
        </is>
      </c>
      <c r="B882" s="66" t="inlineStr">
        <is>
          <t>Preacondicionamiento de Macizos Rocosos</t>
        </is>
      </c>
      <c r="C882" s="66" t="inlineStr">
        <is>
          <t>Santiago</t>
        </is>
      </c>
      <c r="D882" s="66" t="n"/>
      <c r="E882" s="66" t="inlineStr">
        <is>
          <t>(56) 2 2208 1615</t>
        </is>
      </c>
      <c r="F882" s="66" t="inlineStr">
        <is>
          <t>Gerente de TI / CIO (Director de Tecnología)</t>
        </is>
      </c>
      <c r="G882" s="66" t="n"/>
      <c r="H882" s="66" t="n"/>
      <c r="I882" s="66" t="inlineStr">
        <is>
          <t>77.842.840-7</t>
        </is>
      </c>
      <c r="J882" s="66" t="n"/>
      <c r="K882" s="66" t="inlineStr">
        <is>
          <t>Ventas: GRANDE 4 (Mas de 1.000.000 UF) | Empleados: 698</t>
        </is>
      </c>
      <c r="L882" s="61" t="n"/>
      <c r="M882" s="61" t="n"/>
      <c r="N882" s="61" t="n"/>
      <c r="O882" s="61" t="n"/>
      <c r="P882" s="61" t="n"/>
      <c r="Q882" s="62" t="n"/>
      <c r="R882" s="61" t="n"/>
    </row>
    <row r="883" ht="15.75" customHeight="1" s="38">
      <c r="A883" s="66" t="inlineStr">
        <is>
          <t>Geosupply</t>
        </is>
      </c>
      <c r="B883" s="66" t="inlineStr">
        <is>
          <t>Equipos de Perforación, Sondajes</t>
        </is>
      </c>
      <c r="C883" s="66" t="inlineStr">
        <is>
          <t>La Serena</t>
        </is>
      </c>
      <c r="D883" s="66" t="inlineStr">
        <is>
          <t>geosupply@123.cl</t>
        </is>
      </c>
      <c r="E883" s="66" t="inlineStr">
        <is>
          <t>(56) 51 257 8749</t>
        </is>
      </c>
      <c r="F883" s="66" t="n"/>
      <c r="G883" s="66" t="n"/>
      <c r="H883" s="66" t="n"/>
      <c r="I883" s="66" t="inlineStr">
        <is>
          <t>77035077-8</t>
        </is>
      </c>
      <c r="J883" s="66" t="n"/>
      <c r="K883" s="66" t="inlineStr">
        <is>
          <t>Ventas: MICRO 1 (0.01 - 200 UF) | Empleados: 0</t>
        </is>
      </c>
      <c r="L883" s="61" t="n"/>
      <c r="M883" s="61" t="n"/>
      <c r="N883" s="61" t="n"/>
      <c r="O883" s="61" t="n"/>
      <c r="P883" s="61" t="n"/>
      <c r="Q883" s="62" t="n"/>
      <c r="R883" s="61" t="n"/>
    </row>
    <row r="884" ht="15.75" customHeight="1" s="38">
      <c r="A884" s="66" t="inlineStr">
        <is>
          <t>Geotec Boyles Bros S.A.</t>
        </is>
      </c>
      <c r="B884" s="66" t="inlineStr">
        <is>
          <t>Construcción de Pozos Profundos</t>
        </is>
      </c>
      <c r="C884" s="66" t="inlineStr">
        <is>
          <t>Santiago</t>
        </is>
      </c>
      <c r="D884" s="66" t="inlineStr">
        <is>
          <t>geotec@geotec.cl</t>
        </is>
      </c>
      <c r="E884" s="66" t="inlineStr">
        <is>
          <t>(56) 2 2620 7700</t>
        </is>
      </c>
      <c r="F884" s="66" t="n"/>
      <c r="G884" s="66" t="n"/>
      <c r="H884" s="66" t="n"/>
      <c r="I884" s="66" t="inlineStr">
        <is>
          <t>93.545.000-4</t>
        </is>
      </c>
      <c r="J884" s="66" t="n"/>
      <c r="K884" s="66" t="inlineStr">
        <is>
          <t>Ventas: GRANDE (Estimado por Empleados) | Empleados: 2318</t>
        </is>
      </c>
      <c r="L884" s="61" t="n"/>
      <c r="M884" s="61" t="n"/>
      <c r="N884" s="61" t="n"/>
      <c r="O884" s="61" t="n"/>
      <c r="P884" s="61" t="n"/>
      <c r="Q884" s="62" t="n"/>
      <c r="R884" s="61" t="n"/>
    </row>
    <row r="885" ht="15.75" customHeight="1" s="38">
      <c r="A885" s="66" t="inlineStr">
        <is>
          <t>Geoterra Ltda.</t>
        </is>
      </c>
      <c r="B885" s="66" t="inlineStr">
        <is>
          <t>Construcción de Caminos</t>
        </is>
      </c>
      <c r="C885" s="66" t="inlineStr">
        <is>
          <t>Santiago</t>
        </is>
      </c>
      <c r="D885" s="66" t="inlineStr">
        <is>
          <t>geoterra@geoterra.cl</t>
        </is>
      </c>
      <c r="E885" s="66" t="inlineStr">
        <is>
          <t>(56) 9 9793 9353</t>
        </is>
      </c>
      <c r="F885" s="66" t="n"/>
      <c r="G885" s="66" t="n"/>
      <c r="H885" s="66" t="n"/>
      <c r="I885" s="66" t="inlineStr">
        <is>
          <t>77.741.180-2</t>
        </is>
      </c>
      <c r="J885" s="66" t="n"/>
      <c r="K885" s="66" t="inlineStr">
        <is>
          <t>Ventas: MICRO 1 (0.01 - 200 UF) | Empleados: 0</t>
        </is>
      </c>
      <c r="L885" s="61" t="n"/>
      <c r="M885" s="61" t="n"/>
      <c r="N885" s="61" t="n"/>
      <c r="O885" s="61" t="n"/>
      <c r="P885" s="61" t="n"/>
      <c r="Q885" s="62" t="n"/>
      <c r="R885" s="61" t="n"/>
    </row>
    <row r="886" ht="15.75" customHeight="1" s="38">
      <c r="A886" s="66" t="inlineStr">
        <is>
          <t>Geovita S.A.</t>
        </is>
      </c>
      <c r="B886" s="66" t="inlineStr">
        <is>
          <t>Construcción de Obras para Minería Subterránea</t>
        </is>
      </c>
      <c r="C886" s="66" t="inlineStr">
        <is>
          <t>Santiago</t>
        </is>
      </c>
      <c r="D886" s="66" t="inlineStr">
        <is>
          <t>contacto@geovita.cl</t>
        </is>
      </c>
      <c r="E886" s="66" t="inlineStr">
        <is>
          <t>(56) 2 2902 0699</t>
        </is>
      </c>
      <c r="F886" s="66" t="n"/>
      <c r="G886" s="66" t="n"/>
      <c r="H886" s="66" t="n"/>
      <c r="I886" s="66" t="inlineStr">
        <is>
          <t>96.557.400-K</t>
        </is>
      </c>
      <c r="J886" s="66" t="n"/>
      <c r="K886" s="66" t="inlineStr">
        <is>
          <t>Ventas: GRANDE (Estimado por Empleados) | Empleados: 2508</t>
        </is>
      </c>
      <c r="L886" s="61" t="n"/>
      <c r="M886" s="61" t="n"/>
      <c r="N886" s="61" t="n"/>
      <c r="O886" s="61" t="n"/>
      <c r="P886" s="61" t="n"/>
      <c r="Q886" s="62" t="n"/>
      <c r="R886" s="61" t="n"/>
    </row>
    <row r="887" ht="15.75" customHeight="1" s="38">
      <c r="A887" s="66" t="inlineStr">
        <is>
          <t>Germancor SpA</t>
        </is>
      </c>
      <c r="B887" s="66" t="inlineStr">
        <is>
          <t>Accesorios para Piping, Anticorrosivos</t>
        </is>
      </c>
      <c r="C887" s="66" t="inlineStr">
        <is>
          <t>Santiago</t>
        </is>
      </c>
      <c r="D887" s="66" t="inlineStr">
        <is>
          <t>s.harillo@germancor.com</t>
        </is>
      </c>
      <c r="E887" s="66" t="inlineStr">
        <is>
          <t>(56) 2 2724 5665</t>
        </is>
      </c>
      <c r="F887" s="66" t="n"/>
      <c r="G887" s="66" t="n"/>
      <c r="H887" s="66" t="n"/>
      <c r="I887" s="66" t="inlineStr">
        <is>
          <t>76.869.140-1</t>
        </is>
      </c>
      <c r="J887" s="66" t="n"/>
      <c r="K887" s="66" t="inlineStr">
        <is>
          <t>Ventas: PEQUEÑA 3 (10.000 - 25.000 UF) | Empleados: 0</t>
        </is>
      </c>
      <c r="L887" s="61" t="n"/>
      <c r="M887" s="61" t="n"/>
      <c r="N887" s="61" t="n"/>
      <c r="O887" s="61" t="n"/>
      <c r="P887" s="61" t="n"/>
      <c r="Q887" s="62" t="n"/>
      <c r="R887" s="61" t="n"/>
    </row>
    <row r="888" ht="15.75" customHeight="1" s="38">
      <c r="A888" s="66" t="inlineStr">
        <is>
          <t>Germania Ltda.</t>
        </is>
      </c>
      <c r="B888" s="66" t="inlineStr">
        <is>
          <t>Artículos para Seguridad</t>
        </is>
      </c>
      <c r="C888" s="66" t="inlineStr">
        <is>
          <t>Santiago</t>
        </is>
      </c>
      <c r="D888" s="66" t="inlineStr">
        <is>
          <t>greighnos@gmail.com</t>
        </is>
      </c>
      <c r="E888" s="66" t="inlineStr">
        <is>
          <t>(56) 2 2621 2403</t>
        </is>
      </c>
      <c r="F888" s="66" t="n"/>
      <c r="G888" s="66" t="n"/>
      <c r="H888" s="66" t="n"/>
      <c r="I888" s="66" t="inlineStr">
        <is>
          <t>77.338.830-K</t>
        </is>
      </c>
      <c r="J888" s="66" t="n"/>
      <c r="K888" s="66" t="inlineStr">
        <is>
          <t>Ventas: PEQUEÑA 2 (5.000 - 10.000 UF) | Empleados: 4</t>
        </is>
      </c>
      <c r="L888" s="61" t="n"/>
      <c r="M888" s="61" t="n"/>
      <c r="N888" s="61" t="n"/>
      <c r="O888" s="61" t="n"/>
      <c r="P888" s="61" t="n"/>
      <c r="Q888" s="62" t="n"/>
      <c r="R888" s="61" t="n"/>
    </row>
    <row r="889" ht="15.75" customHeight="1" s="38">
      <c r="A889" s="66" t="inlineStr">
        <is>
          <t>Gervasi Industrial Ltda.</t>
        </is>
      </c>
      <c r="B889" s="66" t="inlineStr">
        <is>
          <t>Sellos Hidráulicos, Sellos Mecánicos</t>
        </is>
      </c>
      <c r="C889" s="66" t="inlineStr">
        <is>
          <t>Santiago</t>
        </is>
      </c>
      <c r="D889" s="66" t="inlineStr">
        <is>
          <t>comercial@gervasi.cl</t>
        </is>
      </c>
      <c r="E889" s="66" t="inlineStr">
        <is>
          <t>(56) 2 2555 2521</t>
        </is>
      </c>
      <c r="F889" s="66" t="n"/>
      <c r="G889" s="66" t="n"/>
      <c r="H889" s="66" t="n"/>
      <c r="I889" s="66" t="inlineStr">
        <is>
          <t>77.784.620-5</t>
        </is>
      </c>
      <c r="J889" s="66" t="n"/>
      <c r="K889" s="66" t="inlineStr">
        <is>
          <t>Ventas: MEDIANA 1 (25.000 - 50.000 UF) | Empleados: 12</t>
        </is>
      </c>
      <c r="L889" s="61" t="n"/>
      <c r="M889" s="61" t="n"/>
      <c r="N889" s="61" t="n"/>
      <c r="O889" s="61" t="n"/>
      <c r="P889" s="61" t="n"/>
      <c r="Q889" s="62" t="n"/>
      <c r="R889" s="61" t="n"/>
    </row>
    <row r="890" ht="15.75" customHeight="1" s="38">
      <c r="A890" s="66" t="inlineStr">
        <is>
          <t>GES Chile</t>
        </is>
      </c>
      <c r="B890" s="66" t="inlineStr">
        <is>
          <t>Construcción y Servicios para las Industrias Eólica y Solar</t>
        </is>
      </c>
      <c r="C890" s="66" t="inlineStr">
        <is>
          <t>Santiago</t>
        </is>
      </c>
      <c r="D890" s="66" t="inlineStr">
        <is>
          <t>ges@services-ges.com</t>
        </is>
      </c>
      <c r="E890" s="66" t="inlineStr">
        <is>
          <t>(56) 2 2948 4472</t>
        </is>
      </c>
      <c r="F890" s="66" t="n"/>
      <c r="G890" s="66" t="n"/>
      <c r="H890" s="66" t="n"/>
      <c r="I890" s="66" t="inlineStr">
        <is>
          <t>77774805-K</t>
        </is>
      </c>
      <c r="J890" s="66" t="n"/>
      <c r="K890" s="66" t="inlineStr">
        <is>
          <t>Ventas: PEQUEÑA 1 (2.400 - 5.000 UF) | Empleados: 0</t>
        </is>
      </c>
      <c r="L890" s="61" t="n"/>
      <c r="M890" s="61" t="n"/>
      <c r="N890" s="61" t="n"/>
      <c r="O890" s="61" t="n"/>
      <c r="P890" s="61" t="n"/>
      <c r="Q890" s="62" t="n"/>
      <c r="R890" s="61" t="n"/>
    </row>
    <row r="891" ht="15.75" customHeight="1" s="38">
      <c r="A891" s="66" t="inlineStr">
        <is>
          <t>GesEcology Chile Ltda.</t>
        </is>
      </c>
      <c r="B891" s="66" t="inlineStr">
        <is>
          <t>Servicios de Geología y Prospección</t>
        </is>
      </c>
      <c r="C891" s="66" t="inlineStr">
        <is>
          <t>Los Andes</t>
        </is>
      </c>
      <c r="D891" s="66" t="inlineStr">
        <is>
          <t>mariaaguilar@gesecology.com</t>
        </is>
      </c>
      <c r="E891" s="66" t="inlineStr">
        <is>
          <t>(56) 34 240 6308</t>
        </is>
      </c>
      <c r="F891" s="66" t="n"/>
      <c r="G891" s="66" t="n"/>
      <c r="H891" s="66" t="n"/>
      <c r="I891" s="66" t="inlineStr">
        <is>
          <t>76.582.170-3</t>
        </is>
      </c>
      <c r="J891" s="66" t="n"/>
      <c r="K891" s="66" t="inlineStr">
        <is>
          <t>Ventas: MICRO 2 (200 - 600 UF) | Empleados: 0</t>
        </is>
      </c>
      <c r="L891" s="61" t="n"/>
      <c r="M891" s="61" t="n"/>
      <c r="N891" s="61" t="n"/>
      <c r="O891" s="61" t="n"/>
      <c r="P891" s="61" t="n"/>
      <c r="Q891" s="62" t="n"/>
      <c r="R891" s="61" t="n"/>
    </row>
    <row r="892" ht="15.75" customHeight="1" s="38">
      <c r="A892" s="66" t="inlineStr">
        <is>
          <t>Gestam Atacama</t>
        </is>
      </c>
      <c r="B892" s="66" t="inlineStr">
        <is>
          <t>Proveedor Destacado, Asesorías Ambientales, Auditorías Ambientales, Charlas y Capacitaciones, Consultas de Pertinencia Ambiental, Declaraciones de Impacto Ambiental, Tramitación Permisos Sectoriales</t>
        </is>
      </c>
      <c r="C892" s="66" t="inlineStr">
        <is>
          <t>Copiapó</t>
        </is>
      </c>
      <c r="D892" s="66" t="inlineStr">
        <is>
          <t>contacto@gestam.cl</t>
        </is>
      </c>
      <c r="E892" s="66" t="inlineStr">
        <is>
          <t>(56) 9 5158 9721</t>
        </is>
      </c>
      <c r="F892" s="66" t="n"/>
      <c r="G892" s="66" t="n"/>
      <c r="H892" s="66" t="inlineStr">
        <is>
          <t>http://www.gestam.cl</t>
        </is>
      </c>
      <c r="I892" s="66" t="inlineStr">
        <is>
          <t>76.333.186-5</t>
        </is>
      </c>
      <c r="J892" s="66" t="n"/>
      <c r="K892" s="66" t="inlineStr">
        <is>
          <t>Ventas: MEDIANA 1 (25.000 - 50.000 UF) | Empleados: 9</t>
        </is>
      </c>
      <c r="L892" s="61" t="n"/>
      <c r="M892" s="61" t="n"/>
      <c r="N892" s="61" t="n"/>
      <c r="O892" s="61" t="n"/>
      <c r="P892" s="61" t="n"/>
      <c r="Q892" s="62" t="n"/>
      <c r="R892" s="61" t="n"/>
    </row>
    <row r="893" ht="15.75" customHeight="1" s="38">
      <c r="A893" s="59" t="inlineStr">
        <is>
          <t>Gestión Ambiental Consultores S.A.</t>
        </is>
      </c>
      <c r="B893" s="59" t="inlineStr">
        <is>
          <t>Asesorías en Medioambiente</t>
        </is>
      </c>
      <c r="C893" s="59" t="inlineStr">
        <is>
          <t>Santiago</t>
        </is>
      </c>
      <c r="D893" s="59" t="inlineStr">
        <is>
          <t>desarrollo@gac.cl</t>
        </is>
      </c>
      <c r="E893" s="59" t="inlineStr">
        <is>
          <t>(56) 2 2719 5600</t>
        </is>
      </c>
      <c r="F893" s="59" t="inlineStr">
        <is>
          <t>Daniel Maturana (Jefe de TI)</t>
        </is>
      </c>
      <c r="G893" s="59" t="inlineStr">
        <is>
          <t>daturana@gac.cl</t>
        </is>
      </c>
      <c r="H893" s="59" t="n"/>
      <c r="I893" s="59" t="inlineStr">
        <is>
          <t>78.174.910-9</t>
        </is>
      </c>
      <c r="J893" s="59" t="inlineStr">
        <is>
          <t>Investigación en Proceso</t>
        </is>
      </c>
      <c r="K893" s="59" t="inlineStr">
        <is>
          <t>Ventas: GRANDE 3 (600.000 - 1.000.000 UF) | Empleados: 314</t>
        </is>
      </c>
      <c r="L893" s="61" t="n"/>
      <c r="M893" s="61" t="n"/>
      <c r="N893" s="61" t="n"/>
      <c r="O893" s="61" t="n"/>
      <c r="P893" s="61" t="n"/>
      <c r="Q893" s="62" t="n"/>
      <c r="R893" s="61" t="n"/>
    </row>
    <row r="894" ht="15.75" customHeight="1" s="38">
      <c r="A894" s="66" t="inlineStr">
        <is>
          <t>Gestión Inclusiva</t>
        </is>
      </c>
      <c r="B894" s="66" t="inlineStr">
        <is>
          <t>Asesoría y Consultoría para Gestión de Procesos de RRHH con Enfoque de Diversidad, Equidad e Inclusión</t>
        </is>
      </c>
      <c r="C894" s="66" t="inlineStr">
        <is>
          <t>Talagante</t>
        </is>
      </c>
      <c r="D894" s="66" t="inlineStr">
        <is>
          <t>contacto@gestioninclusiva.cl</t>
        </is>
      </c>
      <c r="E894" s="66" t="inlineStr">
        <is>
          <t>(56) 9 9249 6497</t>
        </is>
      </c>
      <c r="F894" s="66" t="n"/>
      <c r="G894" s="66" t="n"/>
      <c r="H894" s="66" t="n"/>
      <c r="I894" s="66" t="inlineStr">
        <is>
          <t>77.725.252-6</t>
        </is>
      </c>
      <c r="J894" s="66" t="n"/>
      <c r="K894" s="66" t="inlineStr">
        <is>
          <t>Ventas: PEQUEÑA 1 (2.400 - 5.000 UF) | Empleados: 1</t>
        </is>
      </c>
      <c r="L894" s="61" t="n"/>
      <c r="M894" s="61" t="n"/>
      <c r="N894" s="61" t="n"/>
      <c r="O894" s="61" t="n"/>
      <c r="P894" s="61" t="n"/>
      <c r="Q894" s="62" t="n"/>
      <c r="R894" s="61" t="n"/>
    </row>
    <row r="895" ht="15.75" customHeight="1" s="38">
      <c r="A895" s="66" t="inlineStr">
        <is>
          <t>GHD S.A.</t>
        </is>
      </c>
      <c r="B895" s="66" t="inlineStr">
        <is>
          <t>Consultoría en Minería</t>
        </is>
      </c>
      <c r="C895" s="66" t="inlineStr">
        <is>
          <t>Santiago</t>
        </is>
      </c>
      <c r="D895" s="66" t="inlineStr">
        <is>
          <t>ghdchile@ghd.com</t>
        </is>
      </c>
      <c r="E895" s="66" t="inlineStr">
        <is>
          <t>(56) 2 2433 5400</t>
        </is>
      </c>
      <c r="F895" s="66" t="inlineStr">
        <is>
          <t>Gerente de TI / CIO (Director de Tecnología)</t>
        </is>
      </c>
      <c r="G895" s="66" t="n"/>
      <c r="H895" s="66" t="n"/>
      <c r="I895" s="66" t="inlineStr">
        <is>
          <t>96.974.000-1</t>
        </is>
      </c>
      <c r="J895" s="66" t="n"/>
      <c r="K895" s="66" t="inlineStr">
        <is>
          <t>Ventas: GRANDE 4 (Mas de 1.000.000 UF) | Empleados: 549</t>
        </is>
      </c>
      <c r="L895" s="61" t="n"/>
      <c r="M895" s="61" t="n"/>
      <c r="N895" s="61" t="n"/>
      <c r="O895" s="61" t="n"/>
      <c r="P895" s="61" t="n"/>
      <c r="Q895" s="62" t="n"/>
      <c r="R895" s="61" t="n"/>
    </row>
    <row r="896" ht="15.75" customHeight="1" s="38">
      <c r="A896" s="66" t="inlineStr">
        <is>
          <t>Gimo</t>
        </is>
      </c>
      <c r="B896" s="66" t="inlineStr">
        <is>
          <t>Administración de Activos, Servicios Tecnológicos para Continuidad Operacional</t>
        </is>
      </c>
      <c r="C896" s="66" t="inlineStr">
        <is>
          <t>Santiago</t>
        </is>
      </c>
      <c r="D896" s="66" t="inlineStr">
        <is>
          <t>contacto@gimo.cl</t>
        </is>
      </c>
      <c r="E896" s="66" t="inlineStr">
        <is>
          <t>(56) 9 7861 8340</t>
        </is>
      </c>
      <c r="F896" s="66" t="n"/>
      <c r="G896" s="66" t="n"/>
      <c r="H896" s="66" t="n"/>
      <c r="I896" s="66" t="inlineStr">
        <is>
          <t>78030052-3</t>
        </is>
      </c>
      <c r="J896" s="66" t="n"/>
      <c r="K896" s="66" t="inlineStr">
        <is>
          <t>Ventas: MICRO 1 (0.01 - 200 UF) | Empleados: 0</t>
        </is>
      </c>
      <c r="L896" s="61" t="n"/>
      <c r="M896" s="61" t="n"/>
      <c r="N896" s="61" t="n"/>
      <c r="O896" s="61" t="n"/>
      <c r="P896" s="61" t="n"/>
      <c r="Q896" s="62" t="n"/>
      <c r="R896" s="61" t="n"/>
    </row>
    <row r="897" ht="15.75" customHeight="1" s="38">
      <c r="A897" s="59" t="inlineStr">
        <is>
          <t>GL Group</t>
        </is>
      </c>
      <c r="B897" s="59" t="inlineStr">
        <is>
          <t>Circuitos Cerrados de Televisión (CCTV)</t>
        </is>
      </c>
      <c r="C897" s="59" t="inlineStr">
        <is>
          <t>Santiago</t>
        </is>
      </c>
      <c r="D897" s="59" t="inlineStr">
        <is>
          <t>ventas@glgroup.cl</t>
        </is>
      </c>
      <c r="E897" s="59" t="inlineStr">
        <is>
          <t>(56) 2 2629 2222</t>
        </is>
      </c>
      <c r="F897" s="59" t="inlineStr">
        <is>
          <t>Luis Caravello (Gerente Operaciones)</t>
        </is>
      </c>
      <c r="G897" s="59" t="n"/>
      <c r="H897" s="59" t="n"/>
      <c r="I897" s="59" t="inlineStr">
        <is>
          <t>77.375.090-4</t>
        </is>
      </c>
      <c r="J897" s="59" t="inlineStr">
        <is>
          <t>Tecnología RFID &amp; Transf. Digital Retail</t>
        </is>
      </c>
      <c r="K897" s="59" t="inlineStr">
        <is>
          <t>Ventas: GRANDE 2 (200.000 - 600.000 UF) | Empleados: 68</t>
        </is>
      </c>
      <c r="L897" s="61" t="n"/>
      <c r="M897" s="61" t="n"/>
      <c r="N897" s="61" t="n"/>
      <c r="O897" s="61" t="n"/>
      <c r="P897" s="61" t="n"/>
      <c r="Q897" s="62" t="n"/>
      <c r="R897" s="61" t="n"/>
    </row>
    <row r="898" ht="15.75" customHeight="1" s="38">
      <c r="A898" s="66" t="inlineStr">
        <is>
          <t>Glencore Chile</t>
        </is>
      </c>
      <c r="B898" s="66" t="inlineStr">
        <is>
          <t>Acido Sulfúrico, Anodos de Cobre, Cátodos de Cobre</t>
        </is>
      </c>
      <c r="C898" s="66" t="inlineStr">
        <is>
          <t>Santiago</t>
        </is>
      </c>
      <c r="D898" s="66" t="inlineStr">
        <is>
          <t>andrea.lobos@glencore.cl</t>
        </is>
      </c>
      <c r="E898" s="66" t="inlineStr">
        <is>
          <t>(56) 2 2342 9000</t>
        </is>
      </c>
      <c r="F898" s="66" t="inlineStr">
        <is>
          <t>Javier Zamudio (Regional IT Leader)</t>
        </is>
      </c>
      <c r="G898" s="66" t="n"/>
      <c r="H898" s="66" t="n"/>
      <c r="I898" s="66" t="inlineStr">
        <is>
          <t>76.821.240-6</t>
        </is>
      </c>
      <c r="J898" s="66" t="inlineStr">
        <is>
          <t>Digitalización Operacional Mina</t>
        </is>
      </c>
      <c r="K898" s="66" t="inlineStr">
        <is>
          <t>Ventas: PEQUEÑA (Estimado por Empleados) | Empleados: 50</t>
        </is>
      </c>
      <c r="L898" s="61" t="n"/>
      <c r="M898" s="61" t="n"/>
      <c r="N898" s="61" t="n"/>
      <c r="O898" s="61" t="n"/>
      <c r="P898" s="61" t="n"/>
      <c r="Q898" s="62" t="n"/>
      <c r="R898" s="61" t="n"/>
    </row>
    <row r="899" ht="15.75" customHeight="1" s="38">
      <c r="A899" s="66" t="inlineStr">
        <is>
          <t>Global Solution SMC</t>
        </is>
      </c>
      <c r="B899" s="66" t="inlineStr">
        <is>
          <t>Soportes Extralivianos para Equipos de Alto Tonelaje, Supresores de Polvo</t>
        </is>
      </c>
      <c r="C899" s="66" t="inlineStr">
        <is>
          <t>Santiago</t>
        </is>
      </c>
      <c r="D899" s="66" t="inlineStr">
        <is>
          <t>info@globalsolutionsmc.com</t>
        </is>
      </c>
      <c r="E899" s="66" t="inlineStr">
        <is>
          <t>(56) 2 3263 2965</t>
        </is>
      </c>
      <c r="F899" s="66" t="n"/>
      <c r="G899" s="66" t="n"/>
      <c r="H899" s="66" t="n"/>
      <c r="I899" s="66" t="inlineStr">
        <is>
          <t>76.302.777-5</t>
        </is>
      </c>
      <c r="J899" s="66" t="n"/>
      <c r="K899" s="66" t="inlineStr">
        <is>
          <t>Ventas: GRANDE 1 (100.000 - 200.000 UF) | Empleados: 9</t>
        </is>
      </c>
      <c r="L899" s="61" t="n"/>
      <c r="M899" s="61" t="n"/>
      <c r="N899" s="61" t="n"/>
      <c r="O899" s="61" t="n"/>
      <c r="P899" s="61" t="n"/>
      <c r="Q899" s="62" t="n"/>
      <c r="R899" s="61" t="n"/>
    </row>
    <row r="900" ht="15.75" customHeight="1" s="38">
      <c r="A900" s="66" t="inlineStr">
        <is>
          <t>Globalflex</t>
        </is>
      </c>
      <c r="B900" s="66" t="inlineStr">
        <is>
          <t>Reparaciones en Frío, Revestimientos Industriales</t>
        </is>
      </c>
      <c r="C900" s="66" t="inlineStr">
        <is>
          <t>Santiago</t>
        </is>
      </c>
      <c r="D900" s="66" t="inlineStr">
        <is>
          <t>globalflex@globalflex.com</t>
        </is>
      </c>
      <c r="E900" s="66" t="inlineStr">
        <is>
          <t>(56) 9 7742 7677</t>
        </is>
      </c>
      <c r="F900" s="66" t="n"/>
      <c r="G900" s="66" t="n"/>
      <c r="H900" s="66" t="n"/>
      <c r="I900" s="66" t="inlineStr">
        <is>
          <t>76248478-1</t>
        </is>
      </c>
      <c r="J900" s="66" t="n"/>
      <c r="K900" s="66" t="inlineStr">
        <is>
          <t>Ventas: GRANDE 2 (200.000 - 600.000 UF) | Empleados: 3</t>
        </is>
      </c>
      <c r="L900" s="61" t="n"/>
      <c r="M900" s="61" t="n"/>
      <c r="N900" s="61" t="n"/>
      <c r="O900" s="61" t="n"/>
      <c r="P900" s="61" t="n"/>
      <c r="Q900" s="62" t="n"/>
      <c r="R900" s="61" t="n"/>
    </row>
    <row r="901" ht="15.75" customHeight="1" s="38">
      <c r="A901" s="66" t="inlineStr">
        <is>
          <t>Globtek Ltda.</t>
        </is>
      </c>
      <c r="B901" s="66" t="inlineStr">
        <is>
          <t>Productos para Protección de la Piel</t>
        </is>
      </c>
      <c r="C901" s="66" t="inlineStr">
        <is>
          <t>Santiago</t>
        </is>
      </c>
      <c r="D901" s="66" t="inlineStr">
        <is>
          <t>ventas@globtek.cl</t>
        </is>
      </c>
      <c r="E901" s="66" t="inlineStr">
        <is>
          <t>(56) 2 2616 3940</t>
        </is>
      </c>
      <c r="F901" s="66" t="n"/>
      <c r="G901" s="66" t="n"/>
      <c r="H901" s="66" t="n"/>
      <c r="I901" s="66" t="inlineStr">
        <is>
          <t>76.005.880-7</t>
        </is>
      </c>
      <c r="J901" s="66" t="n"/>
      <c r="K901" s="66" t="inlineStr">
        <is>
          <t>Ventas: PEQUEÑA 3 (10.000 - 25.000 UF) | Empleados: 3</t>
        </is>
      </c>
      <c r="L901" s="61" t="n"/>
      <c r="M901" s="61" t="n"/>
      <c r="N901" s="61" t="n"/>
      <c r="O901" s="61" t="n"/>
      <c r="P901" s="61" t="n"/>
      <c r="Q901" s="62" t="n"/>
      <c r="R901" s="61" t="n"/>
    </row>
    <row r="902" ht="15.75" customHeight="1" s="38">
      <c r="A902" s="66" t="inlineStr">
        <is>
          <t>Goldwind Chile SpA</t>
        </is>
      </c>
      <c r="B902" s="66" t="inlineStr">
        <is>
          <t>Aerogeneradores</t>
        </is>
      </c>
      <c r="C902" s="66" t="inlineStr">
        <is>
          <t>Santiago</t>
        </is>
      </c>
      <c r="D902" s="66" t="inlineStr">
        <is>
          <t>liyang@goldwind.com.cn</t>
        </is>
      </c>
      <c r="E902" s="66" t="inlineStr">
        <is>
          <t>(56) 2 2940 2323</t>
        </is>
      </c>
      <c r="F902" s="66" t="n"/>
      <c r="G902" s="66" t="n"/>
      <c r="H902" s="66" t="n"/>
      <c r="I902" s="66" t="inlineStr">
        <is>
          <t>76.296.011-7</t>
        </is>
      </c>
      <c r="J902" s="66" t="n"/>
      <c r="K902" s="66" t="inlineStr">
        <is>
          <t>Ventas: MEDIANA (Estimado por Empleados) | Empleados: 72</t>
        </is>
      </c>
      <c r="L902" s="61" t="n"/>
      <c r="M902" s="61" t="n"/>
      <c r="N902" s="61" t="n"/>
      <c r="O902" s="61" t="n"/>
      <c r="P902" s="61" t="n"/>
      <c r="Q902" s="62" t="n"/>
      <c r="R902" s="61" t="n"/>
    </row>
    <row r="903" ht="15.75" customHeight="1" s="38">
      <c r="A903" s="66" t="inlineStr">
        <is>
          <t>Gomas José Reyes e Hijos Ltda.</t>
        </is>
      </c>
      <c r="B903" s="66" t="inlineStr">
        <is>
          <t>Artículos de Goma, Productos de Goma</t>
        </is>
      </c>
      <c r="C903" s="66" t="inlineStr">
        <is>
          <t>Santiago</t>
        </is>
      </c>
      <c r="D903" s="66" t="inlineStr">
        <is>
          <t>ventas@gomasjr.com</t>
        </is>
      </c>
      <c r="E903" s="66" t="inlineStr">
        <is>
          <t>(56) 2 2357 2645</t>
        </is>
      </c>
      <c r="F903" s="66" t="n"/>
      <c r="G903" s="66" t="n"/>
      <c r="H903" s="66" t="n"/>
      <c r="I903" s="66" t="inlineStr">
        <is>
          <t>76.831.960-K</t>
        </is>
      </c>
      <c r="J903" s="66" t="n"/>
      <c r="K903" s="66" t="inlineStr">
        <is>
          <t>Ventas: PEQUEÑA 3 (10.000 - 25.000 UF) | Empleados: 0</t>
        </is>
      </c>
      <c r="L903" s="61" t="n"/>
      <c r="M903" s="61" t="n"/>
      <c r="N903" s="61" t="n"/>
      <c r="O903" s="61" t="n"/>
      <c r="P903" s="61" t="n"/>
      <c r="Q903" s="62" t="n"/>
      <c r="R903" s="61" t="n"/>
    </row>
    <row r="904" ht="15.75" customHeight="1" s="38">
      <c r="A904" s="66" t="inlineStr">
        <is>
          <t>Gomas Monserrat Ltda.</t>
        </is>
      </c>
      <c r="B904" s="66" t="inlineStr">
        <is>
          <t>Artículos de Goma</t>
        </is>
      </c>
      <c r="C904" s="66" t="inlineStr">
        <is>
          <t>Santiago</t>
        </is>
      </c>
      <c r="D904" s="66" t="inlineStr">
        <is>
          <t>ventas@gomasmonserrat.cl</t>
        </is>
      </c>
      <c r="E904" s="66" t="inlineStr">
        <is>
          <t>(56) 2 2555 7400</t>
        </is>
      </c>
      <c r="F904" s="66" t="n"/>
      <c r="G904" s="66" t="n"/>
      <c r="H904" s="66" t="n"/>
      <c r="I904" s="66" t="inlineStr">
        <is>
          <t>77.253.910-K</t>
        </is>
      </c>
      <c r="J904" s="66" t="n"/>
      <c r="K904" s="66" t="inlineStr">
        <is>
          <t>Ventas: MEDIANA 1 (25.000 - 50.000 UF) | Empleados: 7</t>
        </is>
      </c>
      <c r="L904" s="61" t="n"/>
      <c r="M904" s="61" t="n"/>
      <c r="N904" s="61" t="n"/>
      <c r="O904" s="61" t="n"/>
      <c r="P904" s="61" t="n"/>
      <c r="Q904" s="62" t="n"/>
      <c r="R904" s="61" t="n"/>
    </row>
    <row r="905" ht="15.75" customHeight="1" s="38">
      <c r="A905" s="66" t="inlineStr">
        <is>
          <t>Goren Ltda.</t>
        </is>
      </c>
      <c r="B905" s="66" t="inlineStr">
        <is>
          <t>Remolques, Semiremolques</t>
        </is>
      </c>
      <c r="C905" s="66" t="inlineStr">
        <is>
          <t>Santiago</t>
        </is>
      </c>
      <c r="D905" s="66" t="inlineStr">
        <is>
          <t>info@goren.cl</t>
        </is>
      </c>
      <c r="E905" s="66" t="inlineStr">
        <is>
          <t>(56) 2 2745 3610</t>
        </is>
      </c>
      <c r="F905" s="66" t="inlineStr">
        <is>
          <t>Gerente de TI / CIO (Director de Tecnología)</t>
        </is>
      </c>
      <c r="G905" s="66" t="n"/>
      <c r="H905" s="66" t="n"/>
      <c r="I905" s="66" t="inlineStr">
        <is>
          <t>77.461.660-8</t>
        </is>
      </c>
      <c r="J905" s="66" t="n"/>
      <c r="K905" s="66" t="inlineStr">
        <is>
          <t>Ventas: GRANDE 3 (600.000 - 1.000.000 UF) | Empleados: 24</t>
        </is>
      </c>
      <c r="L905" s="61" t="n"/>
      <c r="M905" s="61" t="n"/>
      <c r="N905" s="61" t="n"/>
      <c r="O905" s="61" t="n"/>
      <c r="P905" s="61" t="n"/>
      <c r="Q905" s="62" t="n"/>
      <c r="R905" s="61" t="n"/>
    </row>
    <row r="906" ht="15.75" customHeight="1" s="38">
      <c r="A906" s="66" t="inlineStr">
        <is>
          <t>GPG Chile</t>
        </is>
      </c>
      <c r="B906" s="66" t="inlineStr">
        <is>
          <t>Energía Solar Fotovoltaica</t>
        </is>
      </c>
      <c r="C906" s="66" t="inlineStr">
        <is>
          <t>Santiago</t>
        </is>
      </c>
      <c r="D906" s="66" t="n"/>
      <c r="E906" s="66" t="inlineStr">
        <is>
          <t>(56) 2 2680 7198</t>
        </is>
      </c>
      <c r="F906" s="66" t="n"/>
      <c r="G906" s="66" t="n"/>
      <c r="H906" s="66" t="n"/>
      <c r="I906" s="66" t="inlineStr">
        <is>
          <t>77203877-1</t>
        </is>
      </c>
      <c r="J906" s="66" t="n"/>
      <c r="K906" s="66" t="inlineStr">
        <is>
          <t>Ventas: MICRO 1 (0.01 - 200 UF) | Empleados: 0</t>
        </is>
      </c>
      <c r="L906" s="61" t="n"/>
      <c r="M906" s="61" t="n"/>
      <c r="N906" s="61" t="n"/>
      <c r="O906" s="61" t="n"/>
      <c r="P906" s="61" t="n"/>
      <c r="Q906" s="62" t="n"/>
      <c r="R906" s="61" t="n"/>
    </row>
    <row r="907" ht="15.75" customHeight="1" s="38">
      <c r="A907" s="59" t="inlineStr">
        <is>
          <t>GPS Chile SpA</t>
        </is>
      </c>
      <c r="B907" s="59" t="inlineStr">
        <is>
          <t>Dispositivos para Control de Conducción de Vehículos, Plataformas GPS para Control y Gestión</t>
        </is>
      </c>
      <c r="C907" s="59" t="inlineStr">
        <is>
          <t>Santiago</t>
        </is>
      </c>
      <c r="D907" s="59" t="inlineStr">
        <is>
          <t>clientes@gpschile.com</t>
        </is>
      </c>
      <c r="E907" s="59" t="inlineStr">
        <is>
          <t>(56) 2 2940 4911</t>
        </is>
      </c>
      <c r="F907" s="59" t="inlineStr">
        <is>
          <t>Tomás Gantes (Gte Innovación y Producto)</t>
        </is>
      </c>
      <c r="G907" s="59" t="inlineStr">
        <is>
          <t>tgantes@gpschile.com</t>
        </is>
      </c>
      <c r="H907" s="59" t="n"/>
      <c r="I907" s="59" t="inlineStr">
        <is>
          <t>96.941.960-2</t>
        </is>
      </c>
      <c r="J907" s="59" t="inlineStr">
        <is>
          <t>Investigación en Proceso</t>
        </is>
      </c>
      <c r="K907" s="59" t="inlineStr">
        <is>
          <t>Ventas: GRANDE 3 (600.000 - 1.000.000 UF) | Empleados: 152</t>
        </is>
      </c>
      <c r="L907" s="61" t="n"/>
      <c r="M907" s="61" t="n"/>
      <c r="N907" s="61" t="n"/>
      <c r="O907" s="61" t="n"/>
      <c r="P907" s="61" t="n"/>
      <c r="Q907" s="62" t="n"/>
      <c r="R907" s="61" t="n"/>
    </row>
    <row r="908" ht="15.75" customHeight="1" s="38">
      <c r="A908" s="66" t="inlineStr">
        <is>
          <t>GPS SpA</t>
        </is>
      </c>
      <c r="B908" s="66" t="inlineStr">
        <is>
          <t>Anillas y Ganchos Aislados (Fabricación)</t>
        </is>
      </c>
      <c r="C908" s="66" t="inlineStr">
        <is>
          <t>Antofagasta</t>
        </is>
      </c>
      <c r="D908" s="66" t="inlineStr">
        <is>
          <t>gpssa@gpssa.cl</t>
        </is>
      </c>
      <c r="E908" s="66" t="inlineStr">
        <is>
          <t>(56) 9 9886 9936</t>
        </is>
      </c>
      <c r="F908" s="66" t="n"/>
      <c r="G908" s="66" t="n"/>
      <c r="H908" s="66" t="n"/>
      <c r="I908" s="66" t="inlineStr">
        <is>
          <t>96.944.150-0</t>
        </is>
      </c>
      <c r="J908" s="66" t="n"/>
      <c r="K908" s="66" t="inlineStr">
        <is>
          <t>Ventas: MEDIANA 2 (50.000 - 100.000 UF) | Empleados: 13</t>
        </is>
      </c>
      <c r="L908" s="61" t="n"/>
      <c r="M908" s="61" t="n"/>
      <c r="N908" s="61" t="n"/>
      <c r="O908" s="61" t="n"/>
      <c r="P908" s="61" t="n"/>
      <c r="Q908" s="62" t="n"/>
      <c r="R908" s="61" t="n"/>
    </row>
    <row r="909" ht="15.75" customHeight="1" s="38">
      <c r="A909" s="66" t="inlineStr">
        <is>
          <t>Grafitos Chile</t>
        </is>
      </c>
      <c r="B909" s="66" t="inlineStr">
        <is>
          <t>Barras, Planchas, Bloques de Grafito</t>
        </is>
      </c>
      <c r="C909" s="66" t="inlineStr">
        <is>
          <t>Santiago</t>
        </is>
      </c>
      <c r="D909" s="66" t="inlineStr">
        <is>
          <t>administracion@grafitoschile.cl</t>
        </is>
      </c>
      <c r="E909" s="66" t="inlineStr">
        <is>
          <t>(56) 2 2401 0830</t>
        </is>
      </c>
      <c r="F909" s="66" t="n"/>
      <c r="G909" s="66" t="n"/>
      <c r="H909" s="66" t="n"/>
      <c r="I909" s="66" t="inlineStr">
        <is>
          <t>77.005.942-9</t>
        </is>
      </c>
      <c r="J909" s="66" t="n"/>
      <c r="K909" s="66" t="inlineStr">
        <is>
          <t>Ventas: MICRO 3 (600 - 2.400 UF) | Empleados: 0</t>
        </is>
      </c>
      <c r="L909" s="61" t="n"/>
      <c r="M909" s="61" t="n"/>
      <c r="N909" s="61" t="n"/>
      <c r="O909" s="61" t="n"/>
      <c r="P909" s="61" t="n"/>
      <c r="Q909" s="62" t="n"/>
      <c r="R909" s="61" t="n"/>
    </row>
    <row r="910" ht="15.75" customHeight="1" s="38">
      <c r="A910" s="59" t="inlineStr">
        <is>
          <t>Grafton Recruitment</t>
        </is>
      </c>
      <c r="B910" s="59" t="inlineStr">
        <is>
          <t>Selección y Búsqueda de Personal</t>
        </is>
      </c>
      <c r="C910" s="59" t="inlineStr">
        <is>
          <t>Santiago</t>
        </is>
      </c>
      <c r="D910" s="59" t="inlineStr">
        <is>
          <t>contacto@grafton.cl</t>
        </is>
      </c>
      <c r="E910" s="59" t="inlineStr">
        <is>
          <t>(56) 2 2327 3000</t>
        </is>
      </c>
      <c r="F910" s="59" t="inlineStr">
        <is>
          <t>Marcelo Muñoz (Analista TI)</t>
        </is>
      </c>
      <c r="G910" s="59" t="inlineStr">
        <is>
          <t>marcelo.munoz@grafton.cl</t>
        </is>
      </c>
      <c r="H910" s="59" t="n"/>
      <c r="I910" s="59" t="inlineStr">
        <is>
          <t>96.816.540-2</t>
        </is>
      </c>
      <c r="J910" s="59" t="inlineStr">
        <is>
          <t>Investigación en Proceso</t>
        </is>
      </c>
      <c r="K910" s="59" t="inlineStr">
        <is>
          <t>Ventas: GRANDE 3 (600.000 - 1.000.000 UF) | Empleados: 457</t>
        </is>
      </c>
      <c r="L910" s="61" t="n"/>
      <c r="M910" s="61" t="n"/>
      <c r="N910" s="61" t="n"/>
      <c r="O910" s="61" t="n"/>
      <c r="P910" s="61" t="n"/>
      <c r="Q910" s="62" t="n"/>
      <c r="R910" s="61" t="n"/>
    </row>
    <row r="911" ht="15.75" customHeight="1" s="38">
      <c r="A911" s="59" t="inlineStr">
        <is>
          <t>Grandleasing</t>
        </is>
      </c>
      <c r="B911" s="59" t="inlineStr">
        <is>
          <t>Equipos de Izaje, Vehículos Eléctricos</t>
        </is>
      </c>
      <c r="C911" s="59" t="inlineStr">
        <is>
          <t>Santiago</t>
        </is>
      </c>
      <c r="D911" s="59" t="inlineStr">
        <is>
          <t>contacto@grandleasing.cl</t>
        </is>
      </c>
      <c r="E911" s="59" t="inlineStr">
        <is>
          <t>(56) 9 8239 3092</t>
        </is>
      </c>
      <c r="F911" s="59" t="inlineStr">
        <is>
          <t>Marco Rojas (Jefe de TI)</t>
        </is>
      </c>
      <c r="G911" s="59" t="inlineStr">
        <is>
          <t>mrojas@grandleasing.cl</t>
        </is>
      </c>
      <c r="H911" s="59" t="n"/>
      <c r="I911" s="59" t="inlineStr">
        <is>
          <t>76976580-8</t>
        </is>
      </c>
      <c r="J911" s="59" t="inlineStr">
        <is>
          <t>Estrategia Electromovilidad &amp; Monitoreo Telemático de Flotas</t>
        </is>
      </c>
      <c r="K911" s="59" t="inlineStr">
        <is>
          <t>Ventas: GRANDE 4 (Mas de 1.000.000 UF) | Empleados: 159</t>
        </is>
      </c>
      <c r="L911" s="61" t="n"/>
      <c r="M911" s="61" t="n"/>
      <c r="N911" s="61" t="n"/>
      <c r="O911" s="61" t="n"/>
      <c r="P911" s="61" t="n"/>
      <c r="Q911" s="62" t="n"/>
      <c r="R911" s="61" t="n"/>
    </row>
    <row r="912" ht="15.75" customHeight="1" s="38">
      <c r="A912" s="66" t="inlineStr">
        <is>
          <t>GroundProbe</t>
        </is>
      </c>
      <c r="B912" s="66" t="inlineStr">
        <is>
          <t>Radares para Monitorear Estabilidad de Taludes</t>
        </is>
      </c>
      <c r="C912" s="66" t="inlineStr">
        <is>
          <t>Santiago</t>
        </is>
      </c>
      <c r="D912" s="66" t="inlineStr">
        <is>
          <t>infocl@groundprobe.com</t>
        </is>
      </c>
      <c r="E912" s="66" t="inlineStr">
        <is>
          <t>(56) 2 2586 4200</t>
        </is>
      </c>
      <c r="F912" s="66" t="inlineStr">
        <is>
          <t>Gerente de TI / CIO (Director de Tecnología)</t>
        </is>
      </c>
      <c r="G912" s="66" t="n"/>
      <c r="H912" s="66" t="n"/>
      <c r="I912" s="66" t="inlineStr">
        <is>
          <t>76.497.680-0</t>
        </is>
      </c>
      <c r="J912" s="66" t="n"/>
      <c r="K912" s="66" t="inlineStr">
        <is>
          <t>Ventas: GRANDE 3 (600.000 - 1.000.000 UF) | Empleados: 70</t>
        </is>
      </c>
      <c r="L912" s="61" t="n"/>
      <c r="M912" s="61" t="n"/>
      <c r="N912" s="61" t="n"/>
      <c r="O912" s="61" t="n"/>
      <c r="P912" s="61" t="n"/>
      <c r="Q912" s="62" t="n"/>
      <c r="R912" s="61" t="n"/>
    </row>
    <row r="913" ht="15.75" customHeight="1" s="38">
      <c r="A913" s="66" t="inlineStr">
        <is>
          <t>Growth Steel South America</t>
        </is>
      </c>
      <c r="B913" s="66" t="inlineStr">
        <is>
          <t>Revestimientos para Molinos</t>
        </is>
      </c>
      <c r="C913" s="66" t="inlineStr">
        <is>
          <t>Santiago</t>
        </is>
      </c>
      <c r="D913" s="66" t="inlineStr">
        <is>
          <t>sa.sales@growthsteel.com</t>
        </is>
      </c>
      <c r="E913" s="66" t="inlineStr">
        <is>
          <t>(56) 2 2958 4288</t>
        </is>
      </c>
      <c r="F913" s="66" t="n"/>
      <c r="G913" s="66" t="n"/>
      <c r="H913" s="66" t="n"/>
      <c r="I913" s="66" t="inlineStr">
        <is>
          <t>76.246.973-1</t>
        </is>
      </c>
      <c r="J913" s="66" t="n"/>
      <c r="K913" s="66" t="inlineStr">
        <is>
          <t>Ventas: GRANDE 1 (100.000 - 200.000 UF) | Empleados: 6</t>
        </is>
      </c>
      <c r="L913" s="61" t="n"/>
      <c r="M913" s="61" t="n"/>
      <c r="N913" s="61" t="n"/>
      <c r="O913" s="61" t="n"/>
      <c r="P913" s="61" t="n"/>
      <c r="Q913" s="62" t="n"/>
      <c r="R913" s="61" t="n"/>
    </row>
    <row r="914" ht="15.75" customHeight="1" s="38">
      <c r="A914" s="66" t="inlineStr">
        <is>
          <t>Grupo Air</t>
        </is>
      </c>
      <c r="B914" s="66" t="inlineStr">
        <is>
          <t>Sistemas Colectores de Polvo, Sistemas de Humectación de Carga</t>
        </is>
      </c>
      <c r="C914" s="66" t="inlineStr">
        <is>
          <t>Santiago</t>
        </is>
      </c>
      <c r="D914" s="66" t="inlineStr">
        <is>
          <t>ventas@grupoair.cl</t>
        </is>
      </c>
      <c r="E914" s="66" t="inlineStr">
        <is>
          <t>(56) 2 2525 1198</t>
        </is>
      </c>
      <c r="F914" s="66" t="n"/>
      <c r="G914" s="66" t="n"/>
      <c r="H914" s="66" t="n"/>
      <c r="I914" s="66" t="inlineStr">
        <is>
          <t>76853014-9</t>
        </is>
      </c>
      <c r="J914" s="66" t="n"/>
      <c r="K914" s="66" t="inlineStr">
        <is>
          <t>Ventas: PEQUEÑA 1 (2.400 - 5.000 UF) | Empleados: 12</t>
        </is>
      </c>
      <c r="L914" s="61" t="n"/>
      <c r="M914" s="61" t="n"/>
      <c r="N914" s="61" t="n"/>
      <c r="O914" s="61" t="n"/>
      <c r="P914" s="61" t="n"/>
      <c r="Q914" s="62" t="n"/>
      <c r="R914" s="61" t="n"/>
    </row>
    <row r="915" ht="15.75" customHeight="1" s="38">
      <c r="A915" s="59" t="inlineStr">
        <is>
          <t>Grupo Avanza</t>
        </is>
      </c>
      <c r="B915" s="59" t="inlineStr">
        <is>
          <t>Selección de Personal</t>
        </is>
      </c>
      <c r="C915" s="59" t="inlineStr">
        <is>
          <t>Santiago</t>
        </is>
      </c>
      <c r="D915" s="59" t="inlineStr">
        <is>
          <t>info@grupoavanza.com</t>
        </is>
      </c>
      <c r="E915" s="59" t="inlineStr">
        <is>
          <t>(56) 2 2240 3963</t>
        </is>
      </c>
      <c r="F915" s="59" t="inlineStr">
        <is>
          <t>Carlos Recabarren (Gerente Avanza Tech)</t>
        </is>
      </c>
      <c r="G915" s="59" t="inlineStr">
        <is>
          <t>carlos.recabarren@grupoavanza.cl</t>
        </is>
      </c>
      <c r="H915" s="59" t="n"/>
      <c r="I915" s="59" t="inlineStr">
        <is>
          <t>76008458-1</t>
        </is>
      </c>
      <c r="J915" s="59" t="inlineStr">
        <is>
          <t>Investigación en Proceso</t>
        </is>
      </c>
      <c r="K915" s="59" t="inlineStr">
        <is>
          <t>Ventas: GRANDE 3 (600.000 - 1.000.000 UF) | Empleados: 309</t>
        </is>
      </c>
      <c r="L915" s="61" t="n"/>
      <c r="M915" s="61" t="n"/>
      <c r="N915" s="61" t="n"/>
      <c r="O915" s="61" t="n"/>
      <c r="P915" s="61" t="n"/>
      <c r="Q915" s="62" t="n"/>
      <c r="R915" s="61" t="n"/>
    </row>
    <row r="916" ht="15.75" customHeight="1" s="38">
      <c r="A916" s="66" t="inlineStr">
        <is>
          <t>Grupo AyT</t>
        </is>
      </c>
      <c r="B916" s="66" t="inlineStr">
        <is>
          <t>Analizadores de Gases</t>
        </is>
      </c>
      <c r="C916" s="66" t="inlineStr">
        <is>
          <t>Santiago</t>
        </is>
      </c>
      <c r="D916" s="66" t="inlineStr">
        <is>
          <t>ventas@ayt.cl</t>
        </is>
      </c>
      <c r="E916" s="66" t="inlineStr">
        <is>
          <t>(56) 2 2238 1604</t>
        </is>
      </c>
      <c r="F916" s="66" t="n"/>
      <c r="G916" s="66" t="n"/>
      <c r="H916" s="66" t="n"/>
      <c r="I916" s="66" t="inlineStr">
        <is>
          <t>78.587.910-4</t>
        </is>
      </c>
      <c r="J916" s="66" t="n"/>
      <c r="K916" s="66" t="inlineStr">
        <is>
          <t>Ventas: GRANDE 2 (200.000 - 600.000 UF) | Empleados: 9</t>
        </is>
      </c>
      <c r="L916" s="61" t="n"/>
      <c r="M916" s="61" t="n"/>
      <c r="N916" s="61" t="n"/>
      <c r="O916" s="61" t="n"/>
      <c r="P916" s="61" t="n"/>
      <c r="Q916" s="62" t="n"/>
      <c r="R916" s="61" t="n"/>
    </row>
    <row r="917" ht="15.75" customHeight="1" s="38">
      <c r="A917" s="66" t="inlineStr">
        <is>
          <t>Grupo Cabal Transportes</t>
        </is>
      </c>
      <c r="B917" s="66" t="inlineStr">
        <is>
          <t>Buses Eléctricos, Buses y Taxibuses Diésel, Van Eléctricos</t>
        </is>
      </c>
      <c r="C917" s="66" t="inlineStr">
        <is>
          <t>Santiago</t>
        </is>
      </c>
      <c r="D917" s="66" t="inlineStr">
        <is>
          <t>info@grupocabal.cl</t>
        </is>
      </c>
      <c r="E917" s="66" t="inlineStr">
        <is>
          <t>(56) 2 2499 8900</t>
        </is>
      </c>
      <c r="F917" s="66" t="n"/>
      <c r="G917" s="66" t="n"/>
      <c r="H917" s="66" t="n"/>
      <c r="I917" s="66" t="inlineStr">
        <is>
          <t>96.815.970-4</t>
        </is>
      </c>
      <c r="J917" s="66" t="n"/>
      <c r="K917" s="66" t="inlineStr">
        <is>
          <t>Ventas: PEQUEÑA (Estimado por Empleados) | Empleados: 48</t>
        </is>
      </c>
      <c r="L917" s="61" t="n"/>
      <c r="M917" s="61" t="n"/>
      <c r="N917" s="61" t="n"/>
      <c r="O917" s="61" t="n"/>
      <c r="P917" s="61" t="n"/>
      <c r="Q917" s="62" t="n"/>
      <c r="R917" s="61" t="n"/>
    </row>
    <row r="918" ht="15.75" customHeight="1" s="38">
      <c r="A918" s="66" t="inlineStr">
        <is>
          <t>Grupo Condumex Ltda.</t>
        </is>
      </c>
      <c r="B918" s="66" t="inlineStr">
        <is>
          <t>Conductores Eléctricos</t>
        </is>
      </c>
      <c r="C918" s="66" t="inlineStr">
        <is>
          <t>Santiago</t>
        </is>
      </c>
      <c r="D918" s="66" t="n"/>
      <c r="E918" s="66" t="inlineStr">
        <is>
          <t>(56) 2 2719 6806</t>
        </is>
      </c>
      <c r="F918" s="66" t="inlineStr">
        <is>
          <t>Gerente de TI / CIO (Director de Tecnología)</t>
        </is>
      </c>
      <c r="G918" s="66" t="n"/>
      <c r="H918" s="66" t="n"/>
      <c r="I918" s="66" t="inlineStr">
        <is>
          <t>96.775.240-1</t>
        </is>
      </c>
      <c r="J918" s="66" t="n"/>
      <c r="K918" s="66" t="inlineStr">
        <is>
          <t>Ventas: GRANDE 3 (600.000 - 1.000.000 UF) | Empleados: 14</t>
        </is>
      </c>
      <c r="L918" s="61" t="n"/>
      <c r="M918" s="61" t="n"/>
      <c r="N918" s="61" t="n"/>
      <c r="O918" s="61" t="n"/>
      <c r="P918" s="61" t="n"/>
      <c r="Q918" s="62" t="n"/>
      <c r="R918" s="61" t="n"/>
    </row>
    <row r="919" ht="15.75" customHeight="1" s="38">
      <c r="A919" s="66" t="inlineStr">
        <is>
          <t>Grupo de Empresas Ecsa</t>
        </is>
      </c>
      <c r="B919" s="66" t="inlineStr">
        <is>
          <t>Bolas de Acero Forjado para Molienda, Sellos Mecánicos</t>
        </is>
      </c>
      <c r="C919" s="66" t="inlineStr">
        <is>
          <t>Rancagua</t>
        </is>
      </c>
      <c r="D919" s="66" t="inlineStr">
        <is>
          <t>ventas@grupoecsa.cl</t>
        </is>
      </c>
      <c r="E919" s="66" t="inlineStr">
        <is>
          <t>(56) 72 223 8506</t>
        </is>
      </c>
      <c r="F919" s="66" t="n"/>
      <c r="G919" s="66" t="n"/>
      <c r="H919" s="66" t="n"/>
      <c r="I919" s="66" t="inlineStr">
        <is>
          <t>76.795.130-9</t>
        </is>
      </c>
      <c r="J919" s="66" t="n"/>
      <c r="K919" s="66" t="inlineStr">
        <is>
          <t>Ventas: No en base SII | Empleados: S/I</t>
        </is>
      </c>
      <c r="L919" s="61" t="n"/>
      <c r="M919" s="61" t="n"/>
      <c r="N919" s="61" t="n"/>
      <c r="O919" s="61" t="n"/>
      <c r="P919" s="61" t="n"/>
      <c r="Q919" s="62" t="n"/>
      <c r="R919" s="61" t="n"/>
    </row>
    <row r="920" ht="15.75" customHeight="1" s="38">
      <c r="A920" s="66" t="inlineStr">
        <is>
          <t>Grupo Energy Inversiones SpA</t>
        </is>
      </c>
      <c r="B920" s="66" t="inlineStr">
        <is>
          <t>Energía, Servicios de Ingeniería</t>
        </is>
      </c>
      <c r="C920" s="66" t="inlineStr">
        <is>
          <t>Santiago</t>
        </is>
      </c>
      <c r="D920" s="66" t="inlineStr">
        <is>
          <t>carlos.grandon@grupoenergy.cl</t>
        </is>
      </c>
      <c r="E920" s="66" t="inlineStr">
        <is>
          <t>(56) 9 8811 0312</t>
        </is>
      </c>
      <c r="F920" s="66" t="n"/>
      <c r="G920" s="66" t="n"/>
      <c r="H920" s="66" t="n"/>
      <c r="I920" s="66" t="inlineStr">
        <is>
          <t>76581391-3</t>
        </is>
      </c>
      <c r="J920" s="66" t="n"/>
      <c r="K920" s="66" t="inlineStr">
        <is>
          <t>Ventas: PEQUEÑA 2 (5.000 - 10.000 UF) | Empleados: 16</t>
        </is>
      </c>
      <c r="L920" s="61" t="n"/>
      <c r="M920" s="61" t="n"/>
      <c r="N920" s="61" t="n"/>
      <c r="O920" s="61" t="n"/>
      <c r="P920" s="61" t="n"/>
      <c r="Q920" s="62" t="n"/>
      <c r="R920" s="61" t="n"/>
    </row>
    <row r="921" ht="15.75" customHeight="1" s="38">
      <c r="A921" s="59" t="inlineStr">
        <is>
          <t>Grupo Eulen Chile</t>
        </is>
      </c>
      <c r="B921" s="59" t="inlineStr">
        <is>
          <t>Servicios de Limpieza y Aseo Industrial, Servicios de Seguridad y Vigilancia</t>
        </is>
      </c>
      <c r="C921" s="59" t="inlineStr">
        <is>
          <t>Santiago</t>
        </is>
      </c>
      <c r="D921" s="59" t="inlineStr">
        <is>
          <t>recepcion@eulen.com</t>
        </is>
      </c>
      <c r="E921" s="59" t="inlineStr">
        <is>
          <t>(56) 2 2685 9500</t>
        </is>
      </c>
      <c r="F921" s="59" t="inlineStr">
        <is>
          <t>Pablo Ignacio Flores (Gerente Op. Seg. Electrónica)</t>
        </is>
      </c>
      <c r="G921" s="59" t="n"/>
      <c r="H921" s="59" t="n"/>
      <c r="I921" s="59" t="inlineStr">
        <is>
          <t>96.997.370-7</t>
        </is>
      </c>
      <c r="J921" s="59" t="inlineStr">
        <is>
          <t>Ciberseguridad &amp; IA Seguridad Inteligente</t>
        </is>
      </c>
      <c r="K921" s="59" t="inlineStr">
        <is>
          <t>Ventas: GRANDE 2 (200.000 - 600.000 UF) | Empleados: 169</t>
        </is>
      </c>
      <c r="L921" s="61" t="n"/>
      <c r="M921" s="61" t="n"/>
      <c r="N921" s="61" t="n"/>
      <c r="O921" s="61" t="n"/>
      <c r="P921" s="61" t="n"/>
      <c r="Q921" s="62" t="n"/>
      <c r="R921" s="61" t="n"/>
    </row>
    <row r="922" ht="15.75" customHeight="1" s="38">
      <c r="A922" s="66" t="inlineStr">
        <is>
          <t>Grupo Ibereólica Renovables</t>
        </is>
      </c>
      <c r="B922" s="66" t="inlineStr">
        <is>
          <t>Energías Renovables</t>
        </is>
      </c>
      <c r="C922" s="66" t="inlineStr">
        <is>
          <t>Santiago</t>
        </is>
      </c>
      <c r="D922" s="66" t="inlineStr">
        <is>
          <t>comunicacion@grupoibereolica.com</t>
        </is>
      </c>
      <c r="E922" s="66" t="inlineStr">
        <is>
          <t>(56) 2 2333 3540</t>
        </is>
      </c>
      <c r="F922" s="66" t="inlineStr">
        <is>
          <t>Gerente de TI / CIO (Director de Tecnología)</t>
        </is>
      </c>
      <c r="G922" s="66" t="n"/>
      <c r="H922" s="66" t="n"/>
      <c r="I922" s="66" t="inlineStr">
        <is>
          <t>76.131.562-5</t>
        </is>
      </c>
      <c r="J922" s="66" t="n"/>
      <c r="K922" s="66" t="inlineStr">
        <is>
          <t>Ventas: GRANDE 3 (600.000 - 1.000.000 UF) | Empleados: 4</t>
        </is>
      </c>
      <c r="L922" s="61" t="n"/>
      <c r="M922" s="61" t="n"/>
      <c r="N922" s="61" t="n"/>
      <c r="O922" s="61" t="n"/>
      <c r="P922" s="61" t="n"/>
      <c r="Q922" s="62" t="n"/>
      <c r="R922" s="61" t="n"/>
    </row>
    <row r="923" ht="15.75" customHeight="1" s="38">
      <c r="A923" s="66" t="inlineStr">
        <is>
          <t>Grupo Industrial Norte Sur Ltda.</t>
        </is>
      </c>
      <c r="B923" s="66" t="inlineStr">
        <is>
          <t>Telas</t>
        </is>
      </c>
      <c r="C923" s="66" t="inlineStr">
        <is>
          <t>Santiago</t>
        </is>
      </c>
      <c r="D923" s="66" t="inlineStr">
        <is>
          <t>ventas@huaipesypanos.cl</t>
        </is>
      </c>
      <c r="E923" s="66" t="inlineStr">
        <is>
          <t>(56) 2 2772 4630</t>
        </is>
      </c>
      <c r="F923" s="66" t="n"/>
      <c r="G923" s="66" t="n"/>
      <c r="H923" s="66" t="n"/>
      <c r="I923" s="66" t="inlineStr">
        <is>
          <t>77.882.470-1</t>
        </is>
      </c>
      <c r="J923" s="66" t="n"/>
      <c r="K923" s="66" t="inlineStr">
        <is>
          <t>Ventas: MEDIANA 1 (25.000 - 50.000 UF) | Empleados: 11</t>
        </is>
      </c>
      <c r="L923" s="61" t="n"/>
      <c r="M923" s="61" t="n"/>
      <c r="N923" s="61" t="n"/>
      <c r="O923" s="61" t="n"/>
      <c r="P923" s="61" t="n"/>
      <c r="Q923" s="62" t="n"/>
      <c r="R923" s="61" t="n"/>
    </row>
    <row r="924" ht="15.75" customHeight="1" s="38">
      <c r="A924" s="66" t="inlineStr">
        <is>
          <t>Grupo Laevo</t>
        </is>
      </c>
      <c r="B924" s="66" t="inlineStr">
        <is>
          <t>Tecnología Láser para el Control de Aves, Telemetría de Nivel y Caudal Extraído de Pozos Profundos</t>
        </is>
      </c>
      <c r="C924" s="66" t="inlineStr">
        <is>
          <t>Santiago</t>
        </is>
      </c>
      <c r="D924" s="66" t="inlineStr">
        <is>
          <t>hola@grupolaevo.com</t>
        </is>
      </c>
      <c r="E924" s="66" t="inlineStr">
        <is>
          <t>(56) 9 3469 1736</t>
        </is>
      </c>
      <c r="F924" s="66" t="n"/>
      <c r="G924" s="66" t="n"/>
      <c r="H924" s="66" t="n"/>
      <c r="I924" s="66" t="inlineStr">
        <is>
          <t>76.233.918-8</t>
        </is>
      </c>
      <c r="J924" s="66" t="n"/>
      <c r="K924" s="66" t="inlineStr">
        <is>
          <t>Ventas: MEDIANA 2 (50.000 - 100.000 UF) | Empleados: 7</t>
        </is>
      </c>
      <c r="L924" s="61" t="n"/>
      <c r="M924" s="61" t="n"/>
      <c r="N924" s="61" t="n"/>
      <c r="O924" s="61" t="n"/>
      <c r="P924" s="61" t="n"/>
      <c r="Q924" s="62" t="n"/>
      <c r="R924" s="61" t="n"/>
    </row>
    <row r="925" ht="15.75" customHeight="1" s="38">
      <c r="A925" s="66" t="inlineStr">
        <is>
          <t>Grupo Maker</t>
        </is>
      </c>
      <c r="B925" s="66" t="inlineStr">
        <is>
          <t>Servicios de CCTV, Servicios de Seguridad y Vigilancia</t>
        </is>
      </c>
      <c r="C925" s="66" t="inlineStr">
        <is>
          <t>Santiago</t>
        </is>
      </c>
      <c r="D925" s="66" t="inlineStr">
        <is>
          <t>gavaria@grupomaker.com</t>
        </is>
      </c>
      <c r="E925" s="66" t="inlineStr">
        <is>
          <t>(56) 9 8244 7749</t>
        </is>
      </c>
      <c r="F925" s="66" t="n"/>
      <c r="G925" s="66" t="n"/>
      <c r="H925" s="66" t="n"/>
      <c r="I925" s="66" t="inlineStr">
        <is>
          <t>76.062.049-1</t>
        </is>
      </c>
      <c r="J925" s="66" t="n"/>
      <c r="K925" s="66" t="inlineStr">
        <is>
          <t>Ventas: GRANDE 2 (200.000 - 600.000 UF) | Empleados: 630</t>
        </is>
      </c>
      <c r="L925" s="61" t="n"/>
      <c r="M925" s="61" t="n"/>
      <c r="N925" s="61" t="n"/>
      <c r="O925" s="61" t="n"/>
      <c r="P925" s="61" t="n"/>
      <c r="Q925" s="62" t="n"/>
      <c r="R925" s="61" t="n"/>
    </row>
    <row r="926" ht="15.75" customHeight="1" s="38">
      <c r="A926" s="66" t="inlineStr">
        <is>
          <t>Grupo NTI</t>
        </is>
      </c>
      <c r="B926" s="66" t="inlineStr">
        <is>
          <t>Recubrimientos Anticorrosivos</t>
        </is>
      </c>
      <c r="C926" s="66" t="inlineStr">
        <is>
          <t>Santiago</t>
        </is>
      </c>
      <c r="D926" s="66" t="inlineStr">
        <is>
          <t>info@gruponti.cl</t>
        </is>
      </c>
      <c r="E926" s="66" t="inlineStr">
        <is>
          <t>(56) 2 2993 7602</t>
        </is>
      </c>
      <c r="F926" s="66" t="n"/>
      <c r="G926" s="66" t="n"/>
      <c r="H926" s="66" t="n"/>
      <c r="I926" s="66" t="inlineStr">
        <is>
          <t>76.124.312-8</t>
        </is>
      </c>
      <c r="J926" s="66" t="n"/>
      <c r="K926" s="66" t="inlineStr">
        <is>
          <t>Ventas: GRANDE 1 (100.000 - 200.000 UF) | Empleados: 169</t>
        </is>
      </c>
      <c r="L926" s="61" t="n"/>
      <c r="M926" s="61" t="n"/>
      <c r="N926" s="61" t="n"/>
      <c r="O926" s="61" t="n"/>
      <c r="P926" s="61" t="n"/>
      <c r="Q926" s="62" t="n"/>
      <c r="R926" s="61" t="n"/>
    </row>
    <row r="927" ht="15.75" customHeight="1" s="38">
      <c r="A927" s="66" t="inlineStr">
        <is>
          <t>Grupo Oitec</t>
        </is>
      </c>
      <c r="B927" s="66" t="inlineStr">
        <is>
          <t>Consultoría e Ingeniería para Desarrollo de Proyectos en Medio Ambiente, Proyectos de Ingeniería Hidráulica, Hidrológica y Ecohidráulica, Software para Control de Riesgos en la Conducción de Camiones, Software para Control de Riesgos por Exceso de Velocidad</t>
        </is>
      </c>
      <c r="C927" s="66" t="inlineStr">
        <is>
          <t>Concepción</t>
        </is>
      </c>
      <c r="D927" s="66" t="inlineStr">
        <is>
          <t>oitec@oitec.cl</t>
        </is>
      </c>
      <c r="E927" s="66" t="inlineStr">
        <is>
          <t>(56) 41 222 5381</t>
        </is>
      </c>
      <c r="F927" s="66" t="n"/>
      <c r="G927" s="66" t="n"/>
      <c r="H927" s="66" t="n"/>
      <c r="I927" s="66" t="inlineStr">
        <is>
          <t>76.277.789-4</t>
        </is>
      </c>
      <c r="J927" s="66" t="n"/>
      <c r="K927" s="66" t="inlineStr">
        <is>
          <t>Ventas: GRANDE 1 (100.000 - 200.000 UF) | Empleados: 36</t>
        </is>
      </c>
      <c r="L927" s="61" t="n"/>
      <c r="M927" s="61" t="n"/>
      <c r="N927" s="61" t="n"/>
      <c r="O927" s="61" t="n"/>
      <c r="P927" s="61" t="n"/>
      <c r="Q927" s="62" t="n"/>
      <c r="R927" s="61" t="n"/>
    </row>
    <row r="928" ht="15.75" customHeight="1" s="38">
      <c r="A928" s="66" t="inlineStr">
        <is>
          <t>Grupo Scaf</t>
        </is>
      </c>
      <c r="B928" s="66" t="inlineStr">
        <is>
          <t>Diagnóstico y Plan de Acción de Gestión del Mantenimiento</t>
        </is>
      </c>
      <c r="C928" s="66" t="inlineStr">
        <is>
          <t>Santiago</t>
        </is>
      </c>
      <c r="D928" s="66" t="inlineStr">
        <is>
          <t>iman@scaf.cl</t>
        </is>
      </c>
      <c r="E928" s="66" t="inlineStr">
        <is>
          <t>(56) 2 2204 3506</t>
        </is>
      </c>
      <c r="F928" s="66" t="n"/>
      <c r="G928" s="66" t="n"/>
      <c r="H928" s="66" t="n"/>
      <c r="I928" s="66" t="inlineStr">
        <is>
          <t>76.727.690-7</t>
        </is>
      </c>
      <c r="J928" s="66" t="n"/>
      <c r="K928" s="66" t="inlineStr">
        <is>
          <t>Ventas: GRANDE 1 (100.000 - 200.000 UF) | Empleados: 182</t>
        </is>
      </c>
      <c r="L928" s="61" t="n"/>
      <c r="M928" s="61" t="n"/>
      <c r="N928" s="61" t="n"/>
      <c r="O928" s="61" t="n"/>
      <c r="P928" s="61" t="n"/>
      <c r="Q928" s="62" t="n"/>
      <c r="R928" s="61" t="n"/>
    </row>
    <row r="929" ht="15.75" customHeight="1" s="38">
      <c r="A929" s="66" t="inlineStr">
        <is>
          <t>Grupo SDH</t>
        </is>
      </c>
      <c r="B929" s="66" t="inlineStr">
        <is>
          <t>Asesorías en Recursos Humanos, Selección y Reclutamiento de Ejecutivos y Personal</t>
        </is>
      </c>
      <c r="C929" s="66" t="inlineStr">
        <is>
          <t>Santiago</t>
        </is>
      </c>
      <c r="D929" s="66" t="inlineStr">
        <is>
          <t>contacto@sdh.cl</t>
        </is>
      </c>
      <c r="E929" s="66" t="inlineStr">
        <is>
          <t>(56) 9 8923 3396</t>
        </is>
      </c>
      <c r="F929" s="66" t="n"/>
      <c r="G929" s="66" t="n"/>
      <c r="H929" s="66" t="n"/>
      <c r="I929" s="66" t="inlineStr">
        <is>
          <t>76.090.736-7</t>
        </is>
      </c>
      <c r="J929" s="66" t="n"/>
      <c r="K929" s="66" t="inlineStr">
        <is>
          <t>Ventas: PEQUEÑA 3 (10.000 - 25.000 UF) | Empleados: 5</t>
        </is>
      </c>
      <c r="L929" s="61" t="n"/>
      <c r="M929" s="61" t="n"/>
      <c r="N929" s="61" t="n"/>
      <c r="O929" s="61" t="n"/>
      <c r="P929" s="61" t="n"/>
      <c r="Q929" s="62" t="n"/>
      <c r="R929" s="61" t="n"/>
    </row>
    <row r="930" ht="15.75" customHeight="1" s="38">
      <c r="A930" s="66" t="inlineStr">
        <is>
          <t>Grupo Tus Máquinas</t>
        </is>
      </c>
      <c r="B930" s="66" t="inlineStr">
        <is>
          <t>Proveedor Destacado, Compra y Venta de Maquinarias, Portal para Publicar Máquinas, Software de Gestión de Maquinarias</t>
        </is>
      </c>
      <c r="C930" s="66" t="inlineStr">
        <is>
          <t>Santiago</t>
        </is>
      </c>
      <c r="D930" s="66" t="inlineStr">
        <is>
          <t>contacto@grupotusmaquinas.com</t>
        </is>
      </c>
      <c r="E930" s="66" t="inlineStr">
        <is>
          <t>(56) 9 9479 4952</t>
        </is>
      </c>
      <c r="F930" s="66" t="n"/>
      <c r="G930" s="66" t="n"/>
      <c r="H930" s="66" t="inlineStr">
        <is>
          <t>http://www.grupotusmaquinas.com</t>
        </is>
      </c>
      <c r="I930" s="66" t="inlineStr">
        <is>
          <t>77.012.523-5</t>
        </is>
      </c>
      <c r="J930" s="66" t="n"/>
      <c r="K930" s="66" t="inlineStr">
        <is>
          <t>Ventas: GRANDE 1 (100.000 - 200.000 UF) | Empleados: 26</t>
        </is>
      </c>
      <c r="L930" s="61" t="n"/>
      <c r="M930" s="61" t="n"/>
      <c r="N930" s="61" t="n"/>
      <c r="O930" s="61" t="n"/>
      <c r="P930" s="61" t="n"/>
      <c r="Q930" s="62" t="n"/>
      <c r="R930" s="61" t="n"/>
    </row>
    <row r="931" ht="15.75" customHeight="1" s="38">
      <c r="A931" s="66" t="inlineStr">
        <is>
          <t>Grupo Zeuz</t>
        </is>
      </c>
      <c r="B931" s="66" t="inlineStr">
        <is>
          <t>Control de Acceso Biométrico y Credencial Móvil, Equipos de Intercomunicación IP con Inteligibilidad, Sensores para Prevenir Choques entre Grúas, Vehículos Industriales y Peatones</t>
        </is>
      </c>
      <c r="C931" s="66" t="inlineStr">
        <is>
          <t>Santiago</t>
        </is>
      </c>
      <c r="D931" s="66" t="inlineStr">
        <is>
          <t>info@zeuz.cl</t>
        </is>
      </c>
      <c r="E931" s="66" t="inlineStr">
        <is>
          <t>(56) 2 3300 9230</t>
        </is>
      </c>
      <c r="F931" s="66" t="n"/>
      <c r="G931" s="66" t="n"/>
      <c r="H931" s="66" t="n"/>
      <c r="I931" s="66" t="inlineStr">
        <is>
          <t>76.336.065-2</t>
        </is>
      </c>
      <c r="J931" s="66" t="n"/>
      <c r="K931" s="66" t="inlineStr">
        <is>
          <t>Ventas: MEDIANA 1 (25.000 - 50.000 UF) | Empleados: 6</t>
        </is>
      </c>
      <c r="L931" s="61" t="n"/>
      <c r="M931" s="61" t="n"/>
      <c r="N931" s="61" t="n"/>
      <c r="O931" s="61" t="n"/>
      <c r="P931" s="61" t="n"/>
      <c r="Q931" s="62" t="n"/>
      <c r="R931" s="61" t="n"/>
    </row>
    <row r="932" ht="15.75" customHeight="1" s="38">
      <c r="A932" s="59" t="inlineStr">
        <is>
          <t>Grúas y Equipos Cruz del Sur</t>
        </is>
      </c>
      <c r="B932" s="59" t="inlineStr">
        <is>
          <t>Arriendo de Grúas</t>
        </is>
      </c>
      <c r="C932" s="59" t="inlineStr">
        <is>
          <t>Santiago</t>
        </is>
      </c>
      <c r="D932" s="59" t="inlineStr">
        <is>
          <t>servicioalcliente@gruasyequipos.cl</t>
        </is>
      </c>
      <c r="E932" s="59" t="inlineStr">
        <is>
          <t>(56) 2 2484 2100</t>
        </is>
      </c>
      <c r="F932" s="59" t="inlineStr">
        <is>
          <t>José Andrés Castro Borquez (Gerente TI Corporativo)</t>
        </is>
      </c>
      <c r="G932" s="59" t="inlineStr">
        <is>
          <t>jose.castro@cruzdelsur.cl</t>
        </is>
      </c>
      <c r="H932" s="59" t="n"/>
      <c r="I932" s="59" t="inlineStr">
        <is>
          <t>86.117.800-5</t>
        </is>
      </c>
      <c r="J932" s="59" t="inlineStr">
        <is>
          <t>Investigación en Proceso</t>
        </is>
      </c>
      <c r="K932" s="59" t="inlineStr">
        <is>
          <t>Ventas: GRANDE 3 (600.000 - 1.000.000 UF) | Empleados: 278</t>
        </is>
      </c>
      <c r="L932" s="61" t="n"/>
      <c r="M932" s="61" t="n"/>
      <c r="N932" s="61" t="n"/>
      <c r="O932" s="61" t="n"/>
      <c r="P932" s="61" t="n"/>
      <c r="Q932" s="62" t="n"/>
      <c r="R932" s="61" t="n"/>
    </row>
    <row r="933" ht="15.75" customHeight="1" s="38">
      <c r="A933" s="66" t="inlineStr">
        <is>
          <t>GS Inima Chile</t>
        </is>
      </c>
      <c r="B933" s="66" t="inlineStr">
        <is>
          <t>Plantas Desaladoras, Tratamiento de Aguas Servidas e Industriales</t>
        </is>
      </c>
      <c r="C933" s="66" t="inlineStr">
        <is>
          <t>Santiago</t>
        </is>
      </c>
      <c r="D933" s="66" t="inlineStr">
        <is>
          <t>inima.chile@inima.com</t>
        </is>
      </c>
      <c r="E933" s="66" t="inlineStr">
        <is>
          <t>(56) 2 2869 8086</t>
        </is>
      </c>
      <c r="F933" s="66" t="n"/>
      <c r="G933" s="66" t="n"/>
      <c r="H933" s="66" t="n"/>
      <c r="I933" s="66" t="inlineStr">
        <is>
          <t>76435870-8</t>
        </is>
      </c>
      <c r="J933" s="66" t="n"/>
      <c r="K933" s="66" t="inlineStr">
        <is>
          <t>Ventas: MEDIANA 2 (50.000 - 100.000 UF) | Empleados: 3</t>
        </is>
      </c>
      <c r="L933" s="61" t="n"/>
      <c r="M933" s="61" t="n"/>
      <c r="N933" s="61" t="n"/>
      <c r="O933" s="61" t="n"/>
      <c r="P933" s="61" t="n"/>
      <c r="Q933" s="62" t="n"/>
      <c r="R933" s="61" t="n"/>
    </row>
    <row r="934" ht="15.75" customHeight="1" s="38">
      <c r="A934" s="66" t="inlineStr">
        <is>
          <t>GSP Chile SpA</t>
        </is>
      </c>
      <c r="B934" s="66" t="inlineStr">
        <is>
          <t>Calzado Industrial, Equipos de Protección Personal</t>
        </is>
      </c>
      <c r="C934" s="66" t="inlineStr">
        <is>
          <t>Santiago</t>
        </is>
      </c>
      <c r="D934" s="66" t="inlineStr">
        <is>
          <t>info@gsp-chile.com</t>
        </is>
      </c>
      <c r="E934" s="66" t="inlineStr">
        <is>
          <t>(56) 9 3936 9433</t>
        </is>
      </c>
      <c r="F934" s="66" t="n"/>
      <c r="G934" s="66" t="n"/>
      <c r="H934" s="66" t="n"/>
      <c r="I934" s="66" t="inlineStr">
        <is>
          <t>77107776-5</t>
        </is>
      </c>
      <c r="J934" s="66" t="n"/>
      <c r="K934" s="66" t="inlineStr">
        <is>
          <t>Ventas: MICRO 2 (200 - 600 UF) | Empleados: 0</t>
        </is>
      </c>
      <c r="L934" s="61" t="n"/>
      <c r="M934" s="61" t="n"/>
      <c r="N934" s="61" t="n"/>
      <c r="O934" s="61" t="n"/>
      <c r="P934" s="61" t="n"/>
      <c r="Q934" s="62" t="n"/>
      <c r="R934" s="61" t="n"/>
    </row>
    <row r="935" ht="15.75" customHeight="1" s="38">
      <c r="A935" s="66" t="inlineStr">
        <is>
          <t>GTC Transportes</t>
        </is>
      </c>
      <c r="B935" s="66" t="inlineStr">
        <is>
          <t>Construcción y Administración de Campamentos, Servicios de Transporte y Logística</t>
        </is>
      </c>
      <c r="C935" s="66" t="inlineStr">
        <is>
          <t>Santiago</t>
        </is>
      </c>
      <c r="D935" s="66" t="inlineStr">
        <is>
          <t>yalarcon@empresasgtc.cl</t>
        </is>
      </c>
      <c r="E935" s="66" t="inlineStr">
        <is>
          <t>(56) 9 6909 5635</t>
        </is>
      </c>
      <c r="F935" s="66" t="n"/>
      <c r="G935" s="66" t="n"/>
      <c r="H935" s="66" t="n"/>
      <c r="I935" s="66" t="inlineStr">
        <is>
          <t>76.788.007-3</t>
        </is>
      </c>
      <c r="J935" s="66" t="n"/>
      <c r="K935" s="66" t="inlineStr">
        <is>
          <t>Ventas: GRANDE 2 (200.000 - 600.000 UF) | Empleados: 91</t>
        </is>
      </c>
      <c r="L935" s="61" t="n"/>
      <c r="M935" s="61" t="n"/>
      <c r="N935" s="61" t="n"/>
      <c r="O935" s="61" t="n"/>
      <c r="P935" s="61" t="n"/>
      <c r="Q935" s="62" t="n"/>
      <c r="R935" s="61" t="n"/>
    </row>
    <row r="936" ht="15.75" customHeight="1" s="38">
      <c r="A936" s="66" t="inlineStr">
        <is>
          <t>GTD Teleductos</t>
        </is>
      </c>
      <c r="B936" s="66" t="inlineStr">
        <is>
          <t>Telecomunicaciones</t>
        </is>
      </c>
      <c r="C936" s="66" t="inlineStr">
        <is>
          <t>Santiago</t>
        </is>
      </c>
      <c r="D936" s="66" t="inlineStr">
        <is>
          <t>servicioclientes@grupogtd.com</t>
        </is>
      </c>
      <c r="E936" s="66" t="inlineStr">
        <is>
          <t>600 950 5000</t>
        </is>
      </c>
      <c r="F936" s="66" t="n"/>
      <c r="G936" s="66" t="n"/>
      <c r="H936" s="66" t="n"/>
      <c r="I936" s="66" t="inlineStr">
        <is>
          <t>88.983.600-8</t>
        </is>
      </c>
      <c r="J936" s="66" t="n"/>
      <c r="K936" s="66" t="inlineStr">
        <is>
          <t>Ventas: GRANDE (Estimado por Empleados) | Empleados: 995</t>
        </is>
      </c>
      <c r="L936" s="61" t="n"/>
      <c r="M936" s="61" t="n"/>
      <c r="N936" s="61" t="n"/>
      <c r="O936" s="61" t="n"/>
      <c r="P936" s="61" t="n"/>
      <c r="Q936" s="62" t="n"/>
      <c r="R936" s="61" t="n"/>
    </row>
    <row r="937" ht="15.75" customHeight="1" s="38">
      <c r="A937" s="66" t="inlineStr">
        <is>
          <t>Guiñez Ingeniería Ltda.</t>
        </is>
      </c>
      <c r="B937" s="66" t="inlineStr">
        <is>
          <t>Servicios de Geomensura, Servicios de Ingeniería</t>
        </is>
      </c>
      <c r="C937" s="66" t="inlineStr">
        <is>
          <t>Antofagasta</t>
        </is>
      </c>
      <c r="D937" s="66" t="inlineStr">
        <is>
          <t>contacto@guinezingenieria.cl</t>
        </is>
      </c>
      <c r="E937" s="66" t="inlineStr">
        <is>
          <t>(56) 55 224 4480</t>
        </is>
      </c>
      <c r="F937" s="66" t="n"/>
      <c r="G937" s="66" t="n"/>
      <c r="H937" s="66" t="n"/>
      <c r="I937" s="66" t="inlineStr">
        <is>
          <t>78.152.850-1</t>
        </is>
      </c>
      <c r="J937" s="66" t="n"/>
      <c r="K937" s="66" t="inlineStr">
        <is>
          <t>Ventas: GRANDE (Estimado por Empleados) | Empleados: 1995</t>
        </is>
      </c>
      <c r="L937" s="61" t="n"/>
      <c r="M937" s="61" t="n"/>
      <c r="N937" s="61" t="n"/>
      <c r="O937" s="61" t="n"/>
      <c r="P937" s="61" t="n"/>
      <c r="Q937" s="62" t="n"/>
      <c r="R937" s="61" t="n"/>
    </row>
    <row r="938" ht="15.75" customHeight="1" s="38">
      <c r="A938" s="66" t="inlineStr">
        <is>
          <t>GWE Tubomin S.A.</t>
        </is>
      </c>
      <c r="B938" s="66" t="inlineStr">
        <is>
          <t>Bombas, Diseño y Planificación de Pozos</t>
        </is>
      </c>
      <c r="C938" s="66" t="inlineStr">
        <is>
          <t>Santiago</t>
        </is>
      </c>
      <c r="D938" s="66" t="inlineStr">
        <is>
          <t>tubomin@gwe-tubomin.com</t>
        </is>
      </c>
      <c r="E938" s="66" t="inlineStr">
        <is>
          <t>(56) 2 2678 4000</t>
        </is>
      </c>
      <c r="F938" s="66" t="inlineStr">
        <is>
          <t>Gerente de TI / CIO (Director de Tecnología)</t>
        </is>
      </c>
      <c r="G938" s="66" t="n"/>
      <c r="H938" s="66" t="n"/>
      <c r="I938" s="66" t="inlineStr">
        <is>
          <t>77.265.980-6</t>
        </is>
      </c>
      <c r="J938" s="66" t="n"/>
      <c r="K938" s="66" t="inlineStr">
        <is>
          <t>Ventas: GRANDE 3 (600.000 - 1.000.000 UF) | Empleados: 75</t>
        </is>
      </c>
      <c r="L938" s="61" t="n"/>
      <c r="M938" s="61" t="n"/>
      <c r="N938" s="61" t="n"/>
      <c r="O938" s="61" t="n"/>
      <c r="P938" s="61" t="n"/>
      <c r="Q938" s="62" t="n"/>
      <c r="R938" s="61" t="n"/>
    </row>
    <row r="939" ht="15.75" customHeight="1" s="38">
      <c r="A939" s="66" t="inlineStr">
        <is>
          <t>GYG Thomas Ltda.</t>
        </is>
      </c>
      <c r="B939" s="66" t="inlineStr">
        <is>
          <t>Ropa de Alta Visibilidad, Ropa para Seguridad</t>
        </is>
      </c>
      <c r="C939" s="66" t="inlineStr">
        <is>
          <t>Iquique</t>
        </is>
      </c>
      <c r="D939" s="66" t="inlineStr">
        <is>
          <t>ventas@gygthomas.cl</t>
        </is>
      </c>
      <c r="E939" s="66" t="inlineStr">
        <is>
          <t>(56) 57 242 3907</t>
        </is>
      </c>
      <c r="F939" s="66" t="inlineStr">
        <is>
          <t>Gerente de TI / CIO (Director de Tecnología)</t>
        </is>
      </c>
      <c r="G939" s="66" t="n"/>
      <c r="H939" s="66" t="n"/>
      <c r="I939" s="66" t="inlineStr">
        <is>
          <t>77.646.200-4</t>
        </is>
      </c>
      <c r="J939" s="66" t="n"/>
      <c r="K939" s="66" t="inlineStr">
        <is>
          <t>Ventas: GRANDE 3 (600.000 - 1.000.000 UF) | Empleados: 86</t>
        </is>
      </c>
      <c r="L939" s="61" t="n"/>
      <c r="M939" s="61" t="n"/>
      <c r="N939" s="61" t="n"/>
      <c r="O939" s="61" t="n"/>
      <c r="P939" s="61" t="n"/>
      <c r="Q939" s="62" t="n"/>
      <c r="R939" s="61" t="n"/>
    </row>
    <row r="940" ht="15.75" customHeight="1" s="38">
      <c r="A940" s="66" t="inlineStr">
        <is>
          <t>Gymsa</t>
        </is>
      </c>
      <c r="B940" s="66" t="inlineStr">
        <is>
          <t>Aceros Galvanizados, Canalización Eléctrica</t>
        </is>
      </c>
      <c r="C940" s="66" t="inlineStr">
        <is>
          <t>Santiago</t>
        </is>
      </c>
      <c r="D940" s="66" t="inlineStr">
        <is>
          <t>ventas@gymsa.cl</t>
        </is>
      </c>
      <c r="E940" s="66" t="inlineStr">
        <is>
          <t>(56) 2 2790 1900</t>
        </is>
      </c>
      <c r="F940" s="66" t="inlineStr">
        <is>
          <t>Gerente de TI / CIO (Director de Tecnología)</t>
        </is>
      </c>
      <c r="G940" s="66" t="n"/>
      <c r="H940" s="66" t="n"/>
      <c r="I940" s="66" t="inlineStr">
        <is>
          <t>96.562.040-0</t>
        </is>
      </c>
      <c r="J940" s="66" t="n"/>
      <c r="K940" s="66" t="inlineStr">
        <is>
          <t>Ventas: GRANDE 3 (600.000 - 1.000.000 UF) | Empleados: 214</t>
        </is>
      </c>
      <c r="L940" s="61" t="n"/>
      <c r="M940" s="61" t="n"/>
      <c r="N940" s="61" t="n"/>
      <c r="O940" s="61" t="n"/>
      <c r="P940" s="61" t="n"/>
      <c r="Q940" s="62" t="n"/>
      <c r="R940" s="61" t="n"/>
    </row>
    <row r="941" ht="15.75" customHeight="1" s="38">
      <c r="A941" s="66" t="inlineStr">
        <is>
          <t>H &amp; S Equipos Industriales Ltda.</t>
        </is>
      </c>
      <c r="B941" s="66" t="inlineStr">
        <is>
          <t>Servicios de Ingeniería</t>
        </is>
      </c>
      <c r="C941" s="66" t="inlineStr">
        <is>
          <t>Santiago</t>
        </is>
      </c>
      <c r="D941" s="66" t="inlineStr">
        <is>
          <t>hgarcia@hys.cl</t>
        </is>
      </c>
      <c r="E941" s="66" t="inlineStr">
        <is>
          <t>(56) 2 2706 5340</t>
        </is>
      </c>
      <c r="F941" s="66" t="n"/>
      <c r="G941" s="66" t="n"/>
      <c r="H941" s="66" t="n"/>
      <c r="I941" s="66" t="inlineStr">
        <is>
          <t>76.124.254-7</t>
        </is>
      </c>
      <c r="J941" s="66" t="n"/>
      <c r="K941" s="66" t="inlineStr">
        <is>
          <t>Ventas: GRANDE 2 (200.000 - 600.000 UF) | Empleados: 54</t>
        </is>
      </c>
      <c r="L941" s="61" t="n"/>
      <c r="M941" s="61" t="n"/>
      <c r="N941" s="61" t="n"/>
      <c r="O941" s="61" t="n"/>
      <c r="P941" s="61" t="n"/>
      <c r="Q941" s="62" t="n"/>
      <c r="R941" s="61" t="n"/>
    </row>
    <row r="942" ht="15.75" customHeight="1" s="38">
      <c r="A942" s="66" t="inlineStr">
        <is>
          <t>H. Briones S.A.</t>
        </is>
      </c>
      <c r="B942" s="66" t="inlineStr">
        <is>
          <t>Sistemas Eléctricos</t>
        </is>
      </c>
      <c r="C942" s="66" t="inlineStr">
        <is>
          <t>Santiago</t>
        </is>
      </c>
      <c r="D942" s="66" t="inlineStr">
        <is>
          <t>contacto@hbse.cl</t>
        </is>
      </c>
      <c r="E942" s="66" t="inlineStr">
        <is>
          <t>(56) 2 2412 0791</t>
        </is>
      </c>
      <c r="F942" s="66" t="inlineStr">
        <is>
          <t>Gerente de TI / CIO (Director de Tecnología)</t>
        </is>
      </c>
      <c r="G942" s="66" t="n"/>
      <c r="H942" s="66" t="n"/>
      <c r="I942" s="66" t="inlineStr">
        <is>
          <t>92.519.000-4</t>
        </is>
      </c>
      <c r="J942" s="66" t="n"/>
      <c r="K942" s="66" t="inlineStr">
        <is>
          <t>Ventas: GRANDE 3 (600.000 - 1.000.000 UF) | Empleados: 45</t>
        </is>
      </c>
      <c r="L942" s="61" t="n"/>
      <c r="M942" s="61" t="n"/>
      <c r="N942" s="61" t="n"/>
      <c r="O942" s="61" t="n"/>
      <c r="P942" s="61" t="n"/>
      <c r="Q942" s="62" t="n"/>
      <c r="R942" s="61" t="n"/>
    </row>
    <row r="943" ht="15.75" customHeight="1" s="38">
      <c r="A943" s="66" t="inlineStr">
        <is>
          <t>Hatch Ingenieros y Consultores Ltda.</t>
        </is>
      </c>
      <c r="B943" s="66" t="inlineStr">
        <is>
          <t>Servicios de Ingeniería</t>
        </is>
      </c>
      <c r="C943" s="66" t="inlineStr">
        <is>
          <t>Santiago</t>
        </is>
      </c>
      <c r="D943" s="66" t="n"/>
      <c r="E943" s="66" t="inlineStr">
        <is>
          <t>(56) 2 2430 2600</t>
        </is>
      </c>
      <c r="F943" s="66" t="n"/>
      <c r="G943" s="66" t="n"/>
      <c r="H943" s="66" t="n"/>
      <c r="I943" s="66" t="inlineStr">
        <is>
          <t>78.784.480-4</t>
        </is>
      </c>
      <c r="J943" s="66" t="n"/>
      <c r="K943" s="66" t="inlineStr">
        <is>
          <t>Ventas: GRANDE (Estimado por Empleados) | Empleados: 568</t>
        </is>
      </c>
      <c r="L943" s="61" t="n"/>
      <c r="M943" s="61" t="n"/>
      <c r="N943" s="61" t="n"/>
      <c r="O943" s="61" t="n"/>
      <c r="P943" s="61" t="n"/>
      <c r="Q943" s="62" t="n"/>
      <c r="R943" s="61" t="n"/>
    </row>
    <row r="944" ht="15.75" customHeight="1" s="38">
      <c r="A944" s="66" t="inlineStr">
        <is>
          <t>Haulotte Chile</t>
        </is>
      </c>
      <c r="B944" s="66" t="inlineStr">
        <is>
          <t>Plataformas Elevadoras, Plataformas para Trabajo en Altura</t>
        </is>
      </c>
      <c r="C944" s="66" t="inlineStr">
        <is>
          <t>Santiago</t>
        </is>
      </c>
      <c r="D944" s="66" t="n"/>
      <c r="E944" s="66" t="inlineStr">
        <is>
          <t>(56) 2 2372 7630</t>
        </is>
      </c>
      <c r="F944" s="66" t="n"/>
      <c r="G944" s="66" t="n"/>
      <c r="H944" s="66" t="n"/>
      <c r="I944" s="66" t="inlineStr">
        <is>
          <t>76.217.392-1</t>
        </is>
      </c>
      <c r="J944" s="66" t="n"/>
      <c r="K944" s="66" t="inlineStr">
        <is>
          <t>Ventas: MEDIANA 2 (50.000 - 100.000 UF) | Empleados: 19</t>
        </is>
      </c>
      <c r="L944" s="61" t="n"/>
      <c r="M944" s="61" t="n"/>
      <c r="N944" s="61" t="n"/>
      <c r="O944" s="61" t="n"/>
      <c r="P944" s="61" t="n"/>
      <c r="Q944" s="62" t="n"/>
      <c r="R944" s="61" t="n"/>
    </row>
    <row r="945" ht="15.75" customHeight="1" s="38">
      <c r="A945" s="66" t="inlineStr">
        <is>
          <t>Haver &amp; Boecker Niagara</t>
        </is>
      </c>
      <c r="B945" s="66" t="inlineStr">
        <is>
          <t>Equipos de Monitoreo de Condición Dinámica en Línea para Harneros Vibratorios, Reparación de Harneros Vibratorios</t>
        </is>
      </c>
      <c r="C945" s="66" t="inlineStr">
        <is>
          <t>Santiago</t>
        </is>
      </c>
      <c r="D945" s="66" t="inlineStr">
        <is>
          <t>haverandina@haverniagara.cl</t>
        </is>
      </c>
      <c r="E945" s="66" t="inlineStr">
        <is>
          <t>(56) 2 2307 0440</t>
        </is>
      </c>
      <c r="F945" s="66" t="n"/>
      <c r="G945" s="66" t="n"/>
      <c r="H945" s="66" t="n"/>
      <c r="I945" s="66" t="inlineStr">
        <is>
          <t>76.166.278-3</t>
        </is>
      </c>
      <c r="J945" s="66" t="n"/>
      <c r="K945" s="66" t="inlineStr">
        <is>
          <t>Ventas: GRANDE 2 (200.000 - 600.000 UF) | Empleados: 31</t>
        </is>
      </c>
      <c r="L945" s="61" t="n"/>
      <c r="M945" s="61" t="n"/>
      <c r="N945" s="61" t="n"/>
      <c r="O945" s="61" t="n"/>
      <c r="P945" s="61" t="n"/>
      <c r="Q945" s="62" t="n"/>
      <c r="R945" s="61" t="n"/>
    </row>
    <row r="946" ht="15.75" customHeight="1" s="38">
      <c r="A946" s="66" t="inlineStr">
        <is>
          <t>Hays Recruiting Experts Worldwide</t>
        </is>
      </c>
      <c r="B946" s="66" t="inlineStr">
        <is>
          <t>Selección y Reclutamiento de Ejecutivos y Personal</t>
        </is>
      </c>
      <c r="C946" s="66" t="inlineStr">
        <is>
          <t>Santiago</t>
        </is>
      </c>
      <c r="D946" s="66" t="n"/>
      <c r="E946" s="66" t="inlineStr">
        <is>
          <t>(56) 2 2449 1340</t>
        </is>
      </c>
      <c r="F946" s="66" t="n"/>
      <c r="G946" s="66" t="n"/>
      <c r="H946" s="66" t="n"/>
      <c r="I946" s="66" t="inlineStr">
        <is>
          <t>76.197.569-2</t>
        </is>
      </c>
      <c r="J946" s="66" t="n"/>
      <c r="K946" s="66" t="inlineStr">
        <is>
          <t>Ventas: GRANDE 1 (100.000 - 200.000 UF) | Empleados: 32</t>
        </is>
      </c>
      <c r="L946" s="61" t="n"/>
      <c r="M946" s="61" t="n"/>
      <c r="N946" s="61" t="n"/>
      <c r="O946" s="61" t="n"/>
      <c r="P946" s="61" t="n"/>
      <c r="Q946" s="62" t="n"/>
      <c r="R946" s="61" t="n"/>
    </row>
    <row r="947" ht="15.75" customHeight="1" s="38">
      <c r="A947" s="66" t="inlineStr">
        <is>
          <t>HD Construction Equipment Chile</t>
        </is>
      </c>
      <c r="B947" s="66" t="inlineStr">
        <is>
          <t>Proveedor Destacado, Bulldozers, Camiones Articulados, Cargadores Frontales, Retroexcavadoras</t>
        </is>
      </c>
      <c r="C947" s="66" t="inlineStr">
        <is>
          <t>Santiago</t>
        </is>
      </c>
      <c r="D947" s="66" t="inlineStr">
        <is>
          <t>ventas@develon-ce.cl</t>
        </is>
      </c>
      <c r="E947" s="66" t="inlineStr">
        <is>
          <t>(56) 2 2964 3050</t>
        </is>
      </c>
      <c r="F947" s="66" t="n"/>
      <c r="G947" s="66" t="n"/>
      <c r="H947" s="66" t="inlineStr">
        <is>
          <t>http://www.develon-ce.cl</t>
        </is>
      </c>
      <c r="I947" s="66" t="inlineStr">
        <is>
          <t>99.509.340-5</t>
        </is>
      </c>
      <c r="J947" s="66" t="n"/>
      <c r="K947" s="66" t="inlineStr">
        <is>
          <t>Ventas: MEDIANA (Estimado por Empleados) | Empleados: 74</t>
        </is>
      </c>
      <c r="L947" s="61" t="n"/>
      <c r="M947" s="61" t="n"/>
      <c r="N947" s="61" t="n"/>
      <c r="O947" s="61" t="n"/>
      <c r="P947" s="61" t="n"/>
      <c r="Q947" s="62" t="n"/>
      <c r="R947" s="61" t="n"/>
    </row>
    <row r="948" ht="15.75" customHeight="1" s="38">
      <c r="A948" s="66" t="inlineStr">
        <is>
          <t>Heavenward Ascensores S.A.</t>
        </is>
      </c>
      <c r="B948" s="66" t="inlineStr">
        <is>
          <t>Ascensores</t>
        </is>
      </c>
      <c r="C948" s="66" t="inlineStr">
        <is>
          <t>Santiago</t>
        </is>
      </c>
      <c r="D948" s="66" t="n"/>
      <c r="E948" s="66" t="inlineStr">
        <is>
          <t>(56) 2 2731 8000</t>
        </is>
      </c>
      <c r="F948" s="66" t="inlineStr">
        <is>
          <t>Gerente de TI / CIO (Director de Tecnología)</t>
        </is>
      </c>
      <c r="G948" s="66" t="n"/>
      <c r="H948" s="66" t="n"/>
      <c r="I948" s="66" t="inlineStr">
        <is>
          <t>96.794.440-8</t>
        </is>
      </c>
      <c r="J948" s="66" t="n"/>
      <c r="K948" s="66" t="inlineStr">
        <is>
          <t>Ventas: GRANDE 4 (Mas de 1.000.000 UF) | Empleados: 353</t>
        </is>
      </c>
      <c r="L948" s="61" t="n"/>
      <c r="M948" s="61" t="n"/>
      <c r="N948" s="61" t="n"/>
      <c r="O948" s="61" t="n"/>
      <c r="P948" s="61" t="n"/>
      <c r="Q948" s="62" t="n"/>
      <c r="R948" s="61" t="n"/>
    </row>
    <row r="949" ht="15.75" customHeight="1" s="38">
      <c r="A949" s="66" t="inlineStr">
        <is>
          <t>Heitmann Ingeniería</t>
        </is>
      </c>
      <c r="B949" s="66" t="inlineStr">
        <is>
          <t>Control de Generadores de Energía</t>
        </is>
      </c>
      <c r="C949" s="66" t="inlineStr">
        <is>
          <t>Villa Alemana</t>
        </is>
      </c>
      <c r="D949" s="66" t="inlineStr">
        <is>
          <t>cotiza@heitmann.cl</t>
        </is>
      </c>
      <c r="E949" s="66" t="inlineStr">
        <is>
          <t>(56) 32 254 4190</t>
        </is>
      </c>
      <c r="F949" s="66" t="n"/>
      <c r="G949" s="66" t="n"/>
      <c r="H949" s="66" t="n"/>
      <c r="I949" s="66" t="inlineStr">
        <is>
          <t>76.327.230-3</t>
        </is>
      </c>
      <c r="J949" s="66" t="n"/>
      <c r="K949" s="66" t="inlineStr">
        <is>
          <t>Ventas: PEQUEÑA 3 (10.000 - 25.000 UF) | Empleados: 14</t>
        </is>
      </c>
      <c r="L949" s="61" t="n"/>
      <c r="M949" s="61" t="n"/>
      <c r="N949" s="61" t="n"/>
      <c r="O949" s="61" t="n"/>
      <c r="P949" s="61" t="n"/>
      <c r="Q949" s="62" t="n"/>
      <c r="R949" s="61" t="n"/>
    </row>
    <row r="950" ht="15.75" customHeight="1" s="38">
      <c r="A950" s="66" t="inlineStr">
        <is>
          <t>Heli Forklift Chile</t>
        </is>
      </c>
      <c r="B950" s="66" t="inlineStr">
        <is>
          <t>Apiladores</t>
        </is>
      </c>
      <c r="C950" s="66" t="inlineStr">
        <is>
          <t>Antofagasta</t>
        </is>
      </c>
      <c r="D950" s="66" t="inlineStr">
        <is>
          <t>contacto@heliforklift.cl</t>
        </is>
      </c>
      <c r="E950" s="66" t="inlineStr">
        <is>
          <t>(56) 9 6831 8181</t>
        </is>
      </c>
      <c r="F950" s="66" t="n"/>
      <c r="G950" s="66" t="n"/>
      <c r="H950" s="66" t="n"/>
      <c r="I950" s="66" t="inlineStr">
        <is>
          <t>76.054.503-1</t>
        </is>
      </c>
      <c r="J950" s="66" t="n"/>
      <c r="K950" s="66" t="inlineStr">
        <is>
          <t>Ventas: GRANDE 2 (200.000 - 600.000 UF) | Empleados: 14</t>
        </is>
      </c>
      <c r="L950" s="61" t="n"/>
      <c r="M950" s="61" t="n"/>
      <c r="N950" s="61" t="n"/>
      <c r="O950" s="61" t="n"/>
      <c r="P950" s="61" t="n"/>
      <c r="Q950" s="62" t="n"/>
      <c r="R950" s="61" t="n"/>
    </row>
    <row r="951" ht="15.75" customHeight="1" s="38">
      <c r="A951" s="66" t="inlineStr">
        <is>
          <t>Heliboss</t>
        </is>
      </c>
      <c r="B951" s="66" t="inlineStr">
        <is>
          <t>Drones</t>
        </is>
      </c>
      <c r="C951" s="66" t="inlineStr">
        <is>
          <t>Santiago</t>
        </is>
      </c>
      <c r="D951" s="66" t="inlineStr">
        <is>
          <t>industrial@heliboss.cl</t>
        </is>
      </c>
      <c r="E951" s="66" t="inlineStr">
        <is>
          <t>(56) 9 7376 7925</t>
        </is>
      </c>
      <c r="F951" s="66" t="n"/>
      <c r="G951" s="66" t="n"/>
      <c r="H951" s="66" t="n"/>
      <c r="I951" s="66" t="inlineStr">
        <is>
          <t>76.300.203-9</t>
        </is>
      </c>
      <c r="J951" s="66" t="n"/>
      <c r="K951" s="66" t="inlineStr">
        <is>
          <t>Ventas: GRANDE 3 (600.000 - 1.000.000 UF) | Empleados: 46</t>
        </is>
      </c>
      <c r="L951" s="61" t="n"/>
      <c r="M951" s="61" t="n"/>
      <c r="N951" s="61" t="n"/>
      <c r="O951" s="61" t="n"/>
      <c r="P951" s="61" t="n"/>
      <c r="Q951" s="62" t="n"/>
      <c r="R951" s="61" t="n"/>
    </row>
    <row r="952" ht="15.75" customHeight="1" s="38">
      <c r="A952" s="66" t="inlineStr">
        <is>
          <t>Hellema Holland Engineering Ltda.</t>
        </is>
      </c>
      <c r="B952" s="66" t="inlineStr">
        <is>
          <t>Captación de Aguas Subterráneas, Sondajes</t>
        </is>
      </c>
      <c r="C952" s="66" t="inlineStr">
        <is>
          <t>Coquimbo</t>
        </is>
      </c>
      <c r="D952" s="66" t="inlineStr">
        <is>
          <t>info@hhechile.com</t>
        </is>
      </c>
      <c r="E952" s="66" t="inlineStr">
        <is>
          <t>(56) 51 254 5444</t>
        </is>
      </c>
      <c r="F952" s="66" t="inlineStr">
        <is>
          <t>Gerente de TI / CIO (Director de Tecnología)</t>
        </is>
      </c>
      <c r="G952" s="66" t="n"/>
      <c r="H952" s="66" t="n"/>
      <c r="I952" s="66" t="inlineStr">
        <is>
          <t>77.334.290-3</t>
        </is>
      </c>
      <c r="J952" s="66" t="n"/>
      <c r="K952" s="66" t="inlineStr">
        <is>
          <t>Ventas: GRANDE 4 (Mas de 1.000.000 UF) | Empleados: 572</t>
        </is>
      </c>
      <c r="L952" s="61" t="n"/>
      <c r="M952" s="61" t="n"/>
      <c r="N952" s="61" t="n"/>
      <c r="O952" s="61" t="n"/>
      <c r="P952" s="61" t="n"/>
      <c r="Q952" s="62" t="n"/>
      <c r="R952" s="61" t="n"/>
    </row>
    <row r="953" ht="15.75" customHeight="1" s="38">
      <c r="A953" s="66" t="inlineStr">
        <is>
          <t>Hellmann Worldwide Logistics Ltda.</t>
        </is>
      </c>
      <c r="B953" s="66" t="inlineStr">
        <is>
          <t>Transporte Aéreo, Transporte Marítimo</t>
        </is>
      </c>
      <c r="C953" s="66" t="inlineStr">
        <is>
          <t>Santiago</t>
        </is>
      </c>
      <c r="D953" s="66" t="inlineStr">
        <is>
          <t>cl.hellmann@cl.hellmann.net</t>
        </is>
      </c>
      <c r="E953" s="66" t="inlineStr">
        <is>
          <t>(56) 2 2715 6200</t>
        </is>
      </c>
      <c r="F953" s="66" t="n"/>
      <c r="G953" s="66" t="n"/>
      <c r="H953" s="66" t="n"/>
      <c r="I953" s="66" t="inlineStr">
        <is>
          <t>76.012.093-6</t>
        </is>
      </c>
      <c r="J953" s="66" t="n"/>
      <c r="K953" s="66" t="inlineStr">
        <is>
          <t>Ventas: MEDIANA (Estimado por Empleados) | Empleados: 138</t>
        </is>
      </c>
      <c r="L953" s="61" t="n"/>
      <c r="M953" s="61" t="n"/>
      <c r="N953" s="61" t="n"/>
      <c r="O953" s="61" t="n"/>
      <c r="P953" s="61" t="n"/>
      <c r="Q953" s="62" t="n"/>
      <c r="R953" s="61" t="n"/>
    </row>
    <row r="954" ht="15.75" customHeight="1" s="38">
      <c r="A954" s="66" t="inlineStr">
        <is>
          <t>Henkel Chile Ltda.</t>
        </is>
      </c>
      <c r="B954" s="66" t="inlineStr">
        <is>
          <t>Adhesivos, Productos Químicos</t>
        </is>
      </c>
      <c r="C954" s="66" t="inlineStr">
        <is>
          <t>Santiago</t>
        </is>
      </c>
      <c r="D954" s="66" t="n"/>
      <c r="E954" s="66" t="inlineStr">
        <is>
          <t>(56) 2 2381 7200</t>
        </is>
      </c>
      <c r="F954" s="66" t="n"/>
      <c r="G954" s="66" t="n"/>
      <c r="H954" s="66" t="n"/>
      <c r="I954" s="66" t="inlineStr">
        <is>
          <t>78.803.490-3</t>
        </is>
      </c>
      <c r="J954" s="66" t="n"/>
      <c r="K954" s="66" t="inlineStr">
        <is>
          <t>Ventas: MEDIANA (Estimado por Empleados) | Empleados: 198</t>
        </is>
      </c>
      <c r="L954" s="61" t="n"/>
      <c r="M954" s="61" t="n"/>
      <c r="N954" s="61" t="n"/>
      <c r="O954" s="61" t="n"/>
      <c r="P954" s="61" t="n"/>
      <c r="Q954" s="62" t="n"/>
      <c r="R954" s="61" t="n"/>
    </row>
    <row r="955" ht="15.75" customHeight="1" s="38">
      <c r="A955" s="66" t="inlineStr">
        <is>
          <t>Heresmann y Cía. S.A.</t>
        </is>
      </c>
      <c r="B955" s="66" t="inlineStr">
        <is>
          <t>Plásticos</t>
        </is>
      </c>
      <c r="C955" s="66" t="inlineStr">
        <is>
          <t>Santiago</t>
        </is>
      </c>
      <c r="D955" s="66" t="inlineStr">
        <is>
          <t>info@heresmann.cl</t>
        </is>
      </c>
      <c r="E955" s="66" t="inlineStr">
        <is>
          <t>(56) 2 2738 7100</t>
        </is>
      </c>
      <c r="F955" s="66" t="n"/>
      <c r="G955" s="66" t="n"/>
      <c r="H955" s="66" t="n"/>
      <c r="I955" s="66" t="inlineStr">
        <is>
          <t>87.967.900-1</t>
        </is>
      </c>
      <c r="J955" s="66" t="n"/>
      <c r="K955" s="66" t="inlineStr">
        <is>
          <t>Ventas: MEDIANA 2 (50.000 - 100.000 UF) | Empleados: 31</t>
        </is>
      </c>
      <c r="L955" s="61" t="n"/>
      <c r="M955" s="61" t="n"/>
      <c r="N955" s="61" t="n"/>
      <c r="O955" s="61" t="n"/>
      <c r="P955" s="61" t="n"/>
      <c r="Q955" s="62" t="n"/>
      <c r="R955" s="61" t="n"/>
    </row>
    <row r="956" ht="15.75" customHeight="1" s="38">
      <c r="A956" s="66" t="inlineStr">
        <is>
          <t>Herrenknecht</t>
        </is>
      </c>
      <c r="B956" s="66" t="inlineStr">
        <is>
          <t>Equipos para Construcción de Túneles</t>
        </is>
      </c>
      <c r="C956" s="66" t="inlineStr">
        <is>
          <t>Santiago</t>
        </is>
      </c>
      <c r="D956" s="66" t="inlineStr">
        <is>
          <t>hk.chile@herrenknecht.com</t>
        </is>
      </c>
      <c r="E956" s="66" t="inlineStr">
        <is>
          <t>(56) 2 2247 9900</t>
        </is>
      </c>
      <c r="F956" s="66" t="n"/>
      <c r="G956" s="66" t="n"/>
      <c r="H956" s="66" t="n"/>
      <c r="I956" s="66" t="inlineStr">
        <is>
          <t>76.063.666-5</t>
        </is>
      </c>
      <c r="J956" s="66" t="n"/>
      <c r="K956" s="66" t="inlineStr">
        <is>
          <t>Ventas: GRANDE 1 (100.000 - 200.000 UF) | Empleados: 20</t>
        </is>
      </c>
      <c r="L956" s="61" t="n"/>
      <c r="M956" s="61" t="n"/>
      <c r="N956" s="61" t="n"/>
      <c r="O956" s="61" t="n"/>
      <c r="P956" s="61" t="n"/>
      <c r="Q956" s="62" t="n"/>
      <c r="R956" s="61" t="n"/>
    </row>
    <row r="957" ht="15.75" customHeight="1" s="38">
      <c r="A957" s="66" t="inlineStr">
        <is>
          <t>Hessmay S.A.</t>
        </is>
      </c>
      <c r="B957" s="66" t="inlineStr">
        <is>
          <t>Seguridad y Vigilancia, Sistemas para Control</t>
        </is>
      </c>
      <c r="C957" s="66" t="inlineStr">
        <is>
          <t>Santiago</t>
        </is>
      </c>
      <c r="D957" s="66" t="inlineStr">
        <is>
          <t>ventas@hessmay.cl</t>
        </is>
      </c>
      <c r="E957" s="66" t="inlineStr">
        <is>
          <t>(56) 2 2696 8010</t>
        </is>
      </c>
      <c r="F957" s="66" t="n"/>
      <c r="G957" s="66" t="n"/>
      <c r="H957" s="66" t="n"/>
      <c r="I957" s="66" t="inlineStr">
        <is>
          <t>92.033.000-2</t>
        </is>
      </c>
      <c r="J957" s="66" t="n"/>
      <c r="K957" s="66" t="inlineStr">
        <is>
          <t>Ventas: PEQUEÑA 2 (5.000 - 10.000 UF) | Empleados: 0</t>
        </is>
      </c>
      <c r="L957" s="61" t="n"/>
      <c r="M957" s="61" t="n"/>
      <c r="N957" s="61" t="n"/>
      <c r="O957" s="61" t="n"/>
      <c r="P957" s="61" t="n"/>
      <c r="Q957" s="62" t="n"/>
      <c r="R957" s="61" t="n"/>
    </row>
    <row r="958" ht="15.75" customHeight="1" s="38">
      <c r="A958" s="66" t="inlineStr">
        <is>
          <t>Hexagon Mining Chile</t>
        </is>
      </c>
      <c r="B958" s="66" t="inlineStr">
        <is>
          <t>Automatización Industrial, Software Minero</t>
        </is>
      </c>
      <c r="C958" s="66" t="inlineStr">
        <is>
          <t>Santiago</t>
        </is>
      </c>
      <c r="D958" s="66" t="n"/>
      <c r="E958" s="66" t="inlineStr">
        <is>
          <t>(56) 2 2678 7800</t>
        </is>
      </c>
      <c r="F958" s="66" t="inlineStr">
        <is>
          <t>Gerente de TI / CIO (Director de Tecnología)</t>
        </is>
      </c>
      <c r="G958" s="66" t="n"/>
      <c r="H958" s="66" t="n"/>
      <c r="I958" s="66" t="inlineStr">
        <is>
          <t>76015699-K</t>
        </is>
      </c>
      <c r="J958" s="66" t="n"/>
      <c r="K958" s="66" t="inlineStr">
        <is>
          <t>Ventas: GRANDE 4 (Mas de 1.000.000 UF) | Empleados: 250</t>
        </is>
      </c>
      <c r="L958" s="61" t="n"/>
      <c r="M958" s="61" t="n"/>
      <c r="N958" s="61" t="n"/>
      <c r="O958" s="61" t="n"/>
      <c r="P958" s="61" t="n"/>
      <c r="Q958" s="62" t="n"/>
      <c r="R958" s="61" t="n"/>
    </row>
    <row r="959" ht="15.75" customHeight="1" s="38">
      <c r="A959" s="66" t="inlineStr">
        <is>
          <t>Hidratec</t>
        </is>
      </c>
      <c r="B959" s="66" t="inlineStr">
        <is>
          <t>Válvulas para Control</t>
        </is>
      </c>
      <c r="C959" s="66" t="inlineStr">
        <is>
          <t>Coquimbo</t>
        </is>
      </c>
      <c r="D959" s="66" t="inlineStr">
        <is>
          <t>ventas@hidratec.cl</t>
        </is>
      </c>
      <c r="E959" s="66" t="inlineStr">
        <is>
          <t>(56) 51 2231 482</t>
        </is>
      </c>
      <c r="F959" s="66" t="n"/>
      <c r="G959" s="66" t="n"/>
      <c r="H959" s="66" t="n"/>
      <c r="I959" s="66" t="inlineStr">
        <is>
          <t>76.387.210-6</t>
        </is>
      </c>
      <c r="J959" s="66" t="n"/>
      <c r="K959" s="66" t="inlineStr">
        <is>
          <t>Ventas: GRANDE 1 (100.000 - 200.000 UF) | Empleados: 35</t>
        </is>
      </c>
      <c r="L959" s="61" t="n"/>
      <c r="M959" s="61" t="n"/>
      <c r="N959" s="61" t="n"/>
      <c r="O959" s="61" t="n"/>
      <c r="P959" s="61" t="n"/>
      <c r="Q959" s="62" t="n"/>
      <c r="R959" s="61" t="n"/>
    </row>
    <row r="960" ht="15.75" customHeight="1" s="38">
      <c r="A960" s="66" t="inlineStr">
        <is>
          <t>Hidrofresh</t>
        </is>
      </c>
      <c r="B960" s="66" t="inlineStr">
        <is>
          <t>Plantas de Tratamiento Marinas para artefactos Navales, Plantas para Tratamiento de Aguas Servidas</t>
        </is>
      </c>
      <c r="C960" s="66" t="inlineStr">
        <is>
          <t>Santiago</t>
        </is>
      </c>
      <c r="D960" s="66" t="inlineStr">
        <is>
          <t>ventas@hidrofresh.cl</t>
        </is>
      </c>
      <c r="E960" s="66" t="inlineStr">
        <is>
          <t>(56) 2 2334 5622</t>
        </is>
      </c>
      <c r="F960" s="66" t="n"/>
      <c r="G960" s="66" t="n"/>
      <c r="H960" s="66" t="n"/>
      <c r="I960" s="66" t="inlineStr">
        <is>
          <t>77.710.650-3</t>
        </is>
      </c>
      <c r="J960" s="66" t="n"/>
      <c r="K960" s="66" t="inlineStr">
        <is>
          <t>Ventas: MEDIANA 1 (25.000 - 50.000 UF) | Empleados: 14</t>
        </is>
      </c>
      <c r="L960" s="61" t="n"/>
      <c r="M960" s="61" t="n"/>
      <c r="N960" s="61" t="n"/>
      <c r="O960" s="61" t="n"/>
      <c r="P960" s="61" t="n"/>
      <c r="Q960" s="62" t="n"/>
      <c r="R960" s="61" t="n"/>
    </row>
    <row r="961" ht="15.75" customHeight="1" s="38">
      <c r="A961" s="66" t="inlineStr">
        <is>
          <t>Hidrolab S.A.</t>
        </is>
      </c>
      <c r="B961" s="66" t="inlineStr">
        <is>
          <t>Análisis de Agua, Análisis de Minerales</t>
        </is>
      </c>
      <c r="C961" s="66" t="inlineStr">
        <is>
          <t>Santiago</t>
        </is>
      </c>
      <c r="D961" s="66" t="inlineStr">
        <is>
          <t>contacto@hidrolab.com</t>
        </is>
      </c>
      <c r="E961" s="66" t="inlineStr">
        <is>
          <t>(56) 2 2756 6350</t>
        </is>
      </c>
      <c r="F961" s="66" t="n"/>
      <c r="G961" s="66" t="n"/>
      <c r="H961" s="66" t="n"/>
      <c r="I961" s="66" t="inlineStr">
        <is>
          <t>78.370.360-2</t>
        </is>
      </c>
      <c r="J961" s="66" t="n"/>
      <c r="K961" s="66" t="inlineStr">
        <is>
          <t>Ventas: GRANDE 2 (200.000 - 600.000 UF) | Empleados: 234</t>
        </is>
      </c>
      <c r="L961" s="61" t="n"/>
      <c r="M961" s="61" t="n"/>
      <c r="N961" s="61" t="n"/>
      <c r="O961" s="61" t="n"/>
      <c r="P961" s="61" t="n"/>
      <c r="Q961" s="62" t="n"/>
      <c r="R961" s="61" t="n"/>
    </row>
    <row r="962" ht="15.75" customHeight="1" s="38">
      <c r="A962" s="66" t="inlineStr">
        <is>
          <t>Hidromec Renta Equipos SpA</t>
        </is>
      </c>
      <c r="B962" s="66" t="inlineStr">
        <is>
          <t>Cilindros Hidráulicos, Soldaduras Especiales</t>
        </is>
      </c>
      <c r="C962" s="66" t="inlineStr">
        <is>
          <t>Antofagasta</t>
        </is>
      </c>
      <c r="D962" s="66" t="inlineStr">
        <is>
          <t>contacto@hidromec.cl</t>
        </is>
      </c>
      <c r="E962" s="66" t="inlineStr">
        <is>
          <t>(56) 55 256 6220</t>
        </is>
      </c>
      <c r="F962" s="66" t="n"/>
      <c r="G962" s="66" t="n"/>
      <c r="H962" s="66" t="n"/>
      <c r="I962" s="66" t="inlineStr">
        <is>
          <t>89.880.800-9</t>
        </is>
      </c>
      <c r="J962" s="66" t="n"/>
      <c r="K962" s="66" t="inlineStr">
        <is>
          <t>Ventas: GRANDE 1 (100.000 - 200.000 UF) | Empleados: 23</t>
        </is>
      </c>
      <c r="L962" s="61" t="n"/>
      <c r="M962" s="61" t="n"/>
      <c r="N962" s="61" t="n"/>
      <c r="O962" s="61" t="n"/>
      <c r="P962" s="61" t="n"/>
      <c r="Q962" s="62" t="n"/>
      <c r="R962" s="61" t="n"/>
    </row>
    <row r="963" ht="15.75" customHeight="1" s="38">
      <c r="A963" s="66" t="inlineStr">
        <is>
          <t>Hidromfd Copiapó S.A.</t>
        </is>
      </c>
      <c r="B963" s="66" t="inlineStr">
        <is>
          <t>Cilindros Hidráulicos, Reparación de Cilindros Hidráulicos</t>
        </is>
      </c>
      <c r="C963" s="66" t="inlineStr">
        <is>
          <t>Coquimbo</t>
        </is>
      </c>
      <c r="D963" s="66" t="inlineStr">
        <is>
          <t>contacto@mfdspa.cl</t>
        </is>
      </c>
      <c r="E963" s="66" t="inlineStr">
        <is>
          <t>(56) 52 254 3737</t>
        </is>
      </c>
      <c r="F963" s="66" t="n"/>
      <c r="G963" s="66" t="n"/>
      <c r="H963" s="66" t="n"/>
      <c r="I963" s="66" t="inlineStr">
        <is>
          <t>78.431.740-4</t>
        </is>
      </c>
      <c r="J963" s="66" t="n"/>
      <c r="K963" s="66" t="inlineStr">
        <is>
          <t>Ventas: MEDIANA 2 (50.000 - 100.000 UF) | Empleados: 30</t>
        </is>
      </c>
      <c r="L963" s="61" t="n"/>
      <c r="M963" s="61" t="n"/>
      <c r="N963" s="61" t="n"/>
      <c r="O963" s="61" t="n"/>
      <c r="P963" s="61" t="n"/>
      <c r="Q963" s="62" t="n"/>
      <c r="R963" s="61" t="n"/>
    </row>
    <row r="964" ht="15.75" customHeight="1" s="38">
      <c r="A964" s="59" t="inlineStr">
        <is>
          <t>HidroMobile S.A.</t>
        </is>
      </c>
      <c r="B964" s="59" t="inlineStr">
        <is>
          <t>Andamios, Plataformas Eléctricas</t>
        </is>
      </c>
      <c r="C964" s="59" t="inlineStr">
        <is>
          <t>Santiago</t>
        </is>
      </c>
      <c r="D964" s="59" t="inlineStr">
        <is>
          <t>ventas@hidromobile.cl</t>
        </is>
      </c>
      <c r="E964" s="59" t="inlineStr">
        <is>
          <t>(56) 9 824 1284</t>
        </is>
      </c>
      <c r="F964" s="59" t="inlineStr">
        <is>
          <t>Fernando Mattus (Jefe de Sistemas Logísticos)</t>
        </is>
      </c>
      <c r="G964" s="59" t="inlineStr">
        <is>
          <t>f.mattus@hidromobile.cl</t>
        </is>
      </c>
      <c r="H964" s="59" t="n"/>
      <c r="I964" s="59" t="inlineStr">
        <is>
          <t>99.577.790-8</t>
        </is>
      </c>
      <c r="J964" s="59" t="inlineStr">
        <is>
          <t>Investigación en Proceso</t>
        </is>
      </c>
      <c r="K964" s="59" t="inlineStr">
        <is>
          <t>Ventas: GRANDE 3 (600.000 - 1.000.000 UF) | Empleados: 186</t>
        </is>
      </c>
      <c r="L964" s="61" t="n"/>
      <c r="M964" s="61" t="n"/>
      <c r="N964" s="61" t="n"/>
      <c r="O964" s="61" t="n"/>
      <c r="P964" s="61" t="n"/>
      <c r="Q964" s="62" t="n"/>
      <c r="R964" s="61" t="n"/>
    </row>
    <row r="965" ht="15.75" customHeight="1" s="38">
      <c r="A965" s="59" t="inlineStr">
        <is>
          <t>Hidronor Chile</t>
        </is>
      </c>
      <c r="B965" s="59" t="inlineStr">
        <is>
          <t>Remediación y Saneamiento de Terrenos Contaminados, Revalorización Energética, Recuperación y Reciclaje de Residuos, Transporte, Tratamiento y Disposición final de Residuos</t>
        </is>
      </c>
      <c r="C965" s="59" t="inlineStr">
        <is>
          <t>Santiago</t>
        </is>
      </c>
      <c r="D965" s="59" t="inlineStr">
        <is>
          <t>ventas@hidronor.cl</t>
        </is>
      </c>
      <c r="E965" s="59" t="inlineStr">
        <is>
          <t>(56) 2 2570 5700</t>
        </is>
      </c>
      <c r="F965" s="59" t="inlineStr">
        <is>
          <t>Jorge Stagno (Gerente General)</t>
        </is>
      </c>
      <c r="G965" s="59" t="n"/>
      <c r="H965" s="59" t="n"/>
      <c r="I965" s="59" t="inlineStr">
        <is>
          <t>96.607.990-8</t>
        </is>
      </c>
      <c r="J965" s="59" t="inlineStr">
        <is>
          <t>Gestión Datos Medioambientales Digital</t>
        </is>
      </c>
      <c r="K965" s="59" t="inlineStr">
        <is>
          <t>Ventas: GRANDE (Estimado por Empleados) | Empleados: 233</t>
        </is>
      </c>
      <c r="L965" s="61" t="n"/>
      <c r="M965" s="61" t="n"/>
      <c r="N965" s="61" t="n"/>
      <c r="O965" s="61" t="n"/>
      <c r="P965" s="61" t="n"/>
      <c r="Q965" s="62" t="n"/>
      <c r="R965" s="61" t="n"/>
    </row>
    <row r="966" ht="15.75" customHeight="1" s="38">
      <c r="A966" s="66" t="inlineStr">
        <is>
          <t>Hidropack S.A.</t>
        </is>
      </c>
      <c r="B966" s="66" t="inlineStr">
        <is>
          <t>Equipos Hidráulicos</t>
        </is>
      </c>
      <c r="C966" s="66" t="inlineStr">
        <is>
          <t>Santiago</t>
        </is>
      </c>
      <c r="D966" s="66" t="inlineStr">
        <is>
          <t>contacto@hidropack.cl</t>
        </is>
      </c>
      <c r="E966" s="66" t="inlineStr">
        <is>
          <t>(56) 2 2560 2692</t>
        </is>
      </c>
      <c r="F966" s="66" t="n"/>
      <c r="G966" s="66" t="n"/>
      <c r="H966" s="66" t="n"/>
      <c r="I966" s="66" t="inlineStr">
        <is>
          <t>99.531.900-4</t>
        </is>
      </c>
      <c r="J966" s="66" t="n"/>
      <c r="K966" s="66" t="inlineStr">
        <is>
          <t>Ventas: MEDIANA 1 (25.000 - 50.000 UF) | Empleados: 9</t>
        </is>
      </c>
      <c r="L966" s="61" t="n"/>
      <c r="M966" s="61" t="n"/>
      <c r="N966" s="61" t="n"/>
      <c r="O966" s="61" t="n"/>
      <c r="P966" s="61" t="n"/>
      <c r="Q966" s="62" t="n"/>
      <c r="R966" s="61" t="n"/>
    </row>
    <row r="967" ht="15.75" customHeight="1" s="38">
      <c r="A967" s="59" t="inlineStr">
        <is>
          <t>HidroTattersall</t>
        </is>
      </c>
      <c r="B967" s="59" t="inlineStr">
        <is>
          <t>Tratamiento de Riles</t>
        </is>
      </c>
      <c r="C967" s="59" t="inlineStr">
        <is>
          <t>Talagante</t>
        </is>
      </c>
      <c r="D967" s="59" t="inlineStr">
        <is>
          <t>fretamal@tattersall.cl</t>
        </is>
      </c>
      <c r="E967" s="59" t="inlineStr">
        <is>
          <t>(56) 2 3242 4001</t>
        </is>
      </c>
      <c r="F967" s="59" t="inlineStr">
        <is>
          <t>Ivan Correa (Gerente General)</t>
        </is>
      </c>
      <c r="G967" s="59" t="inlineStr">
        <is>
          <t>i.correa@hidrotattersall.cl</t>
        </is>
      </c>
      <c r="H967" s="59" t="n"/>
      <c r="I967" s="59" t="inlineStr">
        <is>
          <t>76517797-9</t>
        </is>
      </c>
      <c r="J967" s="59" t="inlineStr">
        <is>
          <t>Investigación en Proceso</t>
        </is>
      </c>
      <c r="K967" s="59" t="inlineStr">
        <is>
          <t>Ventas: GRANDE 3 (600.000 - 1.000.000 UF) | Empleados: 74</t>
        </is>
      </c>
      <c r="L967" s="61" t="n"/>
      <c r="M967" s="61" t="n"/>
      <c r="N967" s="61" t="n"/>
      <c r="O967" s="61" t="n"/>
      <c r="P967" s="61" t="n"/>
      <c r="Q967" s="62" t="n"/>
      <c r="R967" s="61" t="n"/>
    </row>
    <row r="968" ht="15.75" customHeight="1" s="38">
      <c r="A968" s="66" t="inlineStr">
        <is>
          <t>Hidrotecnologías Ltda.</t>
        </is>
      </c>
      <c r="B968" s="66" t="inlineStr">
        <is>
          <t>Equipos para la Minería</t>
        </is>
      </c>
      <c r="C968" s="66" t="inlineStr">
        <is>
          <t>Santiago</t>
        </is>
      </c>
      <c r="D968" s="66" t="inlineStr">
        <is>
          <t>ventas@hidrotecnologias.cl</t>
        </is>
      </c>
      <c r="E968" s="66" t="inlineStr">
        <is>
          <t>(56) 2 2494 7385</t>
        </is>
      </c>
      <c r="F968" s="66" t="n"/>
      <c r="G968" s="66" t="n"/>
      <c r="H968" s="66" t="n"/>
      <c r="I968" s="66" t="inlineStr">
        <is>
          <t>76.070.461-K</t>
        </is>
      </c>
      <c r="J968" s="66" t="n"/>
      <c r="K968" s="66" t="inlineStr">
        <is>
          <t>Ventas: MEDIANA 1 (25.000 - 50.000 UF) | Empleados: 1</t>
        </is>
      </c>
      <c r="L968" s="61" t="n"/>
      <c r="M968" s="61" t="n"/>
      <c r="N968" s="61" t="n"/>
      <c r="O968" s="61" t="n"/>
      <c r="P968" s="61" t="n"/>
      <c r="Q968" s="62" t="n"/>
      <c r="R968" s="61" t="n"/>
    </row>
    <row r="969" ht="15.75" customHeight="1" s="38">
      <c r="A969" s="66" t="inlineStr">
        <is>
          <t>Hidroterra SpA</t>
        </is>
      </c>
      <c r="B969" s="66" t="inlineStr">
        <is>
          <t>Bombas Sumergibles, Control de Fluidos</t>
        </is>
      </c>
      <c r="C969" s="66" t="inlineStr">
        <is>
          <t>Santiago</t>
        </is>
      </c>
      <c r="D969" s="66" t="inlineStr">
        <is>
          <t>contacto@h-terra.cl</t>
        </is>
      </c>
      <c r="E969" s="66" t="inlineStr">
        <is>
          <t>(56) 2 3361 8762</t>
        </is>
      </c>
      <c r="F969" s="66" t="n"/>
      <c r="G969" s="66" t="n"/>
      <c r="H969" s="66" t="n"/>
      <c r="I969" s="66" t="inlineStr">
        <is>
          <t>76560731-0</t>
        </is>
      </c>
      <c r="J969" s="66" t="n"/>
      <c r="K969" s="66" t="inlineStr">
        <is>
          <t>Ventas: MICRO 2 (200 - 600 UF) | Empleados: 0</t>
        </is>
      </c>
      <c r="L969" s="61" t="n"/>
      <c r="M969" s="61" t="n"/>
      <c r="N969" s="61" t="n"/>
      <c r="O969" s="61" t="n"/>
      <c r="P969" s="61" t="n"/>
      <c r="Q969" s="62" t="n"/>
      <c r="R969" s="61" t="n"/>
    </row>
    <row r="970" ht="15.75" customHeight="1" s="38">
      <c r="A970" s="66" t="inlineStr">
        <is>
          <t>Hidráulica Ltda.</t>
        </is>
      </c>
      <c r="B970" s="66" t="inlineStr">
        <is>
          <t>Bombas para Alta Presión, Bombas Sumergibles</t>
        </is>
      </c>
      <c r="C970" s="66" t="inlineStr">
        <is>
          <t>Santiago</t>
        </is>
      </c>
      <c r="D970" s="66" t="inlineStr">
        <is>
          <t>info@hidraulica-ltda.cl</t>
        </is>
      </c>
      <c r="E970" s="66" t="inlineStr">
        <is>
          <t>(56) 2 2577 2300</t>
        </is>
      </c>
      <c r="F970" s="66" t="n"/>
      <c r="G970" s="66" t="n"/>
      <c r="H970" s="66" t="n"/>
      <c r="I970" s="66" t="inlineStr">
        <is>
          <t>81.129.300-8</t>
        </is>
      </c>
      <c r="J970" s="66" t="n"/>
      <c r="K970" s="66" t="inlineStr">
        <is>
          <t>Ventas: PEQUEÑA 1 (2.400 - 5.000 UF) | Empleados: 3</t>
        </is>
      </c>
      <c r="L970" s="61" t="n"/>
      <c r="M970" s="61" t="n"/>
      <c r="N970" s="61" t="n"/>
      <c r="O970" s="61" t="n"/>
      <c r="P970" s="61" t="n"/>
      <c r="Q970" s="62" t="n"/>
      <c r="R970" s="61" t="n"/>
    </row>
    <row r="971" ht="15.75" customHeight="1" s="38">
      <c r="A971" s="66" t="inlineStr">
        <is>
          <t>High-Res Ltda.</t>
        </is>
      </c>
      <c r="B971" s="66" t="inlineStr">
        <is>
          <t>Tecnología Antidesgaste</t>
        </is>
      </c>
      <c r="C971" s="66" t="inlineStr">
        <is>
          <t>Santiago</t>
        </is>
      </c>
      <c r="D971" s="66" t="inlineStr">
        <is>
          <t>rodrigo.diaz@high-res.cl</t>
        </is>
      </c>
      <c r="E971" s="66" t="inlineStr">
        <is>
          <t>(56) 9 9993 2540</t>
        </is>
      </c>
      <c r="F971" s="66" t="n"/>
      <c r="G971" s="66" t="n"/>
      <c r="H971" s="66" t="n"/>
      <c r="I971" s="66" t="inlineStr">
        <is>
          <t>76.405.479-2</t>
        </is>
      </c>
      <c r="J971" s="66" t="n"/>
      <c r="K971" s="66" t="inlineStr">
        <is>
          <t>Ventas: GRANDE 1 (100.000 - 200.000 UF) | Empleados: 20</t>
        </is>
      </c>
      <c r="L971" s="61" t="n"/>
      <c r="M971" s="61" t="n"/>
      <c r="N971" s="61" t="n"/>
      <c r="O971" s="61" t="n"/>
      <c r="P971" s="61" t="n"/>
      <c r="Q971" s="62" t="n"/>
      <c r="R971" s="61" t="n"/>
    </row>
    <row r="972" ht="15.75" customHeight="1" s="38">
      <c r="A972" s="66" t="inlineStr">
        <is>
          <t>Hilti Chile Ltda.</t>
        </is>
      </c>
      <c r="B972" s="66" t="inlineStr">
        <is>
          <t>Sistemas para Anclaje, Sistemas para Perforación y Demolición</t>
        </is>
      </c>
      <c r="C972" s="66" t="inlineStr">
        <is>
          <t>Santiago</t>
        </is>
      </c>
      <c r="D972" s="66" t="n"/>
      <c r="E972" s="66" t="inlineStr">
        <is>
          <t>(56) 2 2655 3000</t>
        </is>
      </c>
      <c r="F972" s="66" t="inlineStr">
        <is>
          <t>Gerente de TI / CIO (Director de Tecnología)</t>
        </is>
      </c>
      <c r="G972" s="66" t="n"/>
      <c r="H972" s="66" t="n"/>
      <c r="I972" s="66" t="inlineStr">
        <is>
          <t>84.708.300-K</t>
        </is>
      </c>
      <c r="J972" s="66" t="n"/>
      <c r="K972" s="66" t="inlineStr">
        <is>
          <t>Ventas: GRANDE 4 (Mas de 1.000.000 UF) | Empleados: 176</t>
        </is>
      </c>
      <c r="L972" s="61" t="n"/>
      <c r="M972" s="61" t="n"/>
      <c r="N972" s="61" t="n"/>
      <c r="O972" s="61" t="n"/>
      <c r="P972" s="61" t="n"/>
      <c r="Q972" s="62" t="n"/>
      <c r="R972" s="61" t="n"/>
    </row>
    <row r="973" ht="15.75" customHeight="1" s="38">
      <c r="A973" s="66" t="inlineStr">
        <is>
          <t>Hima Ltda.</t>
        </is>
      </c>
      <c r="B973" s="66" t="inlineStr">
        <is>
          <t>Ropa con Filtro UV, Ropa de Alta Visibilidad</t>
        </is>
      </c>
      <c r="C973" s="66" t="inlineStr">
        <is>
          <t>Santiago</t>
        </is>
      </c>
      <c r="D973" s="66" t="inlineStr">
        <is>
          <t>contacto@hima.cl</t>
        </is>
      </c>
      <c r="E973" s="66" t="inlineStr">
        <is>
          <t>(56) 2 2269 2041</t>
        </is>
      </c>
      <c r="F973" s="66" t="n"/>
      <c r="G973" s="66" t="n"/>
      <c r="H973" s="66" t="n"/>
      <c r="I973" s="66" t="inlineStr">
        <is>
          <t>77.708.080-6</t>
        </is>
      </c>
      <c r="J973" s="66" t="n"/>
      <c r="K973" s="66" t="inlineStr">
        <is>
          <t>Ventas: GRANDE 2 (200.000 - 600.000 UF) | Empleados: 24</t>
        </is>
      </c>
      <c r="L973" s="61" t="n"/>
      <c r="M973" s="61" t="n"/>
      <c r="N973" s="61" t="n"/>
      <c r="O973" s="61" t="n"/>
      <c r="P973" s="61" t="n"/>
      <c r="Q973" s="62" t="n"/>
      <c r="R973" s="61" t="n"/>
    </row>
    <row r="974" ht="15.75" customHeight="1" s="38">
      <c r="A974" s="66" t="inlineStr">
        <is>
          <t>Himinco Ltda.</t>
        </is>
      </c>
      <c r="B974" s="66" t="inlineStr">
        <is>
          <t>Válvulas</t>
        </is>
      </c>
      <c r="C974" s="66" t="inlineStr">
        <is>
          <t>Santiago</t>
        </is>
      </c>
      <c r="D974" s="66" t="inlineStr">
        <is>
          <t>ventas@himinco.com</t>
        </is>
      </c>
      <c r="E974" s="66" t="inlineStr">
        <is>
          <t>(56) 2 2294 6661</t>
        </is>
      </c>
      <c r="F974" s="66" t="n"/>
      <c r="G974" s="66" t="n"/>
      <c r="H974" s="66" t="n"/>
      <c r="I974" s="66" t="inlineStr">
        <is>
          <t>76.034.141-K</t>
        </is>
      </c>
      <c r="J974" s="66" t="n"/>
      <c r="K974" s="66" t="inlineStr">
        <is>
          <t>Ventas: MEDIANA 2 (50.000 - 100.000 UF) | Empleados: 9</t>
        </is>
      </c>
      <c r="L974" s="61" t="n"/>
      <c r="M974" s="61" t="n"/>
      <c r="N974" s="61" t="n"/>
      <c r="O974" s="61" t="n"/>
      <c r="P974" s="61" t="n"/>
      <c r="Q974" s="62" t="n"/>
      <c r="R974" s="61" t="n"/>
    </row>
    <row r="975" ht="15.75" customHeight="1" s="38">
      <c r="A975" s="59" t="inlineStr">
        <is>
          <t>Hino Chile</t>
        </is>
      </c>
      <c r="B975" s="59" t="inlineStr">
        <is>
          <t>Camiones, Camiones Pesados para Transporte</t>
        </is>
      </c>
      <c r="C975" s="59" t="inlineStr">
        <is>
          <t>Santiago</t>
        </is>
      </c>
      <c r="D975" s="59" t="n"/>
      <c r="E975" s="59" t="inlineStr">
        <is>
          <t>600 600 2112</t>
        </is>
      </c>
      <c r="F975" s="59" t="inlineStr">
        <is>
          <t>Antonio Belart Fabbri (Gerente General)</t>
        </is>
      </c>
      <c r="G975" s="59" t="n"/>
      <c r="H975" s="59" t="n"/>
      <c r="I975" s="59" t="inlineStr">
        <is>
          <t>76.141.853-K</t>
        </is>
      </c>
      <c r="J975" s="59" t="inlineStr">
        <is>
          <t>Digitalización Flotas Transporte Pesado</t>
        </is>
      </c>
      <c r="K975" s="59" t="inlineStr">
        <is>
          <t>Ventas: GRANDE 2 (200.000 - 600.000 UF) | Empleados: 10</t>
        </is>
      </c>
      <c r="L975" s="61" t="n"/>
      <c r="M975" s="61" t="n"/>
      <c r="N975" s="61" t="n"/>
      <c r="O975" s="61" t="n"/>
      <c r="P975" s="61" t="n"/>
      <c r="Q975" s="62" t="n"/>
      <c r="R975" s="61" t="n"/>
    </row>
    <row r="976" ht="15.75" customHeight="1" s="38">
      <c r="A976" s="66" t="inlineStr">
        <is>
          <t>HKN Ingeniería</t>
        </is>
      </c>
      <c r="B976" s="66" t="inlineStr">
        <is>
          <t>Administración de Tráfico de Personas y Equipos Mineros</t>
        </is>
      </c>
      <c r="C976" s="66" t="inlineStr">
        <is>
          <t>Antofagasta</t>
        </is>
      </c>
      <c r="D976" s="66" t="inlineStr">
        <is>
          <t>ventas@hkningenieria.com</t>
        </is>
      </c>
      <c r="E976" s="66" t="inlineStr">
        <is>
          <t>(56) 9 6227 3346</t>
        </is>
      </c>
      <c r="F976" s="66" t="n"/>
      <c r="G976" s="66" t="n"/>
      <c r="H976" s="66" t="n"/>
      <c r="I976" s="66" t="inlineStr">
        <is>
          <t>76.451.423-8</t>
        </is>
      </c>
      <c r="J976" s="66" t="n"/>
      <c r="K976" s="66" t="inlineStr">
        <is>
          <t>Ventas: MEDIANA 2 (50.000 - 100.000 UF) | Empleados: 21</t>
        </is>
      </c>
      <c r="L976" s="61" t="n"/>
      <c r="M976" s="61" t="n"/>
      <c r="N976" s="61" t="n"/>
      <c r="O976" s="61" t="n"/>
      <c r="P976" s="61" t="n"/>
      <c r="Q976" s="62" t="n"/>
      <c r="R976" s="61" t="n"/>
    </row>
    <row r="977" ht="15.75" customHeight="1" s="38">
      <c r="A977" s="66" t="inlineStr">
        <is>
          <t>HLS Hard-Line Chile S.A.</t>
        </is>
      </c>
      <c r="B977" s="66" t="inlineStr">
        <is>
          <t>Seguridad Industrial y Minera, Servicios de Ingeniería</t>
        </is>
      </c>
      <c r="C977" s="66" t="inlineStr">
        <is>
          <t>Santiago</t>
        </is>
      </c>
      <c r="D977" s="66" t="n"/>
      <c r="E977" s="66" t="inlineStr">
        <is>
          <t>(56) 2 2728 0076</t>
        </is>
      </c>
      <c r="F977" s="66" t="n"/>
      <c r="G977" s="66" t="n"/>
      <c r="H977" s="66" t="n"/>
      <c r="I977" s="66" t="inlineStr">
        <is>
          <t>76.041.414-K</t>
        </is>
      </c>
      <c r="J977" s="66" t="n"/>
      <c r="K977" s="66" t="inlineStr">
        <is>
          <t>Ventas: MICRO 1 (0.01 - 200 UF) | Empleados: 0</t>
        </is>
      </c>
      <c r="L977" s="61" t="n"/>
      <c r="M977" s="61" t="n"/>
      <c r="N977" s="61" t="n"/>
      <c r="O977" s="61" t="n"/>
      <c r="P977" s="61" t="n"/>
      <c r="Q977" s="62" t="n"/>
      <c r="R977" s="61" t="n"/>
    </row>
    <row r="978" ht="15.75" customHeight="1" s="38">
      <c r="A978" s="66" t="inlineStr">
        <is>
          <t>Hoerbiger S.A.</t>
        </is>
      </c>
      <c r="B978" s="66" t="inlineStr">
        <is>
          <t>Compresores, Repuestos para Compresores</t>
        </is>
      </c>
      <c r="C978" s="66" t="inlineStr">
        <is>
          <t>Santiago</t>
        </is>
      </c>
      <c r="D978" s="66" t="inlineStr">
        <is>
          <t>santiago@hoerbiger.com</t>
        </is>
      </c>
      <c r="E978" s="66" t="inlineStr">
        <is>
          <t>(56) 2 2622 1123</t>
        </is>
      </c>
      <c r="F978" s="66" t="n"/>
      <c r="G978" s="66" t="n"/>
      <c r="H978" s="66" t="n"/>
      <c r="I978" s="66" t="inlineStr">
        <is>
          <t>76.257.533-7</t>
        </is>
      </c>
      <c r="J978" s="66" t="n"/>
      <c r="K978" s="66" t="inlineStr">
        <is>
          <t>Ventas: GRANDE 1 (100.000 - 200.000 UF) | Empleados: 5</t>
        </is>
      </c>
      <c r="L978" s="61" t="n"/>
      <c r="M978" s="61" t="n"/>
      <c r="N978" s="61" t="n"/>
      <c r="O978" s="61" t="n"/>
      <c r="P978" s="61" t="n"/>
      <c r="Q978" s="62" t="n"/>
      <c r="R978" s="61" t="n"/>
    </row>
    <row r="979" ht="15.75" customHeight="1" s="38">
      <c r="A979" s="66" t="inlineStr">
        <is>
          <t>Hoffens S.A.</t>
        </is>
      </c>
      <c r="B979" s="66" t="inlineStr">
        <is>
          <t>Productos de PVC y CPVC</t>
        </is>
      </c>
      <c r="C979" s="66" t="inlineStr">
        <is>
          <t>Santiago</t>
        </is>
      </c>
      <c r="D979" s="66" t="inlineStr">
        <is>
          <t>ventas@hoffens.com</t>
        </is>
      </c>
      <c r="E979" s="66" t="inlineStr">
        <is>
          <t>(56) 2 2726 7600</t>
        </is>
      </c>
      <c r="F979" s="66" t="n"/>
      <c r="G979" s="66" t="n"/>
      <c r="H979" s="66" t="n"/>
      <c r="I979" s="66" t="inlineStr">
        <is>
          <t>96.548.020-K</t>
        </is>
      </c>
      <c r="J979" s="66" t="n"/>
      <c r="K979" s="66" t="inlineStr">
        <is>
          <t>Ventas: GRANDE (Estimado por Empleados) | Empleados: 501</t>
        </is>
      </c>
      <c r="L979" s="61" t="n"/>
      <c r="M979" s="61" t="n"/>
      <c r="N979" s="61" t="n"/>
      <c r="O979" s="61" t="n"/>
      <c r="P979" s="61" t="n"/>
      <c r="Q979" s="62" t="n"/>
      <c r="R979" s="61" t="n"/>
    </row>
    <row r="980" ht="15.75" customHeight="1" s="38">
      <c r="A980" s="66" t="inlineStr">
        <is>
          <t>Hofmann Engineering Chile Ltda.</t>
        </is>
      </c>
      <c r="B980" s="66" t="inlineStr">
        <is>
          <t>Componentes de Molino</t>
        </is>
      </c>
      <c r="C980" s="66" t="inlineStr">
        <is>
          <t>Antofagasta</t>
        </is>
      </c>
      <c r="D980" s="66" t="inlineStr">
        <is>
          <t>chile@hofmannengineering.com</t>
        </is>
      </c>
      <c r="E980" s="66" t="inlineStr">
        <is>
          <t>(56) 55 251 7200</t>
        </is>
      </c>
      <c r="F980" s="66" t="n"/>
      <c r="G980" s="66" t="n"/>
      <c r="H980" s="66" t="n"/>
      <c r="I980" s="66" t="inlineStr">
        <is>
          <t>76141281-7</t>
        </is>
      </c>
      <c r="J980" s="66" t="n"/>
      <c r="K980" s="66" t="inlineStr">
        <is>
          <t>Ventas: GRANDE 3 (600.000 - 1.000.000 UF) | Empleados: 17</t>
        </is>
      </c>
      <c r="L980" s="61" t="n"/>
      <c r="M980" s="61" t="n"/>
      <c r="N980" s="61" t="n"/>
      <c r="O980" s="61" t="n"/>
      <c r="P980" s="61" t="n"/>
      <c r="Q980" s="62" t="n"/>
      <c r="R980" s="61" t="n"/>
    </row>
    <row r="981" ht="15.75" customHeight="1" s="38">
      <c r="A981" s="66" t="inlineStr">
        <is>
          <t>Honeywell Chile S.A.</t>
        </is>
      </c>
      <c r="B981" s="66" t="inlineStr">
        <is>
          <t>Automatización de Procesos, Diseño de Salas de Control</t>
        </is>
      </c>
      <c r="C981" s="66" t="inlineStr">
        <is>
          <t>Santiago</t>
        </is>
      </c>
      <c r="D981" s="66" t="n"/>
      <c r="E981" s="66" t="inlineStr">
        <is>
          <t>(56) 2 2571 8411</t>
        </is>
      </c>
      <c r="F981" s="66" t="n"/>
      <c r="G981" s="66" t="n"/>
      <c r="H981" s="66" t="n"/>
      <c r="I981" s="66" t="inlineStr">
        <is>
          <t>96.659.360-1</t>
        </is>
      </c>
      <c r="J981" s="66" t="n"/>
      <c r="K981" s="66" t="inlineStr">
        <is>
          <t>Ventas: MEDIANA (Estimado por Empleados) | Empleados: 169</t>
        </is>
      </c>
      <c r="L981" s="61" t="n"/>
      <c r="M981" s="61" t="n"/>
      <c r="N981" s="61" t="n"/>
      <c r="O981" s="61" t="n"/>
      <c r="P981" s="61" t="n"/>
      <c r="Q981" s="62" t="n"/>
      <c r="R981" s="61" t="n"/>
    </row>
    <row r="982" ht="15.75" customHeight="1" s="38">
      <c r="A982" s="66" t="inlineStr">
        <is>
          <t>Hornor</t>
        </is>
      </c>
      <c r="B982" s="66" t="inlineStr">
        <is>
          <t>Proveedor Destacado, Cámaras Eléctricas, Canaletas Prefabricadas, Postes Especiales para Minería, Postes Prefabricados, Productos Especiales Prefabricados de Hormigón</t>
        </is>
      </c>
      <c r="C982" s="66" t="inlineStr">
        <is>
          <t>Santiago</t>
        </is>
      </c>
      <c r="D982" s="66" t="inlineStr">
        <is>
          <t>eguarda@hornor.cl</t>
        </is>
      </c>
      <c r="E982" s="66" t="inlineStr">
        <is>
          <t>(56) 2 2605 7344</t>
        </is>
      </c>
      <c r="F982" s="66" t="n"/>
      <c r="G982" s="66" t="n"/>
      <c r="H982" s="66" t="inlineStr">
        <is>
          <t>http://www.hornor.cl</t>
        </is>
      </c>
      <c r="I982" s="66" t="inlineStr">
        <is>
          <t>96.868.110-9</t>
        </is>
      </c>
      <c r="J982" s="66" t="n"/>
      <c r="K982" s="66" t="inlineStr">
        <is>
          <t>Ventas: GRANDE 3 (600.000 - 1.000.000 UF) | Empleados: 136</t>
        </is>
      </c>
      <c r="L982" s="61" t="n"/>
      <c r="M982" s="61" t="n"/>
      <c r="N982" s="61" t="n"/>
      <c r="O982" s="61" t="n"/>
      <c r="P982" s="61" t="n"/>
      <c r="Q982" s="62" t="n"/>
      <c r="R982" s="61" t="n"/>
    </row>
    <row r="983" ht="15.75" customHeight="1" s="38">
      <c r="A983" s="66" t="inlineStr">
        <is>
          <t>Hoteles Rocas del Norte</t>
        </is>
      </c>
      <c r="B983" s="66" t="inlineStr">
        <is>
          <t>Proveedor Destacado, Casino con Alimentación, Recinto con Instalaciones Deportivas y Recreacionales</t>
        </is>
      </c>
      <c r="C983" s="66" t="inlineStr">
        <is>
          <t>Diego de Almagro</t>
        </is>
      </c>
      <c r="D983" s="66" t="inlineStr">
        <is>
          <t>administracion@hrdn.cl</t>
        </is>
      </c>
      <c r="E983" s="66" t="n"/>
      <c r="F983" s="66" t="n"/>
      <c r="G983" s="66" t="n"/>
      <c r="H983" s="66" t="inlineStr">
        <is>
          <t>http://www.hrdn.cl</t>
        </is>
      </c>
      <c r="I983" s="66" t="inlineStr">
        <is>
          <t>76.432.577-K</t>
        </is>
      </c>
      <c r="J983" s="66" t="n"/>
      <c r="K983" s="66" t="inlineStr">
        <is>
          <t>Ventas: MEDIANA 2 (50.000 - 100.000 UF) | Empleados: 30</t>
        </is>
      </c>
      <c r="L983" s="61" t="n"/>
      <c r="M983" s="61" t="n"/>
      <c r="N983" s="61" t="n"/>
      <c r="O983" s="61" t="n"/>
      <c r="P983" s="61" t="n"/>
      <c r="Q983" s="62" t="n"/>
      <c r="R983" s="61" t="n"/>
    </row>
    <row r="984" ht="15.75" customHeight="1" s="38">
      <c r="A984" s="66" t="inlineStr">
        <is>
          <t>Howden</t>
        </is>
      </c>
      <c r="B984" s="66" t="inlineStr">
        <is>
          <t>Sistemas de Refrigeración de Minas, Ventilación de Túneles</t>
        </is>
      </c>
      <c r="C984" s="66" t="inlineStr">
        <is>
          <t>Santiago</t>
        </is>
      </c>
      <c r="D984" s="66" t="n"/>
      <c r="E984" s="66" t="n"/>
      <c r="F984" s="66" t="inlineStr">
        <is>
          <t>Gerente de TI / CIO (Director de Tecnología)</t>
        </is>
      </c>
      <c r="G984" s="66" t="n"/>
      <c r="H984" s="66" t="n"/>
      <c r="I984" s="66" t="inlineStr">
        <is>
          <t>76274455-4</t>
        </is>
      </c>
      <c r="J984" s="66" t="n"/>
      <c r="K984" s="66" t="inlineStr">
        <is>
          <t>Ventas: GRANDE 4 (Mas de 1.000.000 UF) | Empleados: 49</t>
        </is>
      </c>
      <c r="L984" s="61" t="n"/>
      <c r="M984" s="61" t="n"/>
      <c r="N984" s="61" t="n"/>
      <c r="O984" s="61" t="n"/>
      <c r="P984" s="61" t="n"/>
      <c r="Q984" s="62" t="n"/>
      <c r="R984" s="61" t="n"/>
    </row>
    <row r="985" ht="15.75" customHeight="1" s="38">
      <c r="A985" s="66" t="inlineStr">
        <is>
          <t>HRI S.A.</t>
        </is>
      </c>
      <c r="B985" s="66" t="inlineStr">
        <is>
          <t>Bombas, Compresores</t>
        </is>
      </c>
      <c r="C985" s="66" t="inlineStr">
        <is>
          <t>Santiago</t>
        </is>
      </c>
      <c r="D985" s="66" t="inlineStr">
        <is>
          <t>info@hri.cl</t>
        </is>
      </c>
      <c r="E985" s="66" t="inlineStr">
        <is>
          <t>(56) 9 5389 5950</t>
        </is>
      </c>
      <c r="F985" s="66" t="n"/>
      <c r="G985" s="66" t="n"/>
      <c r="H985" s="66" t="n"/>
      <c r="I985" s="66" t="inlineStr">
        <is>
          <t>96690270-1</t>
        </is>
      </c>
      <c r="J985" s="66" t="n"/>
      <c r="K985" s="66" t="inlineStr">
        <is>
          <t>Ventas: GRANDE 3 (600.000 - 1.000.000 UF) | Empleados: 249</t>
        </is>
      </c>
      <c r="L985" s="61" t="n"/>
      <c r="M985" s="61" t="n"/>
      <c r="N985" s="61" t="n"/>
      <c r="O985" s="61" t="n"/>
      <c r="P985" s="61" t="n"/>
      <c r="Q985" s="62" t="n"/>
      <c r="R985" s="61" t="n"/>
    </row>
    <row r="986" ht="15.75" customHeight="1" s="38">
      <c r="A986" s="66" t="inlineStr">
        <is>
          <t>HTM</t>
        </is>
      </c>
      <c r="B986" s="66" t="inlineStr">
        <is>
          <t>Anticorrosivos, Válvulas</t>
        </is>
      </c>
      <c r="C986" s="66" t="inlineStr">
        <is>
          <t>Santiago</t>
        </is>
      </c>
      <c r="D986" s="66" t="inlineStr">
        <is>
          <t>info@htmchile.cl</t>
        </is>
      </c>
      <c r="E986" s="66" t="inlineStr">
        <is>
          <t>(56) 2 2242 2675</t>
        </is>
      </c>
      <c r="F986" s="66" t="n"/>
      <c r="G986" s="66" t="n"/>
      <c r="H986" s="66" t="n"/>
      <c r="I986" s="66" t="inlineStr">
        <is>
          <t>77601367-6</t>
        </is>
      </c>
      <c r="J986" s="66" t="n"/>
      <c r="K986" s="66" t="inlineStr">
        <is>
          <t>Ventas: MEDIANA 1 (25.000 - 50.000 UF) | Empleados: 4</t>
        </is>
      </c>
      <c r="L986" s="61" t="n"/>
      <c r="M986" s="61" t="n"/>
      <c r="N986" s="61" t="n"/>
      <c r="O986" s="61" t="n"/>
      <c r="P986" s="61" t="n"/>
      <c r="Q986" s="62" t="n"/>
      <c r="R986" s="61" t="n"/>
    </row>
    <row r="987" ht="15.75" customHeight="1" s="38">
      <c r="A987" s="66" t="inlineStr">
        <is>
          <t>Hualpén</t>
        </is>
      </c>
      <c r="B987" s="66" t="inlineStr">
        <is>
          <t>Proveedor Destacado, Transporte de Personal</t>
        </is>
      </c>
      <c r="C987" s="66" t="inlineStr">
        <is>
          <t>Hualpén</t>
        </is>
      </c>
      <c r="D987" s="66" t="inlineStr">
        <is>
          <t>daniel.matthews@buseshualpen.cl</t>
        </is>
      </c>
      <c r="E987" s="66" t="inlineStr">
        <is>
          <t>(56) 41 219 3300</t>
        </is>
      </c>
      <c r="F987" s="66" t="n"/>
      <c r="G987" s="66" t="n"/>
      <c r="H987" s="66" t="inlineStr">
        <is>
          <t>http://www.buseshualpen.cl</t>
        </is>
      </c>
      <c r="I987" s="66" t="inlineStr">
        <is>
          <t>84.794.200-2</t>
        </is>
      </c>
      <c r="J987" s="66" t="n"/>
      <c r="K987" s="66" t="inlineStr">
        <is>
          <t>Ventas: GRANDE (Estimado por Empleados) | Empleados: 3472</t>
        </is>
      </c>
      <c r="L987" s="61" t="n"/>
      <c r="M987" s="61" t="n"/>
      <c r="N987" s="61" t="n"/>
      <c r="O987" s="61" t="n"/>
      <c r="P987" s="61" t="n"/>
      <c r="Q987" s="62" t="n"/>
      <c r="R987" s="61" t="n"/>
    </row>
    <row r="988" ht="15.75" customHeight="1" s="38">
      <c r="A988" s="66" t="inlineStr">
        <is>
          <t>Huebner Chile SpA</t>
        </is>
      </c>
      <c r="B988" s="66" t="inlineStr">
        <is>
          <t>Encoders</t>
        </is>
      </c>
      <c r="C988" s="66" t="inlineStr">
        <is>
          <t>Santiago</t>
        </is>
      </c>
      <c r="D988" s="66" t="inlineStr">
        <is>
          <t>miguel.castillo@huebner-chile.cl</t>
        </is>
      </c>
      <c r="E988" s="66" t="inlineStr">
        <is>
          <t>(56) 9 9122 2060</t>
        </is>
      </c>
      <c r="F988" s="66" t="n"/>
      <c r="G988" s="66" t="n"/>
      <c r="H988" s="66" t="n"/>
      <c r="I988" s="66" t="inlineStr">
        <is>
          <t>76.751.716-5</t>
        </is>
      </c>
      <c r="J988" s="66" t="n"/>
      <c r="K988" s="66" t="inlineStr">
        <is>
          <t>Ventas: MEDIANA 1 (25.000 - 50.000 UF) | Empleados: 3</t>
        </is>
      </c>
      <c r="L988" s="61" t="n"/>
      <c r="M988" s="61" t="n"/>
      <c r="N988" s="61" t="n"/>
      <c r="O988" s="61" t="n"/>
      <c r="P988" s="61" t="n"/>
      <c r="Q988" s="62" t="n"/>
      <c r="R988" s="61" t="n"/>
    </row>
    <row r="989" ht="15.75" customHeight="1" s="38">
      <c r="A989" s="66" t="inlineStr">
        <is>
          <t>Hugo Gomez Group</t>
        </is>
      </c>
      <c r="B989" s="66" t="inlineStr">
        <is>
          <t>Servicios Legales y Comerciales</t>
        </is>
      </c>
      <c r="C989" s="66" t="inlineStr">
        <is>
          <t>Santiago</t>
        </is>
      </c>
      <c r="D989" s="66" t="inlineStr">
        <is>
          <t>contacto@hgomezgroup.com</t>
        </is>
      </c>
      <c r="E989" s="66" t="inlineStr">
        <is>
          <t>(56) 2 2242 1157</t>
        </is>
      </c>
      <c r="F989" s="66" t="n"/>
      <c r="G989" s="66" t="n"/>
      <c r="H989" s="66" t="n"/>
      <c r="I989" s="66" t="inlineStr">
        <is>
          <t>76.107.781-3</t>
        </is>
      </c>
      <c r="J989" s="66" t="n"/>
      <c r="K989" s="66" t="inlineStr">
        <is>
          <t>Ventas: MEDIANA 1 (25.000 - 50.000 UF) | Empleados: 6</t>
        </is>
      </c>
      <c r="L989" s="61" t="n"/>
      <c r="M989" s="61" t="n"/>
      <c r="N989" s="61" t="n"/>
      <c r="O989" s="61" t="n"/>
      <c r="P989" s="61" t="n"/>
      <c r="Q989" s="62" t="n"/>
      <c r="R989" s="61" t="n"/>
    </row>
    <row r="990" ht="15.75" customHeight="1" s="38">
      <c r="A990" s="66" t="inlineStr">
        <is>
          <t>Hydac Tecnología Chile Ltda.</t>
        </is>
      </c>
      <c r="B990" s="66" t="inlineStr">
        <is>
          <t>Bombas, Válvulas</t>
        </is>
      </c>
      <c r="C990" s="66" t="inlineStr">
        <is>
          <t>Santiago</t>
        </is>
      </c>
      <c r="D990" s="66" t="n"/>
      <c r="E990" s="66" t="inlineStr">
        <is>
          <t>(56) 2 2584 6754</t>
        </is>
      </c>
      <c r="F990" s="66" t="n"/>
      <c r="G990" s="66" t="n"/>
      <c r="H990" s="66" t="n"/>
      <c r="I990" s="66" t="inlineStr">
        <is>
          <t>76.143.648-1</t>
        </is>
      </c>
      <c r="J990" s="66" t="n"/>
      <c r="K990" s="66" t="inlineStr">
        <is>
          <t>Ventas: MEDIANA 1 (25.000 - 50.000 UF) | Empleados: 8</t>
        </is>
      </c>
      <c r="L990" s="61" t="n"/>
      <c r="M990" s="61" t="n"/>
      <c r="N990" s="61" t="n"/>
      <c r="O990" s="61" t="n"/>
      <c r="P990" s="61" t="n"/>
      <c r="Q990" s="62" t="n"/>
      <c r="R990" s="61" t="n"/>
    </row>
    <row r="991" ht="15.75" customHeight="1" s="38">
      <c r="A991" s="66" t="inlineStr">
        <is>
          <t>Hydrocar Chile S.A.</t>
        </is>
      </c>
      <c r="B991" s="66" t="inlineStr">
        <is>
          <t>Bombas Centrífugas, Compresores</t>
        </is>
      </c>
      <c r="C991" s="66" t="inlineStr">
        <is>
          <t>Santiago</t>
        </is>
      </c>
      <c r="D991" s="66" t="inlineStr">
        <is>
          <t>contacto@hydrocar.cl</t>
        </is>
      </c>
      <c r="E991" s="66" t="inlineStr">
        <is>
          <t>(56) 2 2963 3870</t>
        </is>
      </c>
      <c r="F991" s="66" t="n"/>
      <c r="G991" s="66" t="n"/>
      <c r="H991" s="66" t="n"/>
      <c r="I991" s="66" t="inlineStr">
        <is>
          <t>96.844.500-6</t>
        </is>
      </c>
      <c r="J991" s="66" t="n"/>
      <c r="K991" s="66" t="inlineStr">
        <is>
          <t>Ventas: GRANDE 3 (600.000 - 1.000.000 UF) | Empleados: 57</t>
        </is>
      </c>
      <c r="L991" s="61" t="n"/>
      <c r="M991" s="61" t="n"/>
      <c r="N991" s="61" t="n"/>
      <c r="O991" s="61" t="n"/>
      <c r="P991" s="61" t="n"/>
      <c r="Q991" s="62" t="n"/>
      <c r="R991" s="61" t="n"/>
    </row>
    <row r="992" ht="15.75" customHeight="1" s="38">
      <c r="A992" s="66" t="inlineStr">
        <is>
          <t>HydroionicSpA</t>
        </is>
      </c>
      <c r="B992" s="66" t="inlineStr">
        <is>
          <t>Plantas de Osmosis Inversa, Tratamiento de Aguas</t>
        </is>
      </c>
      <c r="C992" s="66" t="inlineStr">
        <is>
          <t>Santiago</t>
        </is>
      </c>
      <c r="D992" s="66" t="inlineStr">
        <is>
          <t>contacto@hydroionic.cl</t>
        </is>
      </c>
      <c r="E992" s="66" t="inlineStr">
        <is>
          <t>(56) 2 2942 5467</t>
        </is>
      </c>
      <c r="F992" s="66" t="n"/>
      <c r="G992" s="66" t="n"/>
      <c r="H992" s="66" t="n"/>
      <c r="I992" s="66" t="inlineStr">
        <is>
          <t>77.076.384-3</t>
        </is>
      </c>
      <c r="J992" s="66" t="n"/>
      <c r="K992" s="66" t="inlineStr">
        <is>
          <t>Ventas: GRANDE 1 (100.000 - 200.000 UF) | Empleados: 33</t>
        </is>
      </c>
      <c r="L992" s="61" t="n"/>
      <c r="M992" s="61" t="n"/>
      <c r="N992" s="61" t="n"/>
      <c r="O992" s="61" t="n"/>
      <c r="P992" s="61" t="n"/>
      <c r="Q992" s="62" t="n"/>
      <c r="R992" s="61" t="n"/>
    </row>
    <row r="993" ht="15.75" customHeight="1" s="38">
      <c r="A993" s="66" t="inlineStr">
        <is>
          <t>Hydroseal Ltda.</t>
        </is>
      </c>
      <c r="B993" s="66" t="inlineStr">
        <is>
          <t>Tuberías PVC para Pozos, Válvulas de PVC y CPVC</t>
        </is>
      </c>
      <c r="C993" s="66" t="inlineStr">
        <is>
          <t>Santiago</t>
        </is>
      </c>
      <c r="D993" s="66" t="inlineStr">
        <is>
          <t>ventas2@hydroseal.cl</t>
        </is>
      </c>
      <c r="E993" s="66" t="inlineStr">
        <is>
          <t>(56) 2 3247 0095</t>
        </is>
      </c>
      <c r="F993" s="66" t="n"/>
      <c r="G993" s="66" t="n"/>
      <c r="H993" s="66" t="n"/>
      <c r="I993" s="66" t="inlineStr">
        <is>
          <t>76.794.697-K</t>
        </is>
      </c>
      <c r="J993" s="66" t="n"/>
      <c r="K993" s="66" t="inlineStr">
        <is>
          <t>Ventas: MEDIANA 2 (50.000 - 100.000 UF) | Empleados: 14</t>
        </is>
      </c>
      <c r="L993" s="61" t="n"/>
      <c r="M993" s="61" t="n"/>
      <c r="N993" s="61" t="n"/>
      <c r="O993" s="61" t="n"/>
      <c r="P993" s="61" t="n"/>
      <c r="Q993" s="62" t="n"/>
      <c r="R993" s="61" t="n"/>
    </row>
    <row r="994" ht="15.75" customHeight="1" s="38">
      <c r="A994" s="66" t="inlineStr">
        <is>
          <t>Hydrotrap S.A.</t>
        </is>
      </c>
      <c r="B994" s="66" t="inlineStr">
        <is>
          <t>Trampas para Vapor, Válvulas para Vapor</t>
        </is>
      </c>
      <c r="C994" s="66" t="inlineStr">
        <is>
          <t>Santiago</t>
        </is>
      </c>
      <c r="D994" s="66" t="inlineStr">
        <is>
          <t>ventas@hydrotrap.cl</t>
        </is>
      </c>
      <c r="E994" s="66" t="inlineStr">
        <is>
          <t>(56) 2 2274 9920</t>
        </is>
      </c>
      <c r="F994" s="66" t="n"/>
      <c r="G994" s="66" t="n"/>
      <c r="H994" s="66" t="n"/>
      <c r="I994" s="66" t="inlineStr">
        <is>
          <t>78.265.110-2</t>
        </is>
      </c>
      <c r="J994" s="66" t="n"/>
      <c r="K994" s="66" t="inlineStr">
        <is>
          <t>Ventas: MEDIANA 1 (25.000 - 50.000 UF) | Empleados: 4</t>
        </is>
      </c>
      <c r="L994" s="61" t="n"/>
      <c r="M994" s="61" t="n"/>
      <c r="N994" s="61" t="n"/>
      <c r="O994" s="61" t="n"/>
      <c r="P994" s="61" t="n"/>
      <c r="Q994" s="62" t="n"/>
      <c r="R994" s="61" t="n"/>
    </row>
    <row r="995" ht="15.75" customHeight="1" s="38">
      <c r="A995" s="66" t="inlineStr">
        <is>
          <t>Hytech Latin American SpA</t>
        </is>
      </c>
      <c r="B995" s="66" t="inlineStr">
        <is>
          <t>Bombas</t>
        </is>
      </c>
      <c r="C995" s="66" t="inlineStr">
        <is>
          <t>Santiago</t>
        </is>
      </c>
      <c r="D995" s="66" t="inlineStr">
        <is>
          <t>contacto@hytechlam.com</t>
        </is>
      </c>
      <c r="E995" s="66" t="inlineStr">
        <is>
          <t>(56) 9 5483 0122</t>
        </is>
      </c>
      <c r="F995" s="66" t="n"/>
      <c r="G995" s="66" t="n"/>
      <c r="H995" s="66" t="n"/>
      <c r="I995" s="66" t="inlineStr">
        <is>
          <t>76.485.699-6</t>
        </is>
      </c>
      <c r="J995" s="66" t="n"/>
      <c r="K995" s="66" t="inlineStr">
        <is>
          <t>Ventas: GRANDE 1 (100.000 - 200.000 UF) | Empleados: 0</t>
        </is>
      </c>
      <c r="L995" s="61" t="n"/>
      <c r="M995" s="61" t="n"/>
      <c r="N995" s="61" t="n"/>
      <c r="O995" s="61" t="n"/>
      <c r="P995" s="61" t="n"/>
      <c r="Q995" s="62" t="n"/>
      <c r="R995" s="61" t="n"/>
    </row>
    <row r="996" ht="15.75" customHeight="1" s="38">
      <c r="A996" s="59" t="inlineStr">
        <is>
          <t>Hytera Chile</t>
        </is>
      </c>
      <c r="B996" s="59" t="inlineStr">
        <is>
          <t>Radiocomunicaciones, Soluciones de LTE Privado</t>
        </is>
      </c>
      <c r="C996" s="59" t="inlineStr">
        <is>
          <t>Santiago</t>
        </is>
      </c>
      <c r="D996" s="59" t="inlineStr">
        <is>
          <t>mercadeo@hytera.la</t>
        </is>
      </c>
      <c r="E996" s="59" t="inlineStr">
        <is>
          <t>(56) 9 3299 4410</t>
        </is>
      </c>
      <c r="F996" s="59" t="inlineStr">
        <is>
          <t>Claudio López (Ingeniero Superior Campo)</t>
        </is>
      </c>
      <c r="G996" s="59" t="n"/>
      <c r="H996" s="59" t="n"/>
      <c r="I996" s="59" t="inlineStr">
        <is>
          <t>76.825.305-6</t>
        </is>
      </c>
      <c r="J996" s="59" t="inlineStr">
        <is>
          <t>Comunicaciones Críticas (TETRA/DMR) Minería</t>
        </is>
      </c>
      <c r="K996" s="59" t="inlineStr">
        <is>
          <t>Ventas: GRANDE 2 (200.000 - 600.000 UF) | Empleados: 37</t>
        </is>
      </c>
      <c r="L996" s="61" t="n"/>
      <c r="M996" s="61" t="n"/>
      <c r="N996" s="61" t="n"/>
      <c r="O996" s="61" t="n"/>
      <c r="P996" s="61" t="n"/>
      <c r="Q996" s="62" t="n"/>
      <c r="R996" s="61" t="n"/>
    </row>
    <row r="997" ht="15.75" customHeight="1" s="38">
      <c r="A997" s="66" t="inlineStr">
        <is>
          <t>I&amp;T Solutions</t>
        </is>
      </c>
      <c r="B997" s="66" t="inlineStr">
        <is>
          <t>Automatización Industrial, Sistema Automatizado para Detectar Personal en Areas de Transporte de Material, Soluciones Tecnológicas</t>
        </is>
      </c>
      <c r="C997" s="66" t="inlineStr">
        <is>
          <t>Santiago</t>
        </is>
      </c>
      <c r="D997" s="66" t="inlineStr">
        <is>
          <t>info@i-tsolutions.cl</t>
        </is>
      </c>
      <c r="E997" s="66" t="inlineStr">
        <is>
          <t>(56) 2 3363 9411</t>
        </is>
      </c>
      <c r="F997" s="66" t="n"/>
      <c r="G997" s="66" t="n"/>
      <c r="H997" s="66" t="n"/>
      <c r="I997" s="66" t="inlineStr">
        <is>
          <t>99.588.680-4</t>
        </is>
      </c>
      <c r="J997" s="66" t="n"/>
      <c r="K997" s="66" t="inlineStr">
        <is>
          <t>Ventas: MEDIANA 1 (25.000 - 50.000 UF) | Empleados: 13</t>
        </is>
      </c>
      <c r="L997" s="61" t="n"/>
      <c r="M997" s="61" t="n"/>
      <c r="N997" s="61" t="n"/>
      <c r="O997" s="61" t="n"/>
      <c r="P997" s="61" t="n"/>
      <c r="Q997" s="62" t="n"/>
      <c r="R997" s="61" t="n"/>
    </row>
    <row r="998" ht="15.75" customHeight="1" s="38">
      <c r="A998" s="66" t="inlineStr">
        <is>
          <t>Iberoplast Chile</t>
        </is>
      </c>
      <c r="B998" s="66" t="inlineStr">
        <is>
          <t>Sacos</t>
        </is>
      </c>
      <c r="C998" s="66" t="inlineStr">
        <is>
          <t>Santiago</t>
        </is>
      </c>
      <c r="D998" s="66" t="inlineStr">
        <is>
          <t>info@iberoplast.pe</t>
        </is>
      </c>
      <c r="E998" s="66" t="inlineStr">
        <is>
          <t>(56) 9 8449 5337</t>
        </is>
      </c>
      <c r="F998" s="66" t="n"/>
      <c r="G998" s="66" t="n"/>
      <c r="H998" s="66" t="n"/>
      <c r="I998" s="66" t="inlineStr">
        <is>
          <t>76850059-2</t>
        </is>
      </c>
      <c r="J998" s="66" t="n"/>
      <c r="K998" s="66" t="inlineStr">
        <is>
          <t>Ventas: GRANDE 2 (200.000 - 600.000 UF) | Empleados: 1</t>
        </is>
      </c>
      <c r="L998" s="61" t="n"/>
      <c r="M998" s="61" t="n"/>
      <c r="N998" s="61" t="n"/>
      <c r="O998" s="61" t="n"/>
      <c r="P998" s="61" t="n"/>
      <c r="Q998" s="62" t="n"/>
      <c r="R998" s="61" t="n"/>
    </row>
    <row r="999" ht="15.75" customHeight="1" s="38">
      <c r="A999" s="66" t="inlineStr">
        <is>
          <t>IBM de Chile S.A.C.</t>
        </is>
      </c>
      <c r="B999" s="66" t="inlineStr">
        <is>
          <t>Administración de Redes de Equipos para Computación, Asesorías en Informática</t>
        </is>
      </c>
      <c r="C999" s="66" t="inlineStr">
        <is>
          <t>Santiago</t>
        </is>
      </c>
      <c r="D999" s="66" t="n"/>
      <c r="E999" s="66" t="inlineStr">
        <is>
          <t>(56) 2 2200 6000</t>
        </is>
      </c>
      <c r="F999" s="66" t="n"/>
      <c r="G999" s="66" t="n"/>
      <c r="H999" s="66" t="n"/>
      <c r="I999" s="66" t="inlineStr">
        <is>
          <t>92.040.000-0</t>
        </is>
      </c>
      <c r="J999" s="66" t="n"/>
      <c r="K999" s="66" t="inlineStr">
        <is>
          <t>Ventas: GRANDE (Estimado por Empleados) | Empleados: 641</t>
        </is>
      </c>
      <c r="L999" s="61" t="n"/>
      <c r="M999" s="61" t="n"/>
      <c r="N999" s="61" t="n"/>
      <c r="O999" s="61" t="n"/>
      <c r="P999" s="61" t="n"/>
      <c r="Q999" s="62" t="n"/>
      <c r="R999" s="61" t="n"/>
    </row>
    <row r="1000" ht="15.75" customHeight="1" s="38">
      <c r="A1000" s="66" t="inlineStr">
        <is>
          <t>Icafal Ingeniería y Construcción S.A.</t>
        </is>
      </c>
      <c r="B1000" s="66" t="inlineStr">
        <is>
          <t>Construcción de Obras Civiles</t>
        </is>
      </c>
      <c r="C1000" s="66" t="inlineStr">
        <is>
          <t>Santiago</t>
        </is>
      </c>
      <c r="D1000" s="66" t="inlineStr">
        <is>
          <t>contacto@icafal.cl</t>
        </is>
      </c>
      <c r="E1000" s="66" t="inlineStr">
        <is>
          <t>(56) 2 2351 9200</t>
        </is>
      </c>
      <c r="F1000" s="66" t="n"/>
      <c r="G1000" s="66" t="n"/>
      <c r="H1000" s="66" t="n"/>
      <c r="I1000" s="66" t="inlineStr">
        <is>
          <t>88.481.800-1</t>
        </is>
      </c>
      <c r="J1000" s="66" t="n"/>
      <c r="K1000" s="66" t="inlineStr">
        <is>
          <t>Ventas: GRANDE (Estimado por Empleados) | Empleados: 3813</t>
        </is>
      </c>
      <c r="L1000" s="61" t="n"/>
      <c r="M1000" s="61" t="n"/>
      <c r="N1000" s="61" t="n"/>
      <c r="O1000" s="61" t="n"/>
      <c r="P1000" s="61" t="n"/>
      <c r="Q1000" s="62" t="n"/>
      <c r="R1000" s="61" t="n"/>
    </row>
    <row r="1001" ht="15.75" customHeight="1" s="38">
      <c r="A1001" s="66" t="inlineStr">
        <is>
          <t>Icem S.A.</t>
        </is>
      </c>
      <c r="B1001" s="66" t="inlineStr">
        <is>
          <t>Sondajes, Tronaduras</t>
        </is>
      </c>
      <c r="C1001" s="66" t="inlineStr">
        <is>
          <t>Santiago</t>
        </is>
      </c>
      <c r="D1001" s="66" t="inlineStr">
        <is>
          <t>info@icem.cl</t>
        </is>
      </c>
      <c r="E1001" s="66" t="inlineStr">
        <is>
          <t>(56) 2 2902 0697</t>
        </is>
      </c>
      <c r="F1001" s="66" t="inlineStr">
        <is>
          <t>Gerente de TI / CIO (Director de Tecnología)</t>
        </is>
      </c>
      <c r="G1001" s="66" t="n"/>
      <c r="H1001" s="66" t="n"/>
      <c r="I1001" s="66" t="inlineStr">
        <is>
          <t>79.723.890-2</t>
        </is>
      </c>
      <c r="J1001" s="66" t="n"/>
      <c r="K1001" s="66" t="inlineStr">
        <is>
          <t>Ventas: GRANDE 4 (Mas de 1.000.000 UF) | Empleados: 757</t>
        </is>
      </c>
      <c r="L1001" s="61" t="n"/>
      <c r="M1001" s="61" t="n"/>
      <c r="N1001" s="61" t="n"/>
      <c r="O1001" s="61" t="n"/>
      <c r="P1001" s="61" t="n"/>
      <c r="Q1001" s="62" t="n"/>
      <c r="R1001" s="61" t="n"/>
    </row>
    <row r="1002" ht="15.75" customHeight="1" s="38">
      <c r="A1002" s="59" t="inlineStr">
        <is>
          <t>Icheck Cargo International Logistics</t>
        </is>
      </c>
      <c r="B1002" s="59" t="inlineStr">
        <is>
          <t>Agencias de Carga, Transporte Internacional</t>
        </is>
      </c>
      <c r="C1002" s="59" t="inlineStr">
        <is>
          <t>Santiago</t>
        </is>
      </c>
      <c r="D1002" s="59" t="inlineStr">
        <is>
          <t>comercial@icheckcargo.cl</t>
        </is>
      </c>
      <c r="E1002" s="59" t="inlineStr">
        <is>
          <t>(56) 2 2822 6360</t>
        </is>
      </c>
      <c r="F1002" s="59" t="inlineStr">
        <is>
          <t>Ingrid Montecino Diaz (CEO &amp; Co-Founder)</t>
        </is>
      </c>
      <c r="G1002" s="59" t="n"/>
      <c r="H1002" s="59" t="n"/>
      <c r="I1002" s="59" t="inlineStr">
        <is>
          <t>76.962.899-1</t>
        </is>
      </c>
      <c r="J1002" s="59" t="inlineStr">
        <is>
          <t>Expansión Operaciones Freight Forwarding</t>
        </is>
      </c>
      <c r="K1002" s="59" t="inlineStr">
        <is>
          <t>Ventas: GRANDE 2 (200.000 - 600.000 UF) | Empleados: 22</t>
        </is>
      </c>
      <c r="L1002" s="61" t="n"/>
      <c r="M1002" s="61" t="n"/>
      <c r="N1002" s="61" t="n"/>
      <c r="O1002" s="61" t="n"/>
      <c r="P1002" s="61" t="n"/>
      <c r="Q1002" s="62" t="n"/>
      <c r="R1002" s="61" t="n"/>
    </row>
    <row r="1003" ht="15.75" customHeight="1" s="38">
      <c r="A1003" s="66" t="inlineStr">
        <is>
          <t>ICL Cátodos Ltda.</t>
        </is>
      </c>
      <c r="B1003" s="66" t="inlineStr">
        <is>
          <t>Cátodos, Cubre Bordes de Cátodos</t>
        </is>
      </c>
      <c r="C1003" s="66" t="inlineStr">
        <is>
          <t>Calama</t>
        </is>
      </c>
      <c r="D1003" s="66" t="inlineStr">
        <is>
          <t>icl@iclcatodos.cl</t>
        </is>
      </c>
      <c r="E1003" s="66" t="inlineStr">
        <is>
          <t>(56) 44 2470 121</t>
        </is>
      </c>
      <c r="F1003" s="66" t="n"/>
      <c r="G1003" s="66" t="n"/>
      <c r="H1003" s="66" t="n"/>
      <c r="I1003" s="66" t="inlineStr">
        <is>
          <t>77.189.740-1</t>
        </is>
      </c>
      <c r="J1003" s="66" t="n"/>
      <c r="K1003" s="66" t="inlineStr">
        <is>
          <t>Ventas: GRANDE (Estimado por Empleados) | Empleados: 717</t>
        </is>
      </c>
      <c r="L1003" s="61" t="n"/>
      <c r="M1003" s="61" t="n"/>
      <c r="N1003" s="61" t="n"/>
      <c r="O1003" s="61" t="n"/>
      <c r="P1003" s="61" t="n"/>
      <c r="Q1003" s="62" t="n"/>
      <c r="R1003" s="61" t="n"/>
    </row>
    <row r="1004" ht="15.75" customHeight="1" s="38">
      <c r="A1004" s="66" t="inlineStr">
        <is>
          <t>iConstruye</t>
        </is>
      </c>
      <c r="B1004" s="66" t="inlineStr">
        <is>
          <t>Digitalización del Proceso de Abastecimiento, Plataforma para Gestión de Abastecimiento y Logística</t>
        </is>
      </c>
      <c r="C1004" s="66" t="inlineStr">
        <is>
          <t>Santiago</t>
        </is>
      </c>
      <c r="D1004" s="66" t="inlineStr">
        <is>
          <t>mesadeayuda@iconstruye.com</t>
        </is>
      </c>
      <c r="E1004" s="66" t="inlineStr">
        <is>
          <t>(56) 2 2486 1111</t>
        </is>
      </c>
      <c r="F1004" s="66" t="n"/>
      <c r="G1004" s="66" t="n"/>
      <c r="H1004" s="66" t="n"/>
      <c r="I1004" s="66" t="inlineStr">
        <is>
          <t>96.941.720-0</t>
        </is>
      </c>
      <c r="J1004" s="66" t="n"/>
      <c r="K1004" s="66" t="inlineStr">
        <is>
          <t>Ventas: GRANDE 3 (600.000 - 1.000.000 UF) | Empleados: 180</t>
        </is>
      </c>
      <c r="L1004" s="61" t="n"/>
      <c r="M1004" s="61" t="n"/>
      <c r="N1004" s="61" t="n"/>
      <c r="O1004" s="61" t="n"/>
      <c r="P1004" s="61" t="n"/>
      <c r="Q1004" s="62" t="n"/>
      <c r="R1004" s="61" t="n"/>
    </row>
    <row r="1005" ht="15.75" customHeight="1" s="38">
      <c r="A1005" s="66" t="inlineStr">
        <is>
          <t>Idea Blast Chile SpA</t>
        </is>
      </c>
      <c r="B1005" s="66" t="inlineStr">
        <is>
          <t>Detonadores, Tapón Sellador para Optimizar Voladura en Pozos</t>
        </is>
      </c>
      <c r="C1005" s="66" t="inlineStr">
        <is>
          <t>Antofagasta</t>
        </is>
      </c>
      <c r="D1005" s="66" t="inlineStr">
        <is>
          <t>info@ideablast.cl</t>
        </is>
      </c>
      <c r="E1005" s="66" t="inlineStr">
        <is>
          <t>(56) 9 6227 7679</t>
        </is>
      </c>
      <c r="F1005" s="66" t="n"/>
      <c r="G1005" s="66" t="n"/>
      <c r="H1005" s="66" t="n"/>
      <c r="I1005" s="66" t="inlineStr">
        <is>
          <t>76.720.645-3</t>
        </is>
      </c>
      <c r="J1005" s="66" t="n"/>
      <c r="K1005" s="66" t="inlineStr">
        <is>
          <t>Ventas: PEQUEÑA 3 (10.000 - 25.000 UF) | Empleados: 0</t>
        </is>
      </c>
      <c r="L1005" s="61" t="n"/>
      <c r="M1005" s="61" t="n"/>
      <c r="N1005" s="61" t="n"/>
      <c r="O1005" s="61" t="n"/>
      <c r="P1005" s="61" t="n"/>
      <c r="Q1005" s="62" t="n"/>
      <c r="R1005" s="61" t="n"/>
    </row>
    <row r="1006" ht="15.75" customHeight="1" s="38">
      <c r="A1006" s="66" t="inlineStr">
        <is>
          <t>Idemin</t>
        </is>
      </c>
      <c r="B1006" s="66" t="inlineStr">
        <is>
          <t>Barras Catódicas y Anódicas, Separadores Anódicos</t>
        </is>
      </c>
      <c r="C1006" s="66" t="inlineStr">
        <is>
          <t>Antofagasta</t>
        </is>
      </c>
      <c r="D1006" s="66" t="inlineStr">
        <is>
          <t>ventas@idemin.cl</t>
        </is>
      </c>
      <c r="E1006" s="66" t="inlineStr">
        <is>
          <t>(56) 55 248 0868</t>
        </is>
      </c>
      <c r="F1006" s="66" t="n"/>
      <c r="G1006" s="66" t="n"/>
      <c r="H1006" s="66" t="n"/>
      <c r="I1006" s="66" t="inlineStr">
        <is>
          <t>76.082.048-2</t>
        </is>
      </c>
      <c r="J1006" s="66" t="n"/>
      <c r="K1006" s="66" t="inlineStr">
        <is>
          <t>Ventas: MEDIANA 1 (25.000 - 50.000 UF) | Empleados: 11</t>
        </is>
      </c>
      <c r="L1006" s="61" t="n"/>
      <c r="M1006" s="61" t="n"/>
      <c r="N1006" s="61" t="n"/>
      <c r="O1006" s="61" t="n"/>
      <c r="P1006" s="61" t="n"/>
      <c r="Q1006" s="62" t="n"/>
      <c r="R1006" s="61" t="n"/>
    </row>
    <row r="1007" ht="15.75" customHeight="1" s="38">
      <c r="A1007" s="66" t="inlineStr">
        <is>
          <t>Idiem</t>
        </is>
      </c>
      <c r="B1007" s="66" t="inlineStr">
        <is>
          <t>Asesorías Contractuales en Controversias y Claims, Asesorías y Estudios Técnicos, Centro de Investigación en Minería, Certificación de Materiales, Diplomado en Gestión de Operaciones y Logística, Diplomado en Proyectos y Minería del Futuro, Ensayos de Laboratorio</t>
        </is>
      </c>
      <c r="C1007" s="66" t="inlineStr">
        <is>
          <t>Santiago</t>
        </is>
      </c>
      <c r="D1007" s="66" t="inlineStr">
        <is>
          <t>idiem@idiem.cl</t>
        </is>
      </c>
      <c r="E1007" s="66" t="inlineStr">
        <is>
          <t>(56) 2 2978 4800</t>
        </is>
      </c>
      <c r="F1007" s="66" t="n"/>
      <c r="G1007" s="66" t="n"/>
      <c r="H1007" s="66" t="n"/>
      <c r="I1007" s="66" t="inlineStr">
        <is>
          <t>60.910.000-1</t>
        </is>
      </c>
      <c r="J1007" s="66" t="n"/>
      <c r="K1007" s="66" t="inlineStr">
        <is>
          <t>Ventas: GRANDE (Estimado por Empleados) | Empleados: 18386</t>
        </is>
      </c>
      <c r="L1007" s="61" t="n"/>
      <c r="M1007" s="61" t="n"/>
      <c r="N1007" s="61" t="n"/>
      <c r="O1007" s="61" t="n"/>
      <c r="P1007" s="61" t="n"/>
      <c r="Q1007" s="62" t="n"/>
      <c r="R1007" s="61" t="n"/>
    </row>
    <row r="1008" ht="15.75" customHeight="1" s="38">
      <c r="A1008" s="59" t="inlineStr">
        <is>
          <t>Ienlace SpA</t>
        </is>
      </c>
      <c r="B1008" s="59" t="inlineStr">
        <is>
          <t>Circuitos Cerrados de Televisión (CCTV), Sistemas para Detección y Extinción de Incendios</t>
        </is>
      </c>
      <c r="C1008" s="59" t="inlineStr">
        <is>
          <t>Santiago</t>
        </is>
      </c>
      <c r="D1008" s="59" t="inlineStr">
        <is>
          <t>info@ienlace.cl</t>
        </is>
      </c>
      <c r="E1008" s="59" t="inlineStr">
        <is>
          <t>(56) 2 2951 6933</t>
        </is>
      </c>
      <c r="F1008" s="59" t="inlineStr">
        <is>
          <t>Eduardo Vial Lavin (Gerente General)</t>
        </is>
      </c>
      <c r="G1008" s="59" t="n"/>
      <c r="H1008" s="59" t="n"/>
      <c r="I1008" s="59" t="inlineStr">
        <is>
          <t>76.084.932-4</t>
        </is>
      </c>
      <c r="J1008" s="59" t="inlineStr">
        <is>
          <t>Ingeniería Seguridad Electrónica &amp; Incendio</t>
        </is>
      </c>
      <c r="K1008" s="59" t="inlineStr">
        <is>
          <t>Ventas: GRANDE 2 (200.000 - 600.000 UF) | Empleados: 149</t>
        </is>
      </c>
      <c r="L1008" s="61" t="n"/>
      <c r="M1008" s="61" t="n"/>
      <c r="N1008" s="61" t="n"/>
      <c r="O1008" s="61" t="n"/>
      <c r="P1008" s="61" t="n"/>
      <c r="Q1008" s="62" t="n"/>
      <c r="R1008" s="61" t="n"/>
    </row>
    <row r="1009" ht="15.75" customHeight="1" s="38">
      <c r="A1009" s="66" t="inlineStr">
        <is>
          <t>IFM Electronic SpA</t>
        </is>
      </c>
      <c r="B1009" s="66" t="inlineStr">
        <is>
          <t>Automatización, Sensores de Presión, Nivel y Temperatura de Aceite en Grupos Hidráulicos, Sensores para el Control de Caudal y Temperatura del Agua en Tuberías</t>
        </is>
      </c>
      <c r="C1009" s="66" t="inlineStr">
        <is>
          <t>Santiago</t>
        </is>
      </c>
      <c r="D1009" s="66" t="inlineStr">
        <is>
          <t>ifm.cl@ifm.com</t>
        </is>
      </c>
      <c r="E1009" s="66" t="inlineStr">
        <is>
          <t>(56) 2 3223 9282</t>
        </is>
      </c>
      <c r="F1009" s="66" t="n"/>
      <c r="G1009" s="66" t="n"/>
      <c r="H1009" s="66" t="n"/>
      <c r="I1009" s="66" t="inlineStr">
        <is>
          <t>76.416.258-7</t>
        </is>
      </c>
      <c r="J1009" s="66" t="n"/>
      <c r="K1009" s="66" t="inlineStr">
        <is>
          <t>Ventas: GRANDE 2 (200.000 - 600.000 UF) | Empleados: 18</t>
        </is>
      </c>
      <c r="L1009" s="61" t="n"/>
      <c r="M1009" s="61" t="n"/>
      <c r="N1009" s="61" t="n"/>
      <c r="O1009" s="61" t="n"/>
      <c r="P1009" s="61" t="n"/>
      <c r="Q1009" s="62" t="n"/>
      <c r="R1009" s="61" t="n"/>
    </row>
    <row r="1010" ht="15.75" customHeight="1" s="38">
      <c r="A1010" s="66" t="inlineStr">
        <is>
          <t>iGromi</t>
        </is>
      </c>
      <c r="B1010" s="66" t="inlineStr">
        <is>
          <t>Software</t>
        </is>
      </c>
      <c r="C1010" s="66" t="inlineStr">
        <is>
          <t>Santiago</t>
        </is>
      </c>
      <c r="D1010" s="66" t="n"/>
      <c r="E1010" s="66" t="inlineStr">
        <is>
          <t>(56) 9 8263 5546</t>
        </is>
      </c>
      <c r="F1010" s="66" t="n"/>
      <c r="G1010" s="66" t="n"/>
      <c r="H1010" s="66" t="n"/>
      <c r="I1010" s="66" t="inlineStr">
        <is>
          <t>77543704-9</t>
        </is>
      </c>
      <c r="J1010" s="66" t="n"/>
      <c r="K1010" s="66" t="inlineStr">
        <is>
          <t>Ventas: PEQUEÑA 1 (2.400 - 5.000 UF) | Empleados: 0</t>
        </is>
      </c>
      <c r="L1010" s="61" t="n"/>
      <c r="M1010" s="61" t="n"/>
      <c r="N1010" s="61" t="n"/>
      <c r="O1010" s="61" t="n"/>
      <c r="P1010" s="61" t="n"/>
      <c r="Q1010" s="62" t="n"/>
      <c r="R1010" s="61" t="n"/>
    </row>
    <row r="1011" ht="15.75" customHeight="1" s="38">
      <c r="A1011" s="66" t="inlineStr">
        <is>
          <t>IISO SpA</t>
        </is>
      </c>
      <c r="B1011" s="66" t="inlineStr">
        <is>
          <t>Salud Ocupacional</t>
        </is>
      </c>
      <c r="C1011" s="66" t="inlineStr">
        <is>
          <t>Copiapó</t>
        </is>
      </c>
      <c r="D1011" s="66" t="inlineStr">
        <is>
          <t>contacto@iiso.cl</t>
        </is>
      </c>
      <c r="E1011" s="66" t="inlineStr">
        <is>
          <t>(56) 52 244 3166</t>
        </is>
      </c>
      <c r="F1011" s="66" t="n"/>
      <c r="G1011" s="66" t="n"/>
      <c r="H1011" s="66" t="n"/>
      <c r="I1011" s="66" t="inlineStr">
        <is>
          <t>76.272.239-9</t>
        </is>
      </c>
      <c r="J1011" s="66" t="n"/>
      <c r="K1011" s="66" t="inlineStr">
        <is>
          <t>Ventas: PEQUEÑA 3 (10.000 - 25.000 UF) | Empleados: 17</t>
        </is>
      </c>
      <c r="L1011" s="61" t="n"/>
      <c r="M1011" s="61" t="n"/>
      <c r="N1011" s="61" t="n"/>
      <c r="O1011" s="61" t="n"/>
      <c r="P1011" s="61" t="n"/>
      <c r="Q1011" s="62" t="n"/>
      <c r="R1011" s="61" t="n"/>
    </row>
    <row r="1012" ht="15.75" customHeight="1" s="38">
      <c r="A1012" s="66" t="inlineStr">
        <is>
          <t>IKA Servicios Industriales SpA</t>
        </is>
      </c>
      <c r="B1012" s="66" t="inlineStr">
        <is>
          <t>Servicios Industriales</t>
        </is>
      </c>
      <c r="C1012" s="66" t="inlineStr">
        <is>
          <t>Santiago</t>
        </is>
      </c>
      <c r="D1012" s="66" t="inlineStr">
        <is>
          <t>contacto@ika.cl</t>
        </is>
      </c>
      <c r="E1012" s="66" t="inlineStr">
        <is>
          <t>(56) 2 2733 6175</t>
        </is>
      </c>
      <c r="F1012" s="66" t="n"/>
      <c r="G1012" s="66" t="n"/>
      <c r="H1012" s="66" t="n"/>
      <c r="I1012" s="66" t="inlineStr">
        <is>
          <t>76.053.940-6</t>
        </is>
      </c>
      <c r="J1012" s="66" t="n"/>
      <c r="K1012" s="66" t="inlineStr">
        <is>
          <t>Ventas: MEDIANA 2 (50.000 - 100.000 UF) | Empleados: 7</t>
        </is>
      </c>
      <c r="L1012" s="61" t="n"/>
      <c r="M1012" s="61" t="n"/>
      <c r="N1012" s="61" t="n"/>
      <c r="O1012" s="61" t="n"/>
      <c r="P1012" s="61" t="n"/>
      <c r="Q1012" s="62" t="n"/>
      <c r="R1012" s="61" t="n"/>
    </row>
    <row r="1013" ht="15.75" customHeight="1" s="38">
      <c r="A1013" s="66" t="inlineStr">
        <is>
          <t>Imaqsa</t>
        </is>
      </c>
      <c r="B1013" s="66" t="inlineStr">
        <is>
          <t>Alimentadores Vibratorios</t>
        </is>
      </c>
      <c r="C1013" s="66" t="inlineStr">
        <is>
          <t>Santiago</t>
        </is>
      </c>
      <c r="D1013" s="66" t="inlineStr">
        <is>
          <t>info@imaqsa.cl</t>
        </is>
      </c>
      <c r="E1013" s="66" t="inlineStr">
        <is>
          <t>(56) 2 2224 5550</t>
        </is>
      </c>
      <c r="F1013" s="66" t="n"/>
      <c r="G1013" s="66" t="n"/>
      <c r="H1013" s="66" t="n"/>
      <c r="I1013" s="66" t="inlineStr">
        <is>
          <t>96.886.470-K</t>
        </is>
      </c>
      <c r="J1013" s="66" t="n"/>
      <c r="K1013" s="66" t="inlineStr">
        <is>
          <t>Ventas: GRANDE 2 (200.000 - 600.000 UF) | Empleados: 9</t>
        </is>
      </c>
      <c r="L1013" s="61" t="n"/>
      <c r="M1013" s="61" t="n"/>
      <c r="N1013" s="61" t="n"/>
      <c r="O1013" s="61" t="n"/>
      <c r="P1013" s="61" t="n"/>
      <c r="Q1013" s="62" t="n"/>
      <c r="R1013" s="61" t="n"/>
    </row>
    <row r="1014" ht="15.75" customHeight="1" s="38">
      <c r="A1014" s="66" t="inlineStr">
        <is>
          <t>Imatesa</t>
        </is>
      </c>
      <c r="B1014" s="66" t="inlineStr">
        <is>
          <t>Reductores de Velocidad, Variadores de Frecuencia</t>
        </is>
      </c>
      <c r="C1014" s="66" t="inlineStr">
        <is>
          <t>Santiago</t>
        </is>
      </c>
      <c r="D1014" s="66" t="inlineStr">
        <is>
          <t>ventas@imatesa.cl</t>
        </is>
      </c>
      <c r="E1014" s="66" t="inlineStr">
        <is>
          <t>(56) 2 2275 8000</t>
        </is>
      </c>
      <c r="F1014" s="66" t="n"/>
      <c r="G1014" s="66" t="n"/>
      <c r="H1014" s="66" t="n"/>
      <c r="I1014" s="66" t="inlineStr">
        <is>
          <t>96.540.700-6</t>
        </is>
      </c>
      <c r="J1014" s="66" t="n"/>
      <c r="K1014" s="66" t="inlineStr">
        <is>
          <t>Ventas: GRANDE 3 (600.000 - 1.000.000 UF) | Empleados: 40</t>
        </is>
      </c>
      <c r="L1014" s="61" t="n"/>
      <c r="M1014" s="61" t="n"/>
      <c r="N1014" s="61" t="n"/>
      <c r="O1014" s="61" t="n"/>
      <c r="P1014" s="61" t="n"/>
      <c r="Q1014" s="62" t="n"/>
      <c r="R1014" s="61" t="n"/>
    </row>
    <row r="1015" ht="15.75" customHeight="1" s="38">
      <c r="A1015" s="66" t="inlineStr">
        <is>
          <t>Imdifer Ltda.</t>
        </is>
      </c>
      <c r="B1015" s="66" t="inlineStr">
        <is>
          <t>Accesorios para Cables y Cadenas, Cables de Acero</t>
        </is>
      </c>
      <c r="C1015" s="66" t="inlineStr">
        <is>
          <t>Santiago</t>
        </is>
      </c>
      <c r="D1015" s="66" t="inlineStr">
        <is>
          <t>ventas@imdifer.com</t>
        </is>
      </c>
      <c r="E1015" s="66" t="inlineStr">
        <is>
          <t>(56) 2 2555 2609</t>
        </is>
      </c>
      <c r="F1015" s="66" t="n"/>
      <c r="G1015" s="66" t="n"/>
      <c r="H1015" s="66" t="n"/>
      <c r="I1015" s="66" t="inlineStr">
        <is>
          <t>84.709.400-1</t>
        </is>
      </c>
      <c r="J1015" s="66" t="n"/>
      <c r="K1015" s="66" t="inlineStr">
        <is>
          <t>Ventas: GRANDE 1 (100.000 - 200.000 UF) | Empleados: 40</t>
        </is>
      </c>
      <c r="L1015" s="61" t="n"/>
      <c r="M1015" s="61" t="n"/>
      <c r="N1015" s="61" t="n"/>
      <c r="O1015" s="61" t="n"/>
      <c r="P1015" s="61" t="n"/>
      <c r="Q1015" s="62" t="n"/>
      <c r="R1015" s="61" t="n"/>
    </row>
    <row r="1016" ht="15.75" customHeight="1" s="38">
      <c r="A1016" s="66" t="inlineStr">
        <is>
          <t>IMEL</t>
        </is>
      </c>
      <c r="B1016" s="66" t="inlineStr">
        <is>
          <t>Tubos de Acero</t>
        </is>
      </c>
      <c r="C1016" s="66" t="inlineStr">
        <is>
          <t>Santiago</t>
        </is>
      </c>
      <c r="D1016" s="66" t="inlineStr">
        <is>
          <t>contacto@imel.cl</t>
        </is>
      </c>
      <c r="E1016" s="66" t="inlineStr">
        <is>
          <t>(56) 2 2434 3333</t>
        </is>
      </c>
      <c r="F1016" s="66" t="n"/>
      <c r="G1016" s="66" t="n"/>
      <c r="H1016" s="66" t="n"/>
      <c r="I1016" s="66" t="inlineStr">
        <is>
          <t>76.503.374-8</t>
        </is>
      </c>
      <c r="J1016" s="66" t="n"/>
      <c r="K1016" s="66" t="inlineStr">
        <is>
          <t>Ventas: PEQUEÑA 3 (10.000 - 25.000 UF) | Empleados: 20</t>
        </is>
      </c>
      <c r="L1016" s="61" t="n"/>
      <c r="M1016" s="61" t="n"/>
      <c r="N1016" s="61" t="n"/>
      <c r="O1016" s="61" t="n"/>
      <c r="P1016" s="61" t="n"/>
      <c r="Q1016" s="62" t="n"/>
      <c r="R1016" s="61" t="n"/>
    </row>
    <row r="1017" ht="15.75" customHeight="1" s="38">
      <c r="A1017" s="66" t="inlineStr">
        <is>
          <t>Imel Ltda.</t>
        </is>
      </c>
      <c r="B1017" s="66" t="inlineStr">
        <is>
          <t>Tubos de Acero</t>
        </is>
      </c>
      <c r="C1017" s="66" t="inlineStr">
        <is>
          <t>Santiago</t>
        </is>
      </c>
      <c r="D1017" s="66" t="inlineStr">
        <is>
          <t>contacto@imel.cl</t>
        </is>
      </c>
      <c r="E1017" s="66" t="inlineStr">
        <is>
          <t>(56) 2 2434 3333</t>
        </is>
      </c>
      <c r="F1017" s="66" t="n"/>
      <c r="G1017" s="66" t="n"/>
      <c r="H1017" s="66" t="n"/>
      <c r="I1017" s="66" t="inlineStr">
        <is>
          <t>84.280.800-6</t>
        </is>
      </c>
      <c r="J1017" s="66" t="n"/>
      <c r="K1017" s="66" t="inlineStr">
        <is>
          <t>Ventas: GRANDE (Estimado por Empleados) | Empleados: 392</t>
        </is>
      </c>
      <c r="L1017" s="61" t="n"/>
      <c r="M1017" s="61" t="n"/>
      <c r="N1017" s="61" t="n"/>
      <c r="O1017" s="61" t="n"/>
      <c r="P1017" s="61" t="n"/>
      <c r="Q1017" s="62" t="n"/>
      <c r="R1017" s="61" t="n"/>
    </row>
    <row r="1018" ht="15.75" customHeight="1" s="38">
      <c r="A1018" s="66" t="inlineStr">
        <is>
          <t>Imelsa</t>
        </is>
      </c>
      <c r="B1018" s="66" t="inlineStr">
        <is>
          <t>Proyectos de Generación</t>
        </is>
      </c>
      <c r="C1018" s="66" t="inlineStr">
        <is>
          <t>Santiago</t>
        </is>
      </c>
      <c r="D1018" s="66" t="inlineStr">
        <is>
          <t>imelsa@imelsa.cl</t>
        </is>
      </c>
      <c r="E1018" s="66" t="inlineStr">
        <is>
          <t>(56) 2 2689 3300</t>
        </is>
      </c>
      <c r="F1018" s="66" t="n"/>
      <c r="G1018" s="66" t="n"/>
      <c r="H1018" s="66" t="n"/>
      <c r="I1018" s="66" t="inlineStr">
        <is>
          <t>76078612-8</t>
        </is>
      </c>
      <c r="J1018" s="66" t="n"/>
      <c r="K1018" s="66" t="inlineStr">
        <is>
          <t>Ventas: GRANDE 1 (100.000 - 200.000 UF) | Empleados: 40</t>
        </is>
      </c>
      <c r="L1018" s="61" t="n"/>
      <c r="M1018" s="61" t="n"/>
      <c r="N1018" s="61" t="n"/>
      <c r="O1018" s="61" t="n"/>
      <c r="P1018" s="61" t="n"/>
      <c r="Q1018" s="62" t="n"/>
      <c r="R1018" s="61" t="n"/>
    </row>
    <row r="1019" ht="15.75" customHeight="1" s="38">
      <c r="A1019" s="66" t="inlineStr">
        <is>
          <t>Imestre</t>
        </is>
      </c>
      <c r="B1019" s="66" t="inlineStr">
        <is>
          <t>Equipos de Engrase, Productos Químicos</t>
        </is>
      </c>
      <c r="C1019" s="66" t="inlineStr">
        <is>
          <t>Santiago</t>
        </is>
      </c>
      <c r="D1019" s="66" t="inlineStr">
        <is>
          <t>ventas@imestre.cl</t>
        </is>
      </c>
      <c r="E1019" s="66" t="inlineStr">
        <is>
          <t>(56) 2 2799 7270</t>
        </is>
      </c>
      <c r="F1019" s="66" t="n"/>
      <c r="G1019" s="66" t="n"/>
      <c r="H1019" s="66" t="n"/>
      <c r="I1019" s="66" t="inlineStr">
        <is>
          <t>86.944.800-1</t>
        </is>
      </c>
      <c r="J1019" s="66" t="n"/>
      <c r="K1019" s="66" t="inlineStr">
        <is>
          <t>Ventas: GRANDE 3 (600.000 - 1.000.000 UF) | Empleados: 34</t>
        </is>
      </c>
      <c r="L1019" s="61" t="n"/>
      <c r="M1019" s="61" t="n"/>
      <c r="N1019" s="61" t="n"/>
      <c r="O1019" s="61" t="n"/>
      <c r="P1019" s="61" t="n"/>
      <c r="Q1019" s="62" t="n"/>
      <c r="R1019" s="61" t="n"/>
    </row>
    <row r="1020" ht="15.75" customHeight="1" s="38">
      <c r="A1020" s="66" t="inlineStr">
        <is>
          <t>IMHP Sudamericana</t>
        </is>
      </c>
      <c r="B1020" s="66" t="inlineStr">
        <is>
          <t>Equipos de Mantención</t>
        </is>
      </c>
      <c r="C1020" s="66" t="inlineStr">
        <is>
          <t>Concón</t>
        </is>
      </c>
      <c r="D1020" s="66" t="inlineStr">
        <is>
          <t>comercial3@imhp.cl</t>
        </is>
      </c>
      <c r="E1020" s="66" t="inlineStr">
        <is>
          <t>(56) 9 6174 8744</t>
        </is>
      </c>
      <c r="F1020" s="66" t="n"/>
      <c r="G1020" s="66" t="n"/>
      <c r="H1020" s="66" t="n"/>
      <c r="I1020" s="66" t="inlineStr">
        <is>
          <t>77035802-7</t>
        </is>
      </c>
      <c r="J1020" s="66" t="n"/>
      <c r="K1020" s="66" t="inlineStr">
        <is>
          <t>Ventas: MEDIANA 2 (50.000 - 100.000 UF) | Empleados: 23</t>
        </is>
      </c>
      <c r="L1020" s="61" t="n"/>
      <c r="M1020" s="61" t="n"/>
      <c r="N1020" s="61" t="n"/>
      <c r="O1020" s="61" t="n"/>
      <c r="P1020" s="61" t="n"/>
      <c r="Q1020" s="62" t="n"/>
      <c r="R1020" s="61" t="n"/>
    </row>
    <row r="1021" ht="15.75" customHeight="1" s="38">
      <c r="A1021" s="66" t="inlineStr">
        <is>
          <t>Immersive Technologies Chile S.A.</t>
        </is>
      </c>
      <c r="B1021" s="66" t="inlineStr">
        <is>
          <t>Simuladores Mineros</t>
        </is>
      </c>
      <c r="C1021" s="66" t="inlineStr">
        <is>
          <t>Santiago</t>
        </is>
      </c>
      <c r="D1021" s="66" t="inlineStr">
        <is>
          <t>enquiries@Immersivetechnologies.cl</t>
        </is>
      </c>
      <c r="E1021" s="66" t="inlineStr">
        <is>
          <t>(56) 2 2246 8855</t>
        </is>
      </c>
      <c r="F1021" s="66" t="n"/>
      <c r="G1021" s="66" t="n"/>
      <c r="H1021" s="66" t="n"/>
      <c r="I1021" s="66" t="inlineStr">
        <is>
          <t>76001597-0</t>
        </is>
      </c>
      <c r="J1021" s="66" t="n"/>
      <c r="K1021" s="66" t="inlineStr">
        <is>
          <t>Ventas: GRANDE 3 (600.000 - 1.000.000 UF) | Empleados: 38</t>
        </is>
      </c>
      <c r="L1021" s="61" t="n"/>
      <c r="M1021" s="61" t="n"/>
      <c r="N1021" s="61" t="n"/>
      <c r="O1021" s="61" t="n"/>
      <c r="P1021" s="61" t="n"/>
      <c r="Q1021" s="62" t="n"/>
      <c r="R1021" s="61" t="n"/>
    </row>
    <row r="1022" ht="15.75" customHeight="1" s="38">
      <c r="A1022" s="66" t="inlineStr">
        <is>
          <t>Impac S.A.</t>
        </is>
      </c>
      <c r="B1022" s="66" t="inlineStr">
        <is>
          <t>Control y Almacenaje de Combustible, Equipos para Pulverizar</t>
        </is>
      </c>
      <c r="C1022" s="66" t="inlineStr">
        <is>
          <t>Santiago</t>
        </is>
      </c>
      <c r="D1022" s="66" t="inlineStr">
        <is>
          <t>ventas@impac.cl</t>
        </is>
      </c>
      <c r="E1022" s="66" t="inlineStr">
        <is>
          <t>(56) 2 2591 7500</t>
        </is>
      </c>
      <c r="F1022" s="66" t="n"/>
      <c r="G1022" s="66" t="n"/>
      <c r="H1022" s="66" t="n"/>
      <c r="I1022" s="66" t="inlineStr">
        <is>
          <t>96.523.630-9</t>
        </is>
      </c>
      <c r="J1022" s="66" t="n"/>
      <c r="K1022" s="66" t="inlineStr">
        <is>
          <t>Ventas: GRANDE 2 (200.000 - 600.000 UF) | Empleados: 68</t>
        </is>
      </c>
      <c r="L1022" s="61" t="n"/>
      <c r="M1022" s="61" t="n"/>
      <c r="N1022" s="61" t="n"/>
      <c r="O1022" s="61" t="n"/>
      <c r="P1022" s="61" t="n"/>
      <c r="Q1022" s="62" t="n"/>
      <c r="R1022" s="61" t="n"/>
    </row>
    <row r="1023" ht="15.75" customHeight="1" s="38">
      <c r="A1023" s="66" t="inlineStr">
        <is>
          <t>Impomaq</t>
        </is>
      </c>
      <c r="B1023" s="66" t="inlineStr">
        <is>
          <t>Chancadores</t>
        </is>
      </c>
      <c r="C1023" s="66" t="inlineStr">
        <is>
          <t>Curicó</t>
        </is>
      </c>
      <c r="D1023" s="66" t="inlineStr">
        <is>
          <t>contacto@impomaq.cl</t>
        </is>
      </c>
      <c r="E1023" s="66" t="inlineStr">
        <is>
          <t>(56) 9 9828 3353</t>
        </is>
      </c>
      <c r="F1023" s="66" t="n"/>
      <c r="G1023" s="66" t="n"/>
      <c r="H1023" s="66" t="n"/>
      <c r="I1023" s="66" t="inlineStr">
        <is>
          <t>96.937.420-K</t>
        </is>
      </c>
      <c r="J1023" s="66" t="n"/>
      <c r="K1023" s="66" t="inlineStr">
        <is>
          <t>Ventas: GRANDE 2 (200.000 - 600.000 UF) | Empleados: 36</t>
        </is>
      </c>
      <c r="L1023" s="61" t="n"/>
      <c r="M1023" s="61" t="n"/>
      <c r="N1023" s="61" t="n"/>
      <c r="O1023" s="61" t="n"/>
      <c r="P1023" s="61" t="n"/>
      <c r="Q1023" s="62" t="n"/>
      <c r="R1023" s="61" t="n"/>
    </row>
    <row r="1024" ht="15.75" customHeight="1" s="38">
      <c r="A1024" s="66" t="inlineStr">
        <is>
          <t>Impor Expor Tecno Chile</t>
        </is>
      </c>
      <c r="B1024" s="66" t="inlineStr">
        <is>
          <t>Compresores</t>
        </is>
      </c>
      <c r="C1024" s="66" t="inlineStr">
        <is>
          <t>Santiago</t>
        </is>
      </c>
      <c r="D1024" s="66" t="inlineStr">
        <is>
          <t>rmunster@tecnochile.cl</t>
        </is>
      </c>
      <c r="E1024" s="66" t="inlineStr">
        <is>
          <t>(56) 2 3278 0725</t>
        </is>
      </c>
      <c r="F1024" s="66" t="n"/>
      <c r="G1024" s="66" t="n"/>
      <c r="H1024" s="66" t="n"/>
      <c r="I1024" s="66" t="inlineStr">
        <is>
          <t>76.012.264-5</t>
        </is>
      </c>
      <c r="J1024" s="66" t="n"/>
      <c r="K1024" s="66" t="inlineStr">
        <is>
          <t>Ventas: MICRO 1 (0.01 - 200 UF) | Empleados: 0</t>
        </is>
      </c>
      <c r="L1024" s="61" t="n"/>
      <c r="M1024" s="61" t="n"/>
      <c r="N1024" s="61" t="n"/>
      <c r="O1024" s="61" t="n"/>
      <c r="P1024" s="61" t="n"/>
      <c r="Q1024" s="62" t="n"/>
      <c r="R1024" s="61" t="n"/>
    </row>
    <row r="1025" ht="15.75" customHeight="1" s="38">
      <c r="A1025" s="66" t="inlineStr">
        <is>
          <t>Imporper Ltda.</t>
        </is>
      </c>
      <c r="B1025" s="66" t="inlineStr">
        <is>
          <t>Anclajes, Artículos para Fijación y Sujeción</t>
        </is>
      </c>
      <c r="C1025" s="66" t="inlineStr">
        <is>
          <t>Santiago</t>
        </is>
      </c>
      <c r="D1025" s="66" t="inlineStr">
        <is>
          <t>ventasindustriales@importper.cl</t>
        </is>
      </c>
      <c r="E1025" s="66" t="inlineStr">
        <is>
          <t>(56) 2 2821 7000</t>
        </is>
      </c>
      <c r="F1025" s="66" t="inlineStr">
        <is>
          <t>Gerente de TI / CIO (Director de Tecnología)</t>
        </is>
      </c>
      <c r="G1025" s="66" t="n"/>
      <c r="H1025" s="66" t="n"/>
      <c r="I1025" s="66" t="inlineStr">
        <is>
          <t>79.921.700-7</t>
        </is>
      </c>
      <c r="J1025" s="66" t="n"/>
      <c r="K1025" s="66" t="inlineStr">
        <is>
          <t>Ventas: GRANDE 4 (Mas de 1.000.000 UF) | Empleados: 295</t>
        </is>
      </c>
      <c r="L1025" s="61" t="n"/>
      <c r="M1025" s="61" t="n"/>
      <c r="N1025" s="61" t="n"/>
      <c r="O1025" s="61" t="n"/>
      <c r="P1025" s="61" t="n"/>
      <c r="Q1025" s="62" t="n"/>
      <c r="R1025" s="61" t="n"/>
    </row>
    <row r="1026" ht="15.75" customHeight="1" s="38">
      <c r="A1026" s="66" t="inlineStr">
        <is>
          <t>Importadora Partservice Ltda.</t>
        </is>
      </c>
      <c r="B1026" s="66" t="inlineStr">
        <is>
          <t>Empaquetaduras, Rodamientos</t>
        </is>
      </c>
      <c r="C1026" s="66" t="inlineStr">
        <is>
          <t>Santiago</t>
        </is>
      </c>
      <c r="D1026" s="66" t="inlineStr">
        <is>
          <t>nlaflor@digicom.cl</t>
        </is>
      </c>
      <c r="E1026" s="66" t="inlineStr">
        <is>
          <t>(56) 2 2657 1854</t>
        </is>
      </c>
      <c r="F1026" s="66" t="n"/>
      <c r="G1026" s="66" t="n"/>
      <c r="H1026" s="66" t="n"/>
      <c r="I1026" s="66" t="inlineStr">
        <is>
          <t>78.065.730-8</t>
        </is>
      </c>
      <c r="J1026" s="66" t="n"/>
      <c r="K1026" s="66" t="inlineStr">
        <is>
          <t>Ventas: PEQUEÑA 3 (10.000 - 25.000 UF) | Empleados: 1</t>
        </is>
      </c>
      <c r="L1026" s="61" t="n"/>
      <c r="M1026" s="61" t="n"/>
      <c r="N1026" s="61" t="n"/>
      <c r="O1026" s="61" t="n"/>
      <c r="P1026" s="61" t="n"/>
      <c r="Q1026" s="62" t="n"/>
      <c r="R1026" s="61" t="n"/>
    </row>
    <row r="1027" ht="15.75" customHeight="1" s="38">
      <c r="A1027" s="66" t="inlineStr">
        <is>
          <t>Importadora Tech Ltda.</t>
        </is>
      </c>
      <c r="B1027" s="66" t="inlineStr">
        <is>
          <t>Correas Transportadoras</t>
        </is>
      </c>
      <c r="C1027" s="66" t="inlineStr">
        <is>
          <t>Antofagasta</t>
        </is>
      </c>
      <c r="D1027" s="66" t="inlineStr">
        <is>
          <t>info@techltda.cl</t>
        </is>
      </c>
      <c r="E1027" s="66" t="inlineStr">
        <is>
          <t>(56) 55 223 3600</t>
        </is>
      </c>
      <c r="F1027" s="66" t="n"/>
      <c r="G1027" s="66" t="n"/>
      <c r="H1027" s="66" t="n"/>
      <c r="I1027" s="66" t="inlineStr">
        <is>
          <t>78.284.760-0</t>
        </is>
      </c>
      <c r="J1027" s="66" t="n"/>
      <c r="K1027" s="66" t="inlineStr">
        <is>
          <t>Ventas: MEDIANA 2 (50.000 - 100.000 UF) | Empleados: 46</t>
        </is>
      </c>
      <c r="L1027" s="61" t="n"/>
      <c r="M1027" s="61" t="n"/>
      <c r="N1027" s="61" t="n"/>
      <c r="O1027" s="61" t="n"/>
      <c r="P1027" s="61" t="n"/>
      <c r="Q1027" s="62" t="n"/>
      <c r="R1027" s="61" t="n"/>
    </row>
    <row r="1028" ht="15.75" customHeight="1" s="38">
      <c r="A1028" s="66" t="inlineStr">
        <is>
          <t>Importec</t>
        </is>
      </c>
      <c r="B1028" s="66" t="inlineStr">
        <is>
          <t>Plásticos</t>
        </is>
      </c>
      <c r="C1028" s="66" t="inlineStr">
        <is>
          <t>Santiago</t>
        </is>
      </c>
      <c r="D1028" s="66" t="inlineStr">
        <is>
          <t>info@importec.cl</t>
        </is>
      </c>
      <c r="E1028" s="66" t="inlineStr">
        <is>
          <t>(56) 2 2984 3842</t>
        </is>
      </c>
      <c r="F1028" s="66" t="n"/>
      <c r="G1028" s="66" t="n"/>
      <c r="H1028" s="66" t="n"/>
      <c r="I1028" s="66" t="inlineStr">
        <is>
          <t>76.664.150-4</t>
        </is>
      </c>
      <c r="J1028" s="66" t="n"/>
      <c r="K1028" s="66" t="inlineStr">
        <is>
          <t>Ventas: PEQUEÑA 3 (10.000 - 25.000 UF) | Empleados: 11</t>
        </is>
      </c>
      <c r="L1028" s="61" t="n"/>
      <c r="M1028" s="61" t="n"/>
      <c r="N1028" s="61" t="n"/>
      <c r="O1028" s="61" t="n"/>
      <c r="P1028" s="61" t="n"/>
      <c r="Q1028" s="62" t="n"/>
      <c r="R1028" s="61" t="n"/>
    </row>
    <row r="1029" ht="15.75" customHeight="1" s="38">
      <c r="A1029" s="66" t="inlineStr">
        <is>
          <t>Imposur SpA</t>
        </is>
      </c>
      <c r="B1029" s="66" t="inlineStr">
        <is>
          <t>Trituradoras</t>
        </is>
      </c>
      <c r="C1029" s="66" t="inlineStr">
        <is>
          <t>Curicó</t>
        </is>
      </c>
      <c r="D1029" s="66" t="inlineStr">
        <is>
          <t>cotizaciones@imposur.cl</t>
        </is>
      </c>
      <c r="E1029" s="66" t="inlineStr">
        <is>
          <t>(56) 9 8828 2777</t>
        </is>
      </c>
      <c r="F1029" s="66" t="n"/>
      <c r="G1029" s="66" t="n"/>
      <c r="H1029" s="66" t="n"/>
      <c r="I1029" s="66" t="inlineStr">
        <is>
          <t>76330385-3</t>
        </is>
      </c>
      <c r="J1029" s="66" t="n"/>
      <c r="K1029" s="66" t="inlineStr">
        <is>
          <t>Ventas: MICRO 1 (0.01 - 200 UF) | Empleados: 0</t>
        </is>
      </c>
      <c r="L1029" s="61" t="n"/>
      <c r="M1029" s="61" t="n"/>
      <c r="N1029" s="61" t="n"/>
      <c r="O1029" s="61" t="n"/>
      <c r="P1029" s="61" t="n"/>
      <c r="Q1029" s="62" t="n"/>
      <c r="R1029" s="61" t="n"/>
    </row>
    <row r="1030" ht="15.75" customHeight="1" s="38">
      <c r="A1030" s="66" t="inlineStr">
        <is>
          <t>Improfor Ltda.</t>
        </is>
      </c>
      <c r="B1030" s="66" t="inlineStr">
        <is>
          <t>Artículos para Seguridad, Equipos contra Incendios</t>
        </is>
      </c>
      <c r="C1030" s="66" t="inlineStr">
        <is>
          <t>Santiago</t>
        </is>
      </c>
      <c r="D1030" s="66" t="inlineStr">
        <is>
          <t>info@improfor.cl</t>
        </is>
      </c>
      <c r="E1030" s="66" t="inlineStr">
        <is>
          <t>(56) 2 2906 1486</t>
        </is>
      </c>
      <c r="F1030" s="66" t="n"/>
      <c r="G1030" s="66" t="n"/>
      <c r="H1030" s="66" t="n"/>
      <c r="I1030" s="66" t="inlineStr">
        <is>
          <t>77.127.510-9</t>
        </is>
      </c>
      <c r="J1030" s="66" t="n"/>
      <c r="K1030" s="66" t="inlineStr">
        <is>
          <t>Ventas: GRANDE 3 (600.000 - 1.000.000 UF) | Empleados: 17</t>
        </is>
      </c>
      <c r="L1030" s="61" t="n"/>
      <c r="M1030" s="61" t="n"/>
      <c r="N1030" s="61" t="n"/>
      <c r="O1030" s="61" t="n"/>
      <c r="P1030" s="61" t="n"/>
      <c r="Q1030" s="62" t="n"/>
      <c r="R1030" s="61" t="n"/>
    </row>
    <row r="1031" ht="15.75" customHeight="1" s="38">
      <c r="A1031" s="66" t="inlineStr">
        <is>
          <t>Inacal</t>
        </is>
      </c>
      <c r="B1031" s="66" t="inlineStr">
        <is>
          <t>Cal Viva Granulada y Molida, Cal Viva y Apagada</t>
        </is>
      </c>
      <c r="C1031" s="66" t="inlineStr">
        <is>
          <t>Antofagasta</t>
        </is>
      </c>
      <c r="D1031" s="66" t="n"/>
      <c r="E1031" s="66" t="inlineStr">
        <is>
          <t>(56) 55 264 5701</t>
        </is>
      </c>
      <c r="F1031" s="66" t="n"/>
      <c r="G1031" s="66" t="n"/>
      <c r="H1031" s="66" t="n"/>
      <c r="I1031" s="66" t="inlineStr">
        <is>
          <t>96.809.070-4</t>
        </is>
      </c>
      <c r="J1031" s="66" t="n"/>
      <c r="K1031" s="66" t="inlineStr">
        <is>
          <t>Ventas: No en base SII | Empleados: S/I</t>
        </is>
      </c>
      <c r="L1031" s="61" t="n"/>
      <c r="M1031" s="61" t="n"/>
      <c r="N1031" s="61" t="n"/>
      <c r="O1031" s="61" t="n"/>
      <c r="P1031" s="61" t="n"/>
      <c r="Q1031" s="62" t="n"/>
      <c r="R1031" s="61" t="n"/>
    </row>
    <row r="1032" ht="15.75" customHeight="1" s="38">
      <c r="A1032" s="66" t="inlineStr">
        <is>
          <t>Inamar Izaje</t>
        </is>
      </c>
      <c r="B1032" s="66" t="inlineStr">
        <is>
          <t>Proveedor Destacado, Dinamómetros y Electroimanes, Equipos de Levante, Polipastos, Puentes Grúa, Radio Controles y Telemandos Industriales, Servicio Técnico Puentes Grúas y Contratos, Sistemas de Electrificaciones Feston, Unipolar y Multipolar, Tecles</t>
        </is>
      </c>
      <c r="C1032" s="66" t="inlineStr">
        <is>
          <t>Santiago</t>
        </is>
      </c>
      <c r="D1032" s="66" t="inlineStr">
        <is>
          <t>contacto@inamarizaje.cl</t>
        </is>
      </c>
      <c r="E1032" s="66" t="inlineStr">
        <is>
          <t>(56) 2 2460 2000</t>
        </is>
      </c>
      <c r="F1032" s="66" t="n"/>
      <c r="G1032" s="66" t="n"/>
      <c r="H1032" s="66" t="inlineStr">
        <is>
          <t>http://www.inamarizaje.cl</t>
        </is>
      </c>
      <c r="I1032" s="66" t="inlineStr">
        <is>
          <t>92.975 000-4</t>
        </is>
      </c>
      <c r="J1032" s="66" t="n"/>
      <c r="K1032" s="66" t="inlineStr">
        <is>
          <t>Ventas: GRANDE 3 (600.000 - 1.000.000 UF) | Empleados: 95</t>
        </is>
      </c>
      <c r="L1032" s="61" t="n"/>
      <c r="M1032" s="61" t="n"/>
      <c r="N1032" s="61" t="n"/>
      <c r="O1032" s="61" t="n"/>
      <c r="P1032" s="61" t="n"/>
      <c r="Q1032" s="62" t="n"/>
      <c r="R1032" s="61" t="n"/>
    </row>
    <row r="1033" ht="15.75" customHeight="1" s="38">
      <c r="A1033" s="66" t="inlineStr">
        <is>
          <t>Incamin Ltda.</t>
        </is>
      </c>
      <c r="B1033" s="66" t="inlineStr">
        <is>
          <t>Bombas, Válvulas</t>
        </is>
      </c>
      <c r="C1033" s="66" t="inlineStr">
        <is>
          <t>Santiago</t>
        </is>
      </c>
      <c r="D1033" s="66" t="inlineStr">
        <is>
          <t>ventas@incamin.cl</t>
        </is>
      </c>
      <c r="E1033" s="66" t="inlineStr">
        <is>
          <t>(56) 2 2789 2573</t>
        </is>
      </c>
      <c r="F1033" s="66" t="n"/>
      <c r="G1033" s="66" t="n"/>
      <c r="H1033" s="66" t="n"/>
      <c r="I1033" s="66" t="inlineStr">
        <is>
          <t>76.460.690-6</t>
        </is>
      </c>
      <c r="J1033" s="66" t="n"/>
      <c r="K1033" s="66" t="inlineStr">
        <is>
          <t>Ventas: MEDIANA 2 (50.000 - 100.000 UF) | Empleados: 6</t>
        </is>
      </c>
      <c r="L1033" s="61" t="n"/>
      <c r="M1033" s="61" t="n"/>
      <c r="N1033" s="61" t="n"/>
      <c r="O1033" s="61" t="n"/>
      <c r="P1033" s="61" t="n"/>
      <c r="Q1033" s="62" t="n"/>
      <c r="R1033" s="61" t="n"/>
    </row>
    <row r="1034" ht="15.75" customHeight="1" s="38">
      <c r="A1034" s="66" t="inlineStr">
        <is>
          <t>Inchalam S.A.</t>
        </is>
      </c>
      <c r="B1034" s="66" t="inlineStr">
        <is>
          <t>Alambres y Clavos</t>
        </is>
      </c>
      <c r="C1034" s="66" t="inlineStr">
        <is>
          <t>Talcahuano</t>
        </is>
      </c>
      <c r="D1034" s="66" t="n"/>
      <c r="E1034" s="66" t="inlineStr">
        <is>
          <t>(56) 41 226 7602</t>
        </is>
      </c>
      <c r="F1034" s="66" t="n"/>
      <c r="G1034" s="66" t="n"/>
      <c r="H1034" s="66" t="n"/>
      <c r="I1034" s="66" t="inlineStr">
        <is>
          <t>91.868.000-4</t>
        </is>
      </c>
      <c r="J1034" s="66" t="n"/>
      <c r="K1034" s="66" t="inlineStr">
        <is>
          <t>Ventas: GRANDE (Estimado por Empleados) | Empleados: 477</t>
        </is>
      </c>
      <c r="L1034" s="61" t="n"/>
      <c r="M1034" s="61" t="n"/>
      <c r="N1034" s="61" t="n"/>
      <c r="O1034" s="61" t="n"/>
      <c r="P1034" s="61" t="n"/>
      <c r="Q1034" s="62" t="n"/>
      <c r="R1034" s="61" t="n"/>
    </row>
    <row r="1035" ht="15.75" customHeight="1" s="38">
      <c r="A1035" s="66" t="inlineStr">
        <is>
          <t>Incoproc SpA</t>
        </is>
      </c>
      <c r="B1035" s="66" t="inlineStr">
        <is>
          <t>Colectores de Polvo</t>
        </is>
      </c>
      <c r="C1035" s="66" t="inlineStr">
        <is>
          <t>Santiago</t>
        </is>
      </c>
      <c r="D1035" s="66" t="inlineStr">
        <is>
          <t>info@incoproc.cl</t>
        </is>
      </c>
      <c r="E1035" s="66" t="inlineStr">
        <is>
          <t>(56) 9 9536 4487</t>
        </is>
      </c>
      <c r="F1035" s="66" t="n"/>
      <c r="G1035" s="66" t="n"/>
      <c r="H1035" s="66" t="n"/>
      <c r="I1035" s="66" t="inlineStr">
        <is>
          <t>76.965.584-0</t>
        </is>
      </c>
      <c r="J1035" s="66" t="n"/>
      <c r="K1035" s="66" t="inlineStr">
        <is>
          <t>Ventas: GRANDE 1 (100.000 - 200.000 UF) | Empleados: 6</t>
        </is>
      </c>
      <c r="L1035" s="61" t="n"/>
      <c r="M1035" s="61" t="n"/>
      <c r="N1035" s="61" t="n"/>
      <c r="O1035" s="61" t="n"/>
      <c r="P1035" s="61" t="n"/>
      <c r="Q1035" s="62" t="n"/>
      <c r="R1035" s="61" t="n"/>
    </row>
    <row r="1036" ht="15.75" customHeight="1" s="38">
      <c r="A1036" s="66" t="inlineStr">
        <is>
          <t>InDelta</t>
        </is>
      </c>
      <c r="B1036" s="66" t="inlineStr">
        <is>
          <t>Ductos de Ventilación, Equipos para Fragmentación de Rocas</t>
        </is>
      </c>
      <c r="C1036" s="66" t="inlineStr">
        <is>
          <t>Santiago</t>
        </is>
      </c>
      <c r="D1036" s="66" t="inlineStr">
        <is>
          <t>contacto@indelta.cl</t>
        </is>
      </c>
      <c r="E1036" s="66" t="inlineStr">
        <is>
          <t>(56) 9 4030 1724</t>
        </is>
      </c>
      <c r="F1036" s="66" t="n"/>
      <c r="G1036" s="66" t="n"/>
      <c r="H1036" s="66" t="n"/>
      <c r="I1036" s="66" t="inlineStr">
        <is>
          <t>76.543.276-6</t>
        </is>
      </c>
      <c r="J1036" s="66" t="n"/>
      <c r="K1036" s="66" t="inlineStr">
        <is>
          <t>Ventas: MEDIANA 2 (50.000 - 100.000 UF) | Empleados: 14</t>
        </is>
      </c>
      <c r="L1036" s="61" t="n"/>
      <c r="M1036" s="61" t="n"/>
      <c r="N1036" s="61" t="n"/>
      <c r="O1036" s="61" t="n"/>
      <c r="P1036" s="61" t="n"/>
      <c r="Q1036" s="62" t="n"/>
      <c r="R1036" s="61" t="n"/>
    </row>
    <row r="1037" ht="15.75" customHeight="1" s="38">
      <c r="A1037" s="59" t="inlineStr">
        <is>
          <t>Indemin S.A.</t>
        </is>
      </c>
      <c r="B1037" s="59" t="inlineStr">
        <is>
          <t>Transferencia de Materiales</t>
        </is>
      </c>
      <c r="C1037" s="59" t="inlineStr">
        <is>
          <t>Viña del Mar</t>
        </is>
      </c>
      <c r="D1037" s="59" t="inlineStr">
        <is>
          <t>contacto@indemin.cl</t>
        </is>
      </c>
      <c r="E1037" s="59" t="inlineStr">
        <is>
          <t>(56) 32 299 0877</t>
        </is>
      </c>
      <c r="F1037" s="59" t="inlineStr">
        <is>
          <t>Gerente de Servicios Mineros (Gerente Servicios)</t>
        </is>
      </c>
      <c r="G1037" s="59" t="n"/>
      <c r="H1037" s="59" t="n"/>
      <c r="I1037" s="59" t="inlineStr">
        <is>
          <t>96.931.410-K</t>
        </is>
      </c>
      <c r="J1037" s="59" t="inlineStr">
        <is>
          <t>Software Gestión Mantenimiento Palas</t>
        </is>
      </c>
      <c r="K1037" s="59" t="inlineStr">
        <is>
          <t>Ventas: GRANDE 3 (600.000 - 1.000.000 UF) | Empleados: 411</t>
        </is>
      </c>
      <c r="L1037" s="61" t="n"/>
      <c r="M1037" s="61" t="n"/>
      <c r="N1037" s="61" t="n"/>
      <c r="O1037" s="61" t="n"/>
      <c r="P1037" s="61" t="n"/>
      <c r="Q1037" s="62" t="n"/>
      <c r="R1037" s="61" t="n"/>
    </row>
    <row r="1038" ht="15.75" customHeight="1" s="38">
      <c r="A1038" s="66" t="inlineStr">
        <is>
          <t>Indimin SpA</t>
        </is>
      </c>
      <c r="B1038" s="66" t="inlineStr">
        <is>
          <t>Asistente Digital Predictivo para Eficiencia en Operaciones Mina en Carguio, Transporte, Perforación y Tronadura</t>
        </is>
      </c>
      <c r="C1038" s="66" t="inlineStr">
        <is>
          <t>Santiago</t>
        </is>
      </c>
      <c r="D1038" s="66" t="inlineStr">
        <is>
          <t>comunicaciones@indimin.com</t>
        </is>
      </c>
      <c r="E1038" s="66" t="inlineStr">
        <is>
          <t>(56) 9 8289 1676</t>
        </is>
      </c>
      <c r="F1038" s="66" t="n"/>
      <c r="G1038" s="66" t="n"/>
      <c r="H1038" s="66" t="n"/>
      <c r="I1038" s="66" t="inlineStr">
        <is>
          <t>76.576.617-6</t>
        </is>
      </c>
      <c r="J1038" s="66" t="n"/>
      <c r="K1038" s="66" t="inlineStr">
        <is>
          <t>Ventas: MEDIANA 1 (25.000 - 50.000 UF) | Empleados: 7</t>
        </is>
      </c>
      <c r="L1038" s="61" t="n"/>
      <c r="M1038" s="61" t="n"/>
      <c r="N1038" s="61" t="n"/>
      <c r="O1038" s="61" t="n"/>
      <c r="P1038" s="61" t="n"/>
      <c r="Q1038" s="62" t="n"/>
      <c r="R1038" s="61" t="n"/>
    </row>
    <row r="1039" ht="15.75" customHeight="1" s="38">
      <c r="A1039" s="66" t="inlineStr">
        <is>
          <t>Indra / Minsait</t>
        </is>
      </c>
      <c r="B1039" s="66" t="inlineStr">
        <is>
          <t>Proveedor Destacado, Consultoría de Negocios, Consultoría ERP, Redes, Comunicaciones y Seguridad, Simuladores de Equipos Mineros, Sistemas de Ciberseguridad, Tecnología Digital</t>
        </is>
      </c>
      <c r="C1039" s="66" t="inlineStr">
        <is>
          <t>Santiago</t>
        </is>
      </c>
      <c r="D1039" s="66" t="n"/>
      <c r="E1039" s="66" t="inlineStr">
        <is>
          <t>(56) 2 2810 3600</t>
        </is>
      </c>
      <c r="F1039" s="66" t="n"/>
      <c r="G1039" s="66" t="n"/>
      <c r="H1039" s="66" t="inlineStr">
        <is>
          <t>http://www.indracompany.com/es/pais/chile</t>
        </is>
      </c>
      <c r="I1039" s="66" t="inlineStr">
        <is>
          <t>96.851.110-6</t>
        </is>
      </c>
      <c r="J1039" s="66" t="n"/>
      <c r="K1039" s="66" t="inlineStr">
        <is>
          <t>Ventas: GRANDE (Estimado por Empleados) | Empleados: 762</t>
        </is>
      </c>
      <c r="L1039" s="61" t="n"/>
      <c r="M1039" s="61" t="n"/>
      <c r="N1039" s="61" t="n"/>
      <c r="O1039" s="61" t="n"/>
      <c r="P1039" s="61" t="n"/>
      <c r="Q1039" s="62" t="n"/>
      <c r="R1039" s="61" t="n"/>
    </row>
    <row r="1040" ht="15.75" customHeight="1" s="38">
      <c r="A1040" s="66" t="inlineStr">
        <is>
          <t>Inducien Instruments S.A.</t>
        </is>
      </c>
      <c r="B1040" s="66" t="inlineStr">
        <is>
          <t>Equipos para Geología, Equipos para Hidrología</t>
        </is>
      </c>
      <c r="C1040" s="66" t="inlineStr">
        <is>
          <t>Santiago</t>
        </is>
      </c>
      <c r="D1040" s="66" t="inlineStr">
        <is>
          <t>jplandon@inducien.cl</t>
        </is>
      </c>
      <c r="E1040" s="66" t="inlineStr">
        <is>
          <t>(56) 2 2657 1691</t>
        </is>
      </c>
      <c r="F1040" s="66" t="n"/>
      <c r="G1040" s="66" t="n"/>
      <c r="H1040" s="66" t="n"/>
      <c r="I1040" s="66" t="inlineStr">
        <is>
          <t>77.634.260-2</t>
        </is>
      </c>
      <c r="J1040" s="66" t="n"/>
      <c r="K1040" s="66" t="inlineStr">
        <is>
          <t>Ventas: GRANDE 1 (100.000 - 200.000 UF) | Empleados: 7</t>
        </is>
      </c>
      <c r="L1040" s="61" t="n"/>
      <c r="M1040" s="61" t="n"/>
      <c r="N1040" s="61" t="n"/>
      <c r="O1040" s="61" t="n"/>
      <c r="P1040" s="61" t="n"/>
      <c r="Q1040" s="62" t="n"/>
      <c r="R1040" s="61" t="n"/>
    </row>
    <row r="1041" ht="15.75" customHeight="1" s="38">
      <c r="A1041" s="66" t="inlineStr">
        <is>
          <t>Indumark S.A.</t>
        </is>
      </c>
      <c r="B1041" s="66" t="inlineStr">
        <is>
          <t>Correas Transportadoras</t>
        </is>
      </c>
      <c r="C1041" s="66" t="inlineStr">
        <is>
          <t>Santiago</t>
        </is>
      </c>
      <c r="D1041" s="66" t="inlineStr">
        <is>
          <t>contacto@indumark.cl</t>
        </is>
      </c>
      <c r="E1041" s="66" t="inlineStr">
        <is>
          <t>(56) 2 2945 9900</t>
        </is>
      </c>
      <c r="F1041" s="66" t="n"/>
      <c r="G1041" s="66" t="n"/>
      <c r="H1041" s="66" t="n"/>
      <c r="I1041" s="66" t="inlineStr">
        <is>
          <t>87.828.600-6</t>
        </is>
      </c>
      <c r="J1041" s="66" t="n"/>
      <c r="K1041" s="66" t="inlineStr">
        <is>
          <t>Ventas: GRANDE 2 (200.000 - 600.000 UF) | Empleados: 41</t>
        </is>
      </c>
      <c r="L1041" s="61" t="n"/>
      <c r="M1041" s="61" t="n"/>
      <c r="N1041" s="61" t="n"/>
      <c r="O1041" s="61" t="n"/>
      <c r="P1041" s="61" t="n"/>
      <c r="Q1041" s="62" t="n"/>
      <c r="R1041" s="61" t="n"/>
    </row>
    <row r="1042" ht="15.75" customHeight="1" s="38">
      <c r="A1042" s="66" t="inlineStr">
        <is>
          <t>Induminer S.A.C.</t>
        </is>
      </c>
      <c r="B1042" s="66" t="inlineStr">
        <is>
          <t>Carbones para Motores Eléctricos, Tableros Eléctricos</t>
        </is>
      </c>
      <c r="C1042" s="66" t="inlineStr">
        <is>
          <t>Santiago</t>
        </is>
      </c>
      <c r="D1042" s="66" t="inlineStr">
        <is>
          <t>gfoncea@induminer.cl</t>
        </is>
      </c>
      <c r="E1042" s="66" t="inlineStr">
        <is>
          <t>(56) 2 2738 5211</t>
        </is>
      </c>
      <c r="F1042" s="66" t="n"/>
      <c r="G1042" s="66" t="n"/>
      <c r="H1042" s="66" t="n"/>
      <c r="I1042" s="66" t="inlineStr">
        <is>
          <t>93.712.000-1</t>
        </is>
      </c>
      <c r="J1042" s="66" t="n"/>
      <c r="K1042" s="66" t="inlineStr">
        <is>
          <t>Ventas: MICRO 3 (600 - 2.400 UF) | Empleados: 0</t>
        </is>
      </c>
      <c r="L1042" s="61" t="n"/>
      <c r="M1042" s="61" t="n"/>
      <c r="N1042" s="61" t="n"/>
      <c r="O1042" s="61" t="n"/>
      <c r="P1042" s="61" t="n"/>
      <c r="Q1042" s="62" t="n"/>
      <c r="R1042" s="61" t="n"/>
    </row>
    <row r="1043" ht="15.75" customHeight="1" s="38">
      <c r="A1043" s="66" t="inlineStr">
        <is>
          <t>Indurad Chile SpA</t>
        </is>
      </c>
      <c r="B1043" s="66" t="inlineStr">
        <is>
          <t>Automatización Industrial</t>
        </is>
      </c>
      <c r="C1043" s="66" t="inlineStr">
        <is>
          <t>Santiago</t>
        </is>
      </c>
      <c r="D1043" s="66" t="inlineStr">
        <is>
          <t>latinoamerica@indurad.com</t>
        </is>
      </c>
      <c r="E1043" s="66" t="inlineStr">
        <is>
          <t>(56) 9 9423 8514</t>
        </is>
      </c>
      <c r="F1043" s="66" t="n"/>
      <c r="G1043" s="66" t="n"/>
      <c r="H1043" s="66" t="n"/>
      <c r="I1043" s="66" t="inlineStr">
        <is>
          <t>76447647-6</t>
        </is>
      </c>
      <c r="J1043" s="66" t="n"/>
      <c r="K1043" s="66" t="inlineStr">
        <is>
          <t>Ventas: MEDIANA 2 (50.000 - 100.000 UF) | Empleados: 3</t>
        </is>
      </c>
      <c r="L1043" s="61" t="n"/>
      <c r="M1043" s="61" t="n"/>
      <c r="N1043" s="61" t="n"/>
      <c r="O1043" s="61" t="n"/>
      <c r="P1043" s="61" t="n"/>
      <c r="Q1043" s="62" t="n"/>
      <c r="R1043" s="61" t="n"/>
    </row>
    <row r="1044" ht="15.75" customHeight="1" s="38">
      <c r="A1044" s="66" t="inlineStr">
        <is>
          <t>Indusdor SpA</t>
        </is>
      </c>
      <c r="B1044" s="66" t="inlineStr">
        <is>
          <t>Portones Enrollables Metálicos y de Caucho, Portones Mineros</t>
        </is>
      </c>
      <c r="C1044" s="66" t="inlineStr">
        <is>
          <t>Santiago</t>
        </is>
      </c>
      <c r="D1044" s="66" t="inlineStr">
        <is>
          <t>contacto@indusdor.cl</t>
        </is>
      </c>
      <c r="E1044" s="66" t="inlineStr">
        <is>
          <t>(56) 9 8889 7490</t>
        </is>
      </c>
      <c r="F1044" s="66" t="n"/>
      <c r="G1044" s="66" t="n"/>
      <c r="H1044" s="66" t="n"/>
      <c r="I1044" s="66" t="inlineStr">
        <is>
          <t>76786309-8</t>
        </is>
      </c>
      <c r="J1044" s="66" t="n"/>
      <c r="K1044" s="66" t="inlineStr">
        <is>
          <t>Ventas: MEDIANA 1 (25.000 - 50.000 UF) | Empleados: 9</t>
        </is>
      </c>
      <c r="L1044" s="61" t="n"/>
      <c r="M1044" s="61" t="n"/>
      <c r="N1044" s="61" t="n"/>
      <c r="O1044" s="61" t="n"/>
      <c r="P1044" s="61" t="n"/>
      <c r="Q1044" s="62" t="n"/>
      <c r="R1044" s="61" t="n"/>
    </row>
    <row r="1045" ht="15.75" customHeight="1" s="38">
      <c r="A1045" s="66" t="inlineStr">
        <is>
          <t>Industria de Plásticos Andes Drip Ltda.</t>
        </is>
      </c>
      <c r="B1045" s="66" t="inlineStr">
        <is>
          <t>Plásticos, Servicios de Ingeniería</t>
        </is>
      </c>
      <c r="C1045" s="66" t="inlineStr">
        <is>
          <t>Iquique</t>
        </is>
      </c>
      <c r="D1045" s="66" t="inlineStr">
        <is>
          <t>ventashdpe@andesdrip.com</t>
        </is>
      </c>
      <c r="E1045" s="66" t="inlineStr">
        <is>
          <t>(56) 57 238 0921</t>
        </is>
      </c>
      <c r="F1045" s="66" t="n"/>
      <c r="G1045" s="66" t="n"/>
      <c r="H1045" s="66" t="n"/>
      <c r="I1045" s="66" t="inlineStr">
        <is>
          <t>77.241.850-7</t>
        </is>
      </c>
      <c r="J1045" s="66" t="n"/>
      <c r="K1045" s="66" t="inlineStr">
        <is>
          <t>Ventas: GRANDE 3 (600.000 - 1.000.000 UF) | Empleados: 175</t>
        </is>
      </c>
      <c r="L1045" s="61" t="n"/>
      <c r="M1045" s="61" t="n"/>
      <c r="N1045" s="61" t="n"/>
      <c r="O1045" s="61" t="n"/>
      <c r="P1045" s="61" t="n"/>
      <c r="Q1045" s="62" t="n"/>
      <c r="R1045" s="61" t="n"/>
    </row>
    <row r="1046" ht="15.75" customHeight="1" s="38">
      <c r="A1046" s="66" t="inlineStr">
        <is>
          <t>Industrial Comercial Chile Ltda.</t>
        </is>
      </c>
      <c r="B1046" s="66" t="inlineStr">
        <is>
          <t>Abrasivos, Aislantes Térmicos</t>
        </is>
      </c>
      <c r="C1046" s="66" t="inlineStr">
        <is>
          <t>Santiago</t>
        </is>
      </c>
      <c r="D1046" s="66" t="inlineStr">
        <is>
          <t>comchile@comercialchile.cl</t>
        </is>
      </c>
      <c r="E1046" s="66" t="inlineStr">
        <is>
          <t>(56) 2 2520 4900</t>
        </is>
      </c>
      <c r="F1046" s="66" t="n"/>
      <c r="G1046" s="66" t="n"/>
      <c r="H1046" s="66" t="n"/>
      <c r="I1046" s="66" t="inlineStr">
        <is>
          <t>84.553.600-7</t>
        </is>
      </c>
      <c r="J1046" s="66" t="n"/>
      <c r="K1046" s="66" t="inlineStr">
        <is>
          <t>Ventas: MICRO 2 (200 - 600 UF) | Empleados: 0</t>
        </is>
      </c>
      <c r="L1046" s="61" t="n"/>
      <c r="M1046" s="61" t="n"/>
      <c r="N1046" s="61" t="n"/>
      <c r="O1046" s="61" t="n"/>
      <c r="P1046" s="61" t="n"/>
      <c r="Q1046" s="62" t="n"/>
      <c r="R1046" s="61" t="n"/>
    </row>
    <row r="1047" ht="15.75" customHeight="1" s="38">
      <c r="A1047" s="66" t="inlineStr">
        <is>
          <t>Industrias Perfect S.A.</t>
        </is>
      </c>
      <c r="B1047" s="66" t="inlineStr">
        <is>
          <t>Equipos para Filtración</t>
        </is>
      </c>
      <c r="C1047" s="66" t="inlineStr">
        <is>
          <t>Santiago</t>
        </is>
      </c>
      <c r="D1047" s="66" t="inlineStr">
        <is>
          <t>ventas@filtrosperfect.cl</t>
        </is>
      </c>
      <c r="E1047" s="66" t="inlineStr">
        <is>
          <t>(56) 2 2460 0342</t>
        </is>
      </c>
      <c r="F1047" s="66" t="n"/>
      <c r="G1047" s="66" t="n"/>
      <c r="H1047" s="66" t="n"/>
      <c r="I1047" s="66" t="inlineStr">
        <is>
          <t>99.598.420-2</t>
        </is>
      </c>
      <c r="J1047" s="66" t="n"/>
      <c r="K1047" s="66" t="inlineStr">
        <is>
          <t>Ventas: MEDIANA 2 (50.000 - 100.000 UF) | Empleados: 26</t>
        </is>
      </c>
      <c r="L1047" s="61" t="n"/>
      <c r="M1047" s="61" t="n"/>
      <c r="N1047" s="61" t="n"/>
      <c r="O1047" s="61" t="n"/>
      <c r="P1047" s="61" t="n"/>
      <c r="Q1047" s="62" t="n"/>
      <c r="R1047" s="61" t="n"/>
    </row>
    <row r="1048" ht="15.75" customHeight="1" s="38">
      <c r="A1048" s="66" t="inlineStr">
        <is>
          <t>Industrias Químicas Cloramón Ltda.</t>
        </is>
      </c>
      <c r="B1048" s="66" t="inlineStr">
        <is>
          <t>Productos Químicos, Resinas para Pinturas</t>
        </is>
      </c>
      <c r="C1048" s="66" t="inlineStr">
        <is>
          <t>Santiago</t>
        </is>
      </c>
      <c r="D1048" s="66" t="inlineStr">
        <is>
          <t>empresas@cloramon.cl</t>
        </is>
      </c>
      <c r="E1048" s="66" t="inlineStr">
        <is>
          <t>(56) 2 2440 1320</t>
        </is>
      </c>
      <c r="F1048" s="66" t="n"/>
      <c r="G1048" s="66" t="n"/>
      <c r="H1048" s="66" t="n"/>
      <c r="I1048" s="66" t="inlineStr">
        <is>
          <t>83.019.500-9</t>
        </is>
      </c>
      <c r="J1048" s="66" t="n"/>
      <c r="K1048" s="66" t="inlineStr">
        <is>
          <t>Ventas: GRANDE 3 (600.000 - 1.000.000 UF) | Empleados: 62</t>
        </is>
      </c>
      <c r="L1048" s="61" t="n"/>
      <c r="M1048" s="61" t="n"/>
      <c r="N1048" s="61" t="n"/>
      <c r="O1048" s="61" t="n"/>
      <c r="P1048" s="61" t="n"/>
      <c r="Q1048" s="62" t="n"/>
      <c r="R1048" s="61" t="n"/>
    </row>
    <row r="1049" ht="15.75" customHeight="1" s="38">
      <c r="A1049" s="66" t="inlineStr">
        <is>
          <t>Ineco SpA</t>
        </is>
      </c>
      <c r="B1049" s="66" t="inlineStr">
        <is>
          <t>Automatización Industrial, Válvulas</t>
        </is>
      </c>
      <c r="C1049" s="66" t="inlineStr">
        <is>
          <t>Santiago</t>
        </is>
      </c>
      <c r="D1049" s="66" t="inlineStr">
        <is>
          <t>ineco@ineco.cl</t>
        </is>
      </c>
      <c r="E1049" s="66" t="inlineStr">
        <is>
          <t>(56) 2 2463 8600</t>
        </is>
      </c>
      <c r="F1049" s="66" t="inlineStr">
        <is>
          <t>Gerente de TI / CIO (Director de Tecnología)</t>
        </is>
      </c>
      <c r="G1049" s="66" t="n"/>
      <c r="H1049" s="66" t="n"/>
      <c r="I1049" s="66" t="inlineStr">
        <is>
          <t>79.765.510-4</t>
        </is>
      </c>
      <c r="J1049" s="66" t="n"/>
      <c r="K1049" s="66" t="inlineStr">
        <is>
          <t>Ventas: GRANDE 4 (Mas de 1.000.000 UF) | Empleados: 176</t>
        </is>
      </c>
      <c r="L1049" s="61" t="n"/>
      <c r="M1049" s="61" t="n"/>
      <c r="N1049" s="61" t="n"/>
      <c r="O1049" s="61" t="n"/>
      <c r="P1049" s="61" t="n"/>
      <c r="Q1049" s="62" t="n"/>
      <c r="R1049" s="61" t="n"/>
    </row>
    <row r="1050" ht="15.75" customHeight="1" s="38">
      <c r="A1050" s="66" t="inlineStr">
        <is>
          <t>Inecon S.A.</t>
        </is>
      </c>
      <c r="B1050" s="66" t="inlineStr">
        <is>
          <t>Telecomunicaciones</t>
        </is>
      </c>
      <c r="C1050" s="66" t="inlineStr">
        <is>
          <t>Santiago</t>
        </is>
      </c>
      <c r="D1050" s="66" t="inlineStr">
        <is>
          <t>inecon@inecon.net</t>
        </is>
      </c>
      <c r="E1050" s="66" t="inlineStr">
        <is>
          <t>(56) 2 2369 1900</t>
        </is>
      </c>
      <c r="F1050" s="66" t="n"/>
      <c r="G1050" s="66" t="n"/>
      <c r="H1050" s="66" t="n"/>
      <c r="I1050" s="66" t="inlineStr">
        <is>
          <t>84.705.100-0</t>
        </is>
      </c>
      <c r="J1050" s="66" t="n"/>
      <c r="K1050" s="66" t="inlineStr">
        <is>
          <t>Ventas: GRANDE 2 (200.000 - 600.000 UF) | Empleados: 5</t>
        </is>
      </c>
      <c r="L1050" s="61" t="n"/>
      <c r="M1050" s="61" t="n"/>
      <c r="N1050" s="61" t="n"/>
      <c r="O1050" s="61" t="n"/>
      <c r="P1050" s="61" t="n"/>
      <c r="Q1050" s="62" t="n"/>
      <c r="R1050" s="61" t="n"/>
    </row>
    <row r="1051" ht="15.75" customHeight="1" s="38">
      <c r="A1051" s="66" t="inlineStr">
        <is>
          <t>Inel</t>
        </is>
      </c>
      <c r="B1051" s="66" t="inlineStr">
        <is>
          <t>Arriendo de Equipos de Selección y Chancado Móvil, Chancado de Escoria, Chancado de Ladrillos Refractarios, Chancado de Minerales, Producción de Bases Estabilizada, Producción de Overliner, Selección y Chancado de Aridos, Selección y Chancado Móvil</t>
        </is>
      </c>
      <c r="C1051" s="66" t="inlineStr">
        <is>
          <t>Paine</t>
        </is>
      </c>
      <c r="D1051" s="66" t="inlineStr">
        <is>
          <t>contacto@grupoinel.cl</t>
        </is>
      </c>
      <c r="E1051" s="66" t="inlineStr">
        <is>
          <t>(56) 9 6676 4019</t>
        </is>
      </c>
      <c r="F1051" s="66" t="n"/>
      <c r="G1051" s="66" t="n"/>
      <c r="H1051" s="66" t="inlineStr">
        <is>
          <t>http://www.grupoinel.cl</t>
        </is>
      </c>
      <c r="I1051" s="66" t="inlineStr">
        <is>
          <t>76.450.505-0</t>
        </is>
      </c>
      <c r="J1051" s="66" t="n"/>
      <c r="K1051" s="66" t="inlineStr">
        <is>
          <t>Ventas: GRANDE 2 (200.000 - 600.000 UF) | Empleados: 19</t>
        </is>
      </c>
      <c r="L1051" s="61" t="n"/>
      <c r="M1051" s="61" t="n"/>
      <c r="N1051" s="61" t="n"/>
      <c r="O1051" s="61" t="n"/>
      <c r="P1051" s="61" t="n"/>
      <c r="Q1051" s="62" t="n"/>
      <c r="R1051" s="61" t="n"/>
    </row>
    <row r="1052" ht="15.75" customHeight="1" s="38">
      <c r="A1052" s="66" t="inlineStr">
        <is>
          <t>Infratek</t>
        </is>
      </c>
      <c r="B1052" s="66" t="inlineStr">
        <is>
          <t>Barreras de Malla para Muros, Ventilación de Túneles</t>
        </is>
      </c>
      <c r="C1052" s="66" t="inlineStr">
        <is>
          <t>Santiago</t>
        </is>
      </c>
      <c r="D1052" s="66" t="inlineStr">
        <is>
          <t>comercial@infratek.cl</t>
        </is>
      </c>
      <c r="E1052" s="66" t="inlineStr">
        <is>
          <t>(56) 2 2380 1509</t>
        </is>
      </c>
      <c r="F1052" s="66" t="n"/>
      <c r="G1052" s="66" t="n"/>
      <c r="H1052" s="66" t="n"/>
      <c r="I1052" s="66" t="inlineStr">
        <is>
          <t>76.988.926-4</t>
        </is>
      </c>
      <c r="J1052" s="66" t="n"/>
      <c r="K1052" s="66" t="inlineStr">
        <is>
          <t>Ventas: GRANDE 3 (600.000 - 1.000.000 UF) | Empleados: 38</t>
        </is>
      </c>
      <c r="L1052" s="61" t="n"/>
      <c r="M1052" s="61" t="n"/>
      <c r="N1052" s="61" t="n"/>
      <c r="O1052" s="61" t="n"/>
      <c r="P1052" s="61" t="n"/>
      <c r="Q1052" s="62" t="n"/>
      <c r="R1052" s="61" t="n"/>
    </row>
    <row r="1053" ht="15.75" customHeight="1" s="38">
      <c r="A1053" s="66" t="inlineStr">
        <is>
          <t>Ingal Ingeniería Ltda.</t>
        </is>
      </c>
      <c r="B1053" s="66" t="inlineStr">
        <is>
          <t>Protección Pasiva contra Incendios, Revestimientos Industriales Anticorrosivos y Antiácidos</t>
        </is>
      </c>
      <c r="C1053" s="66" t="inlineStr">
        <is>
          <t>Santiago</t>
        </is>
      </c>
      <c r="D1053" s="66" t="inlineStr">
        <is>
          <t>ventas@ingal.cl</t>
        </is>
      </c>
      <c r="E1053" s="66" t="inlineStr">
        <is>
          <t>(56) 9 6179 2375</t>
        </is>
      </c>
      <c r="F1053" s="66" t="n"/>
      <c r="G1053" s="66" t="n"/>
      <c r="H1053" s="66" t="n"/>
      <c r="I1053" s="66" t="inlineStr">
        <is>
          <t>77.758.950-4</t>
        </is>
      </c>
      <c r="J1053" s="66" t="n"/>
      <c r="K1053" s="66" t="inlineStr">
        <is>
          <t>Ventas: PEQUEÑA 3 (10.000 - 25.000 UF) | Empleados: 7</t>
        </is>
      </c>
      <c r="L1053" s="61" t="n"/>
      <c r="M1053" s="61" t="n"/>
      <c r="N1053" s="61" t="n"/>
      <c r="O1053" s="61" t="n"/>
      <c r="P1053" s="61" t="n"/>
      <c r="Q1053" s="62" t="n"/>
      <c r="R1053" s="61" t="n"/>
    </row>
    <row r="1054" ht="15.75" customHeight="1" s="38">
      <c r="A1054" s="66" t="inlineStr">
        <is>
          <t>Ingefire SpA</t>
        </is>
      </c>
      <c r="B1054" s="66" t="inlineStr">
        <is>
          <t>Bombas contra Incendios, Construcción de Sistemas para Protección contra Incendios</t>
        </is>
      </c>
      <c r="C1054" s="66" t="inlineStr">
        <is>
          <t>Santiago</t>
        </is>
      </c>
      <c r="D1054" s="66" t="inlineStr">
        <is>
          <t>contacto@ingefire.com</t>
        </is>
      </c>
      <c r="E1054" s="66" t="inlineStr">
        <is>
          <t>(56) 2 2891 6980</t>
        </is>
      </c>
      <c r="F1054" s="66" t="n"/>
      <c r="G1054" s="66" t="n"/>
      <c r="H1054" s="66" t="n"/>
      <c r="I1054" s="66" t="inlineStr">
        <is>
          <t>76.693.319-K</t>
        </is>
      </c>
      <c r="J1054" s="66" t="n"/>
      <c r="K1054" s="66" t="inlineStr">
        <is>
          <t>Ventas: MEDIANA 1 (25.000 - 50.000 UF) | Empleados: 36</t>
        </is>
      </c>
      <c r="L1054" s="61" t="n"/>
      <c r="M1054" s="61" t="n"/>
      <c r="N1054" s="61" t="n"/>
      <c r="O1054" s="61" t="n"/>
      <c r="P1054" s="61" t="n"/>
      <c r="Q1054" s="62" t="n"/>
      <c r="R1054" s="61" t="n"/>
    </row>
    <row r="1055" ht="15.75" customHeight="1" s="38">
      <c r="A1055" s="66" t="inlineStr">
        <is>
          <t>Ingemars Laboratorios e Inspecciones</t>
        </is>
      </c>
      <c r="B1055" s="66" t="inlineStr">
        <is>
          <t>Servicios de Inspección Mediante Ensayos No Destructivos, Servicios de Laboratorio de Obras Civiles</t>
        </is>
      </c>
      <c r="C1055" s="66" t="inlineStr">
        <is>
          <t>Antofagasta</t>
        </is>
      </c>
      <c r="D1055" s="66" t="inlineStr">
        <is>
          <t>administracion@ingemars.cl</t>
        </is>
      </c>
      <c r="E1055" s="66" t="inlineStr">
        <is>
          <t>(56) 55 276 5063</t>
        </is>
      </c>
      <c r="F1055" s="66" t="n"/>
      <c r="G1055" s="66" t="n"/>
      <c r="H1055" s="66" t="n"/>
      <c r="I1055" s="66" t="inlineStr">
        <is>
          <t>76.455.680-1</t>
        </is>
      </c>
      <c r="J1055" s="66" t="n"/>
      <c r="K1055" s="66" t="inlineStr">
        <is>
          <t>Ventas: GRANDE 1 (100.000 - 200.000 UF) | Empleados: 115</t>
        </is>
      </c>
      <c r="L1055" s="61" t="n"/>
      <c r="M1055" s="61" t="n"/>
      <c r="N1055" s="61" t="n"/>
      <c r="O1055" s="61" t="n"/>
      <c r="P1055" s="61" t="n"/>
      <c r="Q1055" s="62" t="n"/>
      <c r="R1055" s="61" t="n"/>
    </row>
    <row r="1056" ht="15.75" customHeight="1" s="38">
      <c r="A1056" s="66" t="inlineStr">
        <is>
          <t>Ingemeta SpA</t>
        </is>
      </c>
      <c r="B1056" s="66" t="inlineStr">
        <is>
          <t>Bandejas Portaconductores, Canastillos Portaconductores</t>
        </is>
      </c>
      <c r="C1056" s="66" t="inlineStr">
        <is>
          <t>Santiago</t>
        </is>
      </c>
      <c r="D1056" s="66" t="inlineStr">
        <is>
          <t>contacto@ingemeta.cl</t>
        </is>
      </c>
      <c r="E1056" s="66" t="inlineStr">
        <is>
          <t>(56) 9 7499 1226</t>
        </is>
      </c>
      <c r="F1056" s="66" t="n"/>
      <c r="G1056" s="66" t="n"/>
      <c r="H1056" s="66" t="n"/>
      <c r="I1056" s="66" t="inlineStr">
        <is>
          <t>76.802.111-2</t>
        </is>
      </c>
      <c r="J1056" s="66" t="n"/>
      <c r="K1056" s="66" t="inlineStr">
        <is>
          <t>Ventas: MEDIANA 2 (50.000 - 100.000 UF) | Empleados: 23</t>
        </is>
      </c>
      <c r="L1056" s="61" t="n"/>
      <c r="M1056" s="61" t="n"/>
      <c r="N1056" s="61" t="n"/>
      <c r="O1056" s="61" t="n"/>
      <c r="P1056" s="61" t="n"/>
      <c r="Q1056" s="62" t="n"/>
      <c r="R1056" s="61" t="n"/>
    </row>
    <row r="1057" ht="15.75" customHeight="1" s="38">
      <c r="A1057" s="66" t="inlineStr">
        <is>
          <t>Ingemin Ltda.</t>
        </is>
      </c>
      <c r="B1057" s="66" t="inlineStr">
        <is>
          <t>Chancadores, Correas Transportadoras</t>
        </is>
      </c>
      <c r="C1057" s="66" t="inlineStr">
        <is>
          <t>Santiago</t>
        </is>
      </c>
      <c r="D1057" s="66" t="inlineStr">
        <is>
          <t>info@ingemin.cl</t>
        </is>
      </c>
      <c r="E1057" s="66" t="inlineStr">
        <is>
          <t>(56) 2 2688 5331</t>
        </is>
      </c>
      <c r="F1057" s="66" t="n"/>
      <c r="G1057" s="66" t="n"/>
      <c r="H1057" s="66" t="n"/>
      <c r="I1057" s="66" t="inlineStr">
        <is>
          <t>77.586.260-2</t>
        </is>
      </c>
      <c r="J1057" s="66" t="n"/>
      <c r="K1057" s="66" t="inlineStr">
        <is>
          <t>Ventas: MEDIANA 1 (25.000 - 50.000 UF) | Empleados: 7</t>
        </is>
      </c>
      <c r="L1057" s="61" t="n"/>
      <c r="M1057" s="61" t="n"/>
      <c r="N1057" s="61" t="n"/>
      <c r="O1057" s="61" t="n"/>
      <c r="P1057" s="61" t="n"/>
      <c r="Q1057" s="62" t="n"/>
      <c r="R1057" s="61" t="n"/>
    </row>
    <row r="1058" ht="15.75" customHeight="1" s="38">
      <c r="A1058" s="66" t="inlineStr">
        <is>
          <t>Ingenalse</t>
        </is>
      </c>
      <c r="B1058" s="66" t="inlineStr">
        <is>
          <t>Celdas para Flotación, Clarificación de Soluciones, Concentración de Minerales, Contratos de Mantenimiento, Contratos EPC-EPCM, Diseño de Transporte de Pulpas a Largas Distancias, Equipos para Filtración, Equipos para Flotación, Proyectos Eléctricos, Servicios de Automatización y Control, Servicios de Ingeniería, Servicios de Recuperación de Aguas, Servicios para Plantas Concentradoras, Sistemas para Tratamiento de Aguas Industriales y Residuales</t>
        </is>
      </c>
      <c r="C1058" s="66" t="inlineStr">
        <is>
          <t>Santiago</t>
        </is>
      </c>
      <c r="D1058" s="66" t="inlineStr">
        <is>
          <t>ingenalse@ingenalse.cl</t>
        </is>
      </c>
      <c r="E1058" s="66" t="inlineStr">
        <is>
          <t>(56) 2 3284 1500</t>
        </is>
      </c>
      <c r="F1058" s="66" t="inlineStr">
        <is>
          <t>Gerente de TI / CIO (Director de Tecnología)</t>
        </is>
      </c>
      <c r="G1058" s="66" t="n"/>
      <c r="H1058" s="66" t="inlineStr">
        <is>
          <t>http://www.ingenalse.cl</t>
        </is>
      </c>
      <c r="I1058" s="66" t="inlineStr">
        <is>
          <t>76.157.430-2</t>
        </is>
      </c>
      <c r="J1058" s="66" t="n"/>
      <c r="K1058" s="66" t="inlineStr">
        <is>
          <t>Ventas: GRANDE 4 (Mas de 1.000.000 UF) | Empleados: 1127</t>
        </is>
      </c>
      <c r="L1058" s="61" t="n"/>
      <c r="M1058" s="61" t="n"/>
      <c r="N1058" s="61" t="n"/>
      <c r="O1058" s="61" t="n"/>
      <c r="P1058" s="61" t="n"/>
      <c r="Q1058" s="62" t="n"/>
      <c r="R1058" s="61" t="n"/>
    </row>
    <row r="1059" ht="15.75" customHeight="1" s="38">
      <c r="A1059" s="66" t="inlineStr">
        <is>
          <t>Ingenieria FSG</t>
        </is>
      </c>
      <c r="B1059" s="66" t="inlineStr">
        <is>
          <t>Componentes Hidráulicos</t>
        </is>
      </c>
      <c r="C1059" s="66" t="inlineStr">
        <is>
          <t>Santiago</t>
        </is>
      </c>
      <c r="D1059" s="66" t="inlineStr">
        <is>
          <t>contacto@ifsg.cl</t>
        </is>
      </c>
      <c r="E1059" s="66" t="inlineStr">
        <is>
          <t>(56) 9 4430 2293</t>
        </is>
      </c>
      <c r="F1059" s="66" t="n"/>
      <c r="G1059" s="66" t="n"/>
      <c r="H1059" s="66" t="n"/>
      <c r="I1059" s="66" t="inlineStr">
        <is>
          <t>76.386.953-9</t>
        </is>
      </c>
      <c r="J1059" s="66" t="n"/>
      <c r="K1059" s="66" t="inlineStr">
        <is>
          <t>Ventas: MICRO 1 (0.01 - 200 UF) | Empleados: 0</t>
        </is>
      </c>
      <c r="L1059" s="61" t="n"/>
      <c r="M1059" s="61" t="n"/>
      <c r="N1059" s="61" t="n"/>
      <c r="O1059" s="61" t="n"/>
      <c r="P1059" s="61" t="n"/>
      <c r="Q1059" s="62" t="n"/>
      <c r="R1059" s="61" t="n"/>
    </row>
    <row r="1060" ht="15.75" customHeight="1" s="38">
      <c r="A1060" s="66" t="inlineStr">
        <is>
          <t>Ingeniería Civil Vicente S.A.</t>
        </is>
      </c>
      <c r="B1060" s="66" t="inlineStr">
        <is>
          <t>Arriendo de Equipos para la Minería</t>
        </is>
      </c>
      <c r="C1060" s="66" t="inlineStr">
        <is>
          <t>Santiago</t>
        </is>
      </c>
      <c r="D1060" s="66" t="inlineStr">
        <is>
          <t>icvsa@icv.cl</t>
        </is>
      </c>
      <c r="E1060" s="66" t="inlineStr">
        <is>
          <t>(56) 2 2209 0137</t>
        </is>
      </c>
      <c r="F1060" s="66" t="n"/>
      <c r="G1060" s="66" t="n"/>
      <c r="H1060" s="66" t="n"/>
      <c r="I1060" s="66" t="inlineStr">
        <is>
          <t>93.546.000-K</t>
        </is>
      </c>
      <c r="J1060" s="66" t="n"/>
      <c r="K1060" s="66" t="inlineStr">
        <is>
          <t>Ventas: GRANDE (Estimado por Empleados) | Empleados: 2654</t>
        </is>
      </c>
      <c r="L1060" s="61" t="n"/>
      <c r="M1060" s="61" t="n"/>
      <c r="N1060" s="61" t="n"/>
      <c r="O1060" s="61" t="n"/>
      <c r="P1060" s="61" t="n"/>
      <c r="Q1060" s="62" t="n"/>
      <c r="R1060" s="61" t="n"/>
    </row>
    <row r="1061" ht="15.75" customHeight="1" s="38">
      <c r="A1061" s="66" t="inlineStr">
        <is>
          <t>Ingeniería de Transportes Javier Cortés</t>
        </is>
      </c>
      <c r="B1061" s="66" t="inlineStr">
        <is>
          <t>Transporte Terrestre</t>
        </is>
      </c>
      <c r="C1061" s="66" t="inlineStr">
        <is>
          <t>Santiago</t>
        </is>
      </c>
      <c r="D1061" s="66" t="inlineStr">
        <is>
          <t>transportes@javiercortes.com</t>
        </is>
      </c>
      <c r="E1061" s="66" t="inlineStr">
        <is>
          <t>(56) 2 2720 7900</t>
        </is>
      </c>
      <c r="F1061" s="66" t="n"/>
      <c r="G1061" s="66" t="n"/>
      <c r="H1061" s="66" t="n"/>
      <c r="I1061" s="66" t="inlineStr">
        <is>
          <t>78.069.250-2</t>
        </is>
      </c>
      <c r="J1061" s="66" t="n"/>
      <c r="K1061" s="66" t="inlineStr">
        <is>
          <t>Ventas: GRANDE 3 (600.000 - 1.000.000 UF) | Empleados: 231</t>
        </is>
      </c>
      <c r="L1061" s="61" t="n"/>
      <c r="M1061" s="61" t="n"/>
      <c r="N1061" s="61" t="n"/>
      <c r="O1061" s="61" t="n"/>
      <c r="P1061" s="61" t="n"/>
      <c r="Q1061" s="62" t="n"/>
      <c r="R1061" s="61" t="n"/>
    </row>
    <row r="1062" ht="15.75" customHeight="1" s="38">
      <c r="A1062" s="66" t="inlineStr">
        <is>
          <t>Ingeniería Desimat Ltda.</t>
        </is>
      </c>
      <c r="B1062" s="66" t="inlineStr">
        <is>
          <t>Proyectos Eléctricos</t>
        </is>
      </c>
      <c r="C1062" s="66" t="inlineStr">
        <is>
          <t>Santiago</t>
        </is>
      </c>
      <c r="D1062" s="66" t="inlineStr">
        <is>
          <t>ventaschile@desimat.cl</t>
        </is>
      </c>
      <c r="E1062" s="66" t="inlineStr">
        <is>
          <t>(56) 2 2585 1200</t>
        </is>
      </c>
      <c r="F1062" s="66" t="inlineStr">
        <is>
          <t>Gerente de TI / CIO (Director de Tecnología)</t>
        </is>
      </c>
      <c r="G1062" s="66" t="n"/>
      <c r="H1062" s="66" t="n"/>
      <c r="I1062" s="66" t="inlineStr">
        <is>
          <t>78.131.420-K</t>
        </is>
      </c>
      <c r="J1062" s="66" t="n"/>
      <c r="K1062" s="66" t="inlineStr">
        <is>
          <t>Ventas: GRANDE 4 (Mas de 1.000.000 UF) | Empleados: 101</t>
        </is>
      </c>
      <c r="L1062" s="61" t="n"/>
      <c r="M1062" s="61" t="n"/>
      <c r="N1062" s="61" t="n"/>
      <c r="O1062" s="61" t="n"/>
      <c r="P1062" s="61" t="n"/>
      <c r="Q1062" s="62" t="n"/>
      <c r="R1062" s="61" t="n"/>
    </row>
    <row r="1063" ht="15.75" customHeight="1" s="38">
      <c r="A1063" s="66" t="inlineStr">
        <is>
          <t>Ingeniería Horeb</t>
        </is>
      </c>
      <c r="B1063" s="66" t="inlineStr">
        <is>
          <t>Camiones Aspiradores</t>
        </is>
      </c>
      <c r="C1063" s="66" t="inlineStr">
        <is>
          <t>Antofagasta</t>
        </is>
      </c>
      <c r="D1063" s="66" t="inlineStr">
        <is>
          <t>contacto@horebspa.cl</t>
        </is>
      </c>
      <c r="E1063" s="66" t="inlineStr">
        <is>
          <t>(56) 9 9995 9379</t>
        </is>
      </c>
      <c r="F1063" s="66" t="n"/>
      <c r="G1063" s="66" t="n"/>
      <c r="H1063" s="66" t="n"/>
      <c r="I1063" s="66" t="inlineStr">
        <is>
          <t>77.587.975-0</t>
        </is>
      </c>
      <c r="J1063" s="66" t="n"/>
      <c r="K1063" s="66" t="inlineStr">
        <is>
          <t>Ventas: MEDIANA 1 (25.000 - 50.000 UF) | Empleados: 0</t>
        </is>
      </c>
      <c r="L1063" s="61" t="n"/>
      <c r="M1063" s="61" t="n"/>
      <c r="N1063" s="61" t="n"/>
      <c r="O1063" s="61" t="n"/>
      <c r="P1063" s="61" t="n"/>
      <c r="Q1063" s="62" t="n"/>
      <c r="R1063" s="61" t="n"/>
    </row>
    <row r="1064" ht="15.75" customHeight="1" s="38">
      <c r="A1064" s="66" t="inlineStr">
        <is>
          <t>Ingeniería La Cumbre S.A.</t>
        </is>
      </c>
      <c r="B1064" s="66" t="inlineStr">
        <is>
          <t>Asesorías en Minería</t>
        </is>
      </c>
      <c r="C1064" s="66" t="inlineStr">
        <is>
          <t>Santiago</t>
        </is>
      </c>
      <c r="D1064" s="66" t="inlineStr">
        <is>
          <t>contacto@lacumbresa.cl</t>
        </is>
      </c>
      <c r="E1064" s="66" t="inlineStr">
        <is>
          <t>(56) 2 2884 5169</t>
        </is>
      </c>
      <c r="F1064" s="66" t="n"/>
      <c r="G1064" s="66" t="n"/>
      <c r="H1064" s="66" t="n"/>
      <c r="I1064" s="66" t="inlineStr">
        <is>
          <t>96.873.130-0</t>
        </is>
      </c>
      <c r="J1064" s="66" t="n"/>
      <c r="K1064" s="66" t="inlineStr">
        <is>
          <t>Ventas: MEDIANA 1 (25.000 - 50.000 UF) | Empleados: 7</t>
        </is>
      </c>
      <c r="L1064" s="61" t="n"/>
      <c r="M1064" s="61" t="n"/>
      <c r="N1064" s="61" t="n"/>
      <c r="O1064" s="61" t="n"/>
      <c r="P1064" s="61" t="n"/>
      <c r="Q1064" s="62" t="n"/>
      <c r="R1064" s="61" t="n"/>
    </row>
    <row r="1065" ht="15.75" customHeight="1" s="38">
      <c r="A1065" s="66" t="inlineStr">
        <is>
          <t>Ingeniería Térmica Aingetherm Ltda.</t>
        </is>
      </c>
      <c r="B1065" s="66" t="inlineStr">
        <is>
          <t>Equipos para la Minería</t>
        </is>
      </c>
      <c r="C1065" s="66" t="inlineStr">
        <is>
          <t>Santiago</t>
        </is>
      </c>
      <c r="D1065" s="66" t="inlineStr">
        <is>
          <t>ventas1@hornos.cl</t>
        </is>
      </c>
      <c r="E1065" s="66" t="inlineStr">
        <is>
          <t>(56) 2 2523 7248</t>
        </is>
      </c>
      <c r="F1065" s="66" t="n"/>
      <c r="G1065" s="66" t="n"/>
      <c r="H1065" s="66" t="n"/>
      <c r="I1065" s="66" t="inlineStr">
        <is>
          <t>78.280.080-9</t>
        </is>
      </c>
      <c r="J1065" s="66" t="n"/>
      <c r="K1065" s="66" t="inlineStr">
        <is>
          <t>Ventas: PEQUEÑA 2 (5.000 - 10.000 UF) | Empleados: 1</t>
        </is>
      </c>
      <c r="L1065" s="61" t="n"/>
      <c r="M1065" s="61" t="n"/>
      <c r="N1065" s="61" t="n"/>
      <c r="O1065" s="61" t="n"/>
      <c r="P1065" s="61" t="n"/>
      <c r="Q1065" s="62" t="n"/>
      <c r="R1065" s="61" t="n"/>
    </row>
    <row r="1066" ht="15.75" customHeight="1" s="38">
      <c r="A1066" s="66" t="inlineStr">
        <is>
          <t>Ingeniería y Computación Ltda.</t>
        </is>
      </c>
      <c r="B1066" s="66" t="inlineStr">
        <is>
          <t>Equipamiento para Líneas de Subestación, Sensores de Temperatura</t>
        </is>
      </c>
      <c r="C1066" s="66" t="inlineStr">
        <is>
          <t>Concepción</t>
        </is>
      </c>
      <c r="D1066" s="66" t="inlineStr">
        <is>
          <t>sales@ing-comp.com</t>
        </is>
      </c>
      <c r="E1066" s="66" t="inlineStr">
        <is>
          <t>(56) 41 293 3529</t>
        </is>
      </c>
      <c r="F1066" s="66" t="n"/>
      <c r="G1066" s="66" t="n"/>
      <c r="H1066" s="66" t="n"/>
      <c r="I1066" s="66" t="inlineStr">
        <is>
          <t>77.426.200-8</t>
        </is>
      </c>
      <c r="J1066" s="66" t="n"/>
      <c r="K1066" s="66" t="inlineStr">
        <is>
          <t>Ventas: MEDIANA 1 (25.000 - 50.000 UF) | Empleados: 13</t>
        </is>
      </c>
      <c r="L1066" s="61" t="n"/>
      <c r="M1066" s="61" t="n"/>
      <c r="N1066" s="61" t="n"/>
      <c r="O1066" s="61" t="n"/>
      <c r="P1066" s="61" t="n"/>
      <c r="Q1066" s="62" t="n"/>
      <c r="R1066" s="61" t="n"/>
    </row>
    <row r="1067" ht="15.75" customHeight="1" s="38">
      <c r="A1067" s="66" t="inlineStr">
        <is>
          <t>Ingepro SpA</t>
        </is>
      </c>
      <c r="B1067" s="66" t="inlineStr">
        <is>
          <t>Aguas Industriales, Sistema para Separar Elementos Sólidos en un Medio Líquido</t>
        </is>
      </c>
      <c r="C1067" s="66" t="inlineStr">
        <is>
          <t>Santiago</t>
        </is>
      </c>
      <c r="D1067" s="66" t="inlineStr">
        <is>
          <t>alfredo@ingeprochile.com</t>
        </is>
      </c>
      <c r="E1067" s="66" t="inlineStr">
        <is>
          <t>(56) 9 9610 9221</t>
        </is>
      </c>
      <c r="F1067" s="66" t="n"/>
      <c r="G1067" s="66" t="n"/>
      <c r="H1067" s="66" t="n"/>
      <c r="I1067" s="66" t="inlineStr">
        <is>
          <t>76855701-2</t>
        </is>
      </c>
      <c r="J1067" s="66" t="n"/>
      <c r="K1067" s="66" t="inlineStr">
        <is>
          <t>Ventas: MICRO 3 (600 - 2.400 UF) | Empleados: 0</t>
        </is>
      </c>
      <c r="L1067" s="61" t="n"/>
      <c r="M1067" s="61" t="n"/>
      <c r="N1067" s="61" t="n"/>
      <c r="O1067" s="61" t="n"/>
      <c r="P1067" s="61" t="n"/>
      <c r="Q1067" s="62" t="n"/>
      <c r="R1067" s="61" t="n"/>
    </row>
    <row r="1068" ht="15.75" customHeight="1" s="38">
      <c r="A1068" s="66" t="inlineStr">
        <is>
          <t>Ingequipos</t>
        </is>
      </c>
      <c r="B1068" s="66" t="inlineStr">
        <is>
          <t>Aspiradoras Industriales, Contenedores para Desperdicios</t>
        </is>
      </c>
      <c r="C1068" s="66" t="inlineStr">
        <is>
          <t>Santiago</t>
        </is>
      </c>
      <c r="D1068" s="66" t="inlineStr">
        <is>
          <t>ventas@ingequipos.cl</t>
        </is>
      </c>
      <c r="E1068" s="66" t="inlineStr">
        <is>
          <t>(56) 2 2401 1600</t>
        </is>
      </c>
      <c r="F1068" s="66" t="n"/>
      <c r="G1068" s="66" t="n"/>
      <c r="H1068" s="66" t="n"/>
      <c r="I1068" s="66" t="inlineStr">
        <is>
          <t>76.061.485-8</t>
        </is>
      </c>
      <c r="J1068" s="66" t="n"/>
      <c r="K1068" s="66" t="inlineStr">
        <is>
          <t>Ventas: MEDIANA 2 (50.000 - 100.000 UF) | Empleados: 13</t>
        </is>
      </c>
      <c r="L1068" s="61" t="n"/>
      <c r="M1068" s="61" t="n"/>
      <c r="N1068" s="61" t="n"/>
      <c r="O1068" s="61" t="n"/>
      <c r="P1068" s="61" t="n"/>
      <c r="Q1068" s="62" t="n"/>
      <c r="R1068" s="61" t="n"/>
    </row>
    <row r="1069" ht="15.75" customHeight="1" s="38">
      <c r="A1069" s="66" t="inlineStr">
        <is>
          <t>Ingersoll Rand Chile Ltda.</t>
        </is>
      </c>
      <c r="B1069" s="66" t="inlineStr">
        <is>
          <t>Compresores para Aire</t>
        </is>
      </c>
      <c r="C1069" s="66" t="inlineStr">
        <is>
          <t>Santiago</t>
        </is>
      </c>
      <c r="D1069" s="66" t="n"/>
      <c r="E1069" s="66" t="inlineStr">
        <is>
          <t>(56) 2 2485 8300</t>
        </is>
      </c>
      <c r="F1069" s="66" t="n"/>
      <c r="G1069" s="66" t="n"/>
      <c r="H1069" s="66" t="n"/>
      <c r="I1069" s="66" t="inlineStr">
        <is>
          <t>96.885.670-7</t>
        </is>
      </c>
      <c r="J1069" s="66" t="n"/>
      <c r="K1069" s="66" t="inlineStr">
        <is>
          <t>Ventas: GRANDE 3 (600.000 - 1.000.000 UF) | Empleados: 103</t>
        </is>
      </c>
      <c r="L1069" s="61" t="n"/>
      <c r="M1069" s="61" t="n"/>
      <c r="N1069" s="61" t="n"/>
      <c r="O1069" s="61" t="n"/>
      <c r="P1069" s="61" t="n"/>
      <c r="Q1069" s="62" t="n"/>
      <c r="R1069" s="61" t="n"/>
    </row>
    <row r="1070" ht="15.75" customHeight="1" s="38">
      <c r="A1070" s="66" t="inlineStr">
        <is>
          <t>Ingesemaq Ltda.</t>
        </is>
      </c>
      <c r="B1070" s="66" t="inlineStr">
        <is>
          <t>Repuestos para Maquinaria Minera, Repuestos para Motores Diesel</t>
        </is>
      </c>
      <c r="C1070" s="66" t="inlineStr">
        <is>
          <t>Santiago</t>
        </is>
      </c>
      <c r="D1070" s="66" t="inlineStr">
        <is>
          <t>ventas@ingesemaq.cl</t>
        </is>
      </c>
      <c r="E1070" s="66" t="inlineStr">
        <is>
          <t>(56) 2 2556 5048</t>
        </is>
      </c>
      <c r="F1070" s="66" t="n"/>
      <c r="G1070" s="66" t="n"/>
      <c r="H1070" s="66" t="n"/>
      <c r="I1070" s="66" t="inlineStr">
        <is>
          <t>76.119.500-K</t>
        </is>
      </c>
      <c r="J1070" s="66" t="n"/>
      <c r="K1070" s="66" t="inlineStr">
        <is>
          <t>Ventas: MEDIANA 2 (50.000 - 100.000 UF) | Empleados: 11</t>
        </is>
      </c>
      <c r="L1070" s="61" t="n"/>
      <c r="M1070" s="61" t="n"/>
      <c r="N1070" s="61" t="n"/>
      <c r="O1070" s="61" t="n"/>
      <c r="P1070" s="61" t="n"/>
      <c r="Q1070" s="62" t="n"/>
      <c r="R1070" s="61" t="n"/>
    </row>
    <row r="1071" ht="15.75" customHeight="1" s="38">
      <c r="A1071" s="66" t="inlineStr">
        <is>
          <t>Ingesum</t>
        </is>
      </c>
      <c r="B1071" s="66" t="inlineStr">
        <is>
          <t>Suministros Mineros</t>
        </is>
      </c>
      <c r="C1071" s="66" t="inlineStr">
        <is>
          <t>Concepción</t>
        </is>
      </c>
      <c r="D1071" s="66" t="inlineStr">
        <is>
          <t>contacto@ingesum.com</t>
        </is>
      </c>
      <c r="E1071" s="66" t="inlineStr">
        <is>
          <t>(56) 9 5883 3494</t>
        </is>
      </c>
      <c r="F1071" s="66" t="n"/>
      <c r="G1071" s="66" t="n"/>
      <c r="H1071" s="66" t="n"/>
      <c r="I1071" s="66" t="inlineStr">
        <is>
          <t>76775459-0</t>
        </is>
      </c>
      <c r="J1071" s="66" t="n"/>
      <c r="K1071" s="66" t="inlineStr">
        <is>
          <t>Ventas: GRANDE 1 (100.000 - 200.000 UF) | Empleados: 14</t>
        </is>
      </c>
      <c r="L1071" s="61" t="n"/>
      <c r="M1071" s="61" t="n"/>
      <c r="N1071" s="61" t="n"/>
      <c r="O1071" s="61" t="n"/>
      <c r="P1071" s="61" t="n"/>
      <c r="Q1071" s="62" t="n"/>
      <c r="R1071" s="61" t="n"/>
    </row>
    <row r="1072" ht="15.75" customHeight="1" s="38">
      <c r="A1072" s="66" t="inlineStr">
        <is>
          <t>Ingeteam Chile SpA</t>
        </is>
      </c>
      <c r="B1072" s="66" t="inlineStr">
        <is>
          <t>Automatización y Control, Conversión de Energía</t>
        </is>
      </c>
      <c r="C1072" s="66" t="inlineStr">
        <is>
          <t>Santiago</t>
        </is>
      </c>
      <c r="D1072" s="66" t="inlineStr">
        <is>
          <t>chile@ingeteam.com</t>
        </is>
      </c>
      <c r="E1072" s="66" t="inlineStr">
        <is>
          <t>(56) 2 2925 3825</t>
        </is>
      </c>
      <c r="F1072" s="66" t="n"/>
      <c r="G1072" s="66" t="n"/>
      <c r="H1072" s="66" t="n"/>
      <c r="I1072" s="66" t="inlineStr">
        <is>
          <t>77773293-5</t>
        </is>
      </c>
      <c r="J1072" s="66" t="n"/>
      <c r="K1072" s="66" t="inlineStr">
        <is>
          <t>Ventas: GRANDE 3 (600.000 - 1.000.000 UF) | Empleados: 32</t>
        </is>
      </c>
      <c r="L1072" s="61" t="n"/>
      <c r="M1072" s="61" t="n"/>
      <c r="N1072" s="61" t="n"/>
      <c r="O1072" s="61" t="n"/>
      <c r="P1072" s="61" t="n"/>
      <c r="Q1072" s="62" t="n"/>
      <c r="R1072" s="61" t="n"/>
    </row>
    <row r="1073" ht="15.75" customHeight="1" s="38">
      <c r="A1073" s="66" t="inlineStr">
        <is>
          <t>Ingimex</t>
        </is>
      </c>
      <c r="B1073" s="66" t="inlineStr">
        <is>
          <t>Automatización Industrial</t>
        </is>
      </c>
      <c r="C1073" s="66" t="inlineStr">
        <is>
          <t>Santiago</t>
        </is>
      </c>
      <c r="D1073" s="66" t="inlineStr">
        <is>
          <t>ventas03@ingimex.cl</t>
        </is>
      </c>
      <c r="E1073" s="66" t="inlineStr">
        <is>
          <t>(56) 9 9848 6157</t>
        </is>
      </c>
      <c r="F1073" s="66" t="n"/>
      <c r="G1073" s="66" t="n"/>
      <c r="H1073" s="66" t="n"/>
      <c r="I1073" s="66" t="inlineStr">
        <is>
          <t>77.578.010-K</t>
        </is>
      </c>
      <c r="J1073" s="66" t="n"/>
      <c r="K1073" s="66" t="inlineStr">
        <is>
          <t>Ventas: GRANDE 1 (100.000 - 200.000 UF) | Empleados: 13</t>
        </is>
      </c>
      <c r="L1073" s="61" t="n"/>
      <c r="M1073" s="61" t="n"/>
      <c r="N1073" s="61" t="n"/>
      <c r="O1073" s="61" t="n"/>
      <c r="P1073" s="61" t="n"/>
      <c r="Q1073" s="62" t="n"/>
      <c r="R1073" s="61" t="n"/>
    </row>
    <row r="1074" ht="15.75" customHeight="1" s="38">
      <c r="A1074" s="66" t="inlineStr">
        <is>
          <t>Ingo Ltda.</t>
        </is>
      </c>
      <c r="B1074" s="66" t="inlineStr">
        <is>
          <t>Planchas de Goma, Productos de Goma</t>
        </is>
      </c>
      <c r="C1074" s="66" t="inlineStr">
        <is>
          <t>Santiago</t>
        </is>
      </c>
      <c r="D1074" s="66" t="inlineStr">
        <is>
          <t>contacto@ingo.cl</t>
        </is>
      </c>
      <c r="E1074" s="66" t="inlineStr">
        <is>
          <t>(56) 2 2248 7555</t>
        </is>
      </c>
      <c r="F1074" s="66" t="n"/>
      <c r="G1074" s="66" t="n"/>
      <c r="H1074" s="66" t="n"/>
      <c r="I1074" s="66" t="inlineStr">
        <is>
          <t>76.002.410-4</t>
        </is>
      </c>
      <c r="J1074" s="66" t="n"/>
      <c r="K1074" s="66" t="inlineStr">
        <is>
          <t>Ventas: MEDIANA 2 (50.000 - 100.000 UF) | Empleados: 4</t>
        </is>
      </c>
      <c r="L1074" s="61" t="n"/>
      <c r="M1074" s="61" t="n"/>
      <c r="N1074" s="61" t="n"/>
      <c r="O1074" s="61" t="n"/>
      <c r="P1074" s="61" t="n"/>
      <c r="Q1074" s="62" t="n"/>
      <c r="R1074" s="61" t="n"/>
    </row>
    <row r="1075" ht="15.75" customHeight="1" s="38">
      <c r="A1075" s="66" t="inlineStr">
        <is>
          <t>Ingomar S.A.</t>
        </is>
      </c>
      <c r="B1075" s="66" t="inlineStr">
        <is>
          <t>Artículos de Goma, Productos de Goma</t>
        </is>
      </c>
      <c r="C1075" s="66" t="inlineStr">
        <is>
          <t>Santiago</t>
        </is>
      </c>
      <c r="D1075" s="66" t="inlineStr">
        <is>
          <t>ingomar@ingomar.cl</t>
        </is>
      </c>
      <c r="E1075" s="66" t="inlineStr">
        <is>
          <t>(56) 2 2498 7000</t>
        </is>
      </c>
      <c r="F1075" s="66" t="n"/>
      <c r="G1075" s="66" t="n"/>
      <c r="H1075" s="66" t="n"/>
      <c r="I1075" s="66" t="inlineStr">
        <is>
          <t>92.617.000-7</t>
        </is>
      </c>
      <c r="J1075" s="66" t="n"/>
      <c r="K1075" s="66" t="inlineStr">
        <is>
          <t>Ventas: GRANDE 3 (600.000 - 1.000.000 UF) | Empleados: 143</t>
        </is>
      </c>
      <c r="L1075" s="61" t="n"/>
      <c r="M1075" s="61" t="n"/>
      <c r="N1075" s="61" t="n"/>
      <c r="O1075" s="61" t="n"/>
      <c r="P1075" s="61" t="n"/>
      <c r="Q1075" s="62" t="n"/>
      <c r="R1075" s="61" t="n"/>
    </row>
    <row r="1076" ht="15.75" customHeight="1" s="38">
      <c r="A1076" s="66" t="inlineStr">
        <is>
          <t>Innova Check S.A.</t>
        </is>
      </c>
      <c r="B1076" s="66" t="inlineStr">
        <is>
          <t>Control de Calidad</t>
        </is>
      </c>
      <c r="C1076" s="66" t="inlineStr">
        <is>
          <t>Santiago</t>
        </is>
      </c>
      <c r="D1076" s="66" t="inlineStr">
        <is>
          <t>contacto@icheck.cl</t>
        </is>
      </c>
      <c r="E1076" s="66" t="inlineStr">
        <is>
          <t>(56) 2 2589 2680</t>
        </is>
      </c>
      <c r="F1076" s="66" t="n"/>
      <c r="G1076" s="66" t="n"/>
      <c r="H1076" s="66" t="n"/>
      <c r="I1076" s="66" t="inlineStr">
        <is>
          <t>76.169.954-7</t>
        </is>
      </c>
      <c r="J1076" s="66" t="n"/>
      <c r="K1076" s="66" t="inlineStr">
        <is>
          <t>Ventas: MEDIANA 1 (25.000 - 50.000 UF) | Empleados: 12</t>
        </is>
      </c>
      <c r="L1076" s="61" t="n"/>
      <c r="M1076" s="61" t="n"/>
      <c r="N1076" s="61" t="n"/>
      <c r="O1076" s="61" t="n"/>
      <c r="P1076" s="61" t="n"/>
      <c r="Q1076" s="62" t="n"/>
      <c r="R1076" s="61" t="n"/>
    </row>
    <row r="1077" ht="15.75" customHeight="1" s="38">
      <c r="A1077" s="66" t="inlineStr">
        <is>
          <t>InnovaMine</t>
        </is>
      </c>
      <c r="B1077" s="66" t="inlineStr">
        <is>
          <t>Consultoría en Minería</t>
        </is>
      </c>
      <c r="C1077" s="66" t="inlineStr">
        <is>
          <t>Santiago</t>
        </is>
      </c>
      <c r="D1077" s="66" t="inlineStr">
        <is>
          <t>contacto@innovamine.cl</t>
        </is>
      </c>
      <c r="E1077" s="66" t="inlineStr">
        <is>
          <t>(56) 9 6140 8099</t>
        </is>
      </c>
      <c r="F1077" s="66" t="n"/>
      <c r="G1077" s="66" t="n"/>
      <c r="H1077" s="66" t="n"/>
      <c r="I1077" s="66" t="inlineStr">
        <is>
          <t>76.518.204-2</t>
        </is>
      </c>
      <c r="J1077" s="66" t="n"/>
      <c r="K1077" s="66" t="inlineStr">
        <is>
          <t>Ventas: PEQUEÑA 3 (10.000 - 25.000 UF) | Empleados: 5</t>
        </is>
      </c>
      <c r="L1077" s="61" t="n"/>
      <c r="M1077" s="61" t="n"/>
      <c r="N1077" s="61" t="n"/>
      <c r="O1077" s="61" t="n"/>
      <c r="P1077" s="61" t="n"/>
      <c r="Q1077" s="62" t="n"/>
      <c r="R1077" s="61" t="n"/>
    </row>
    <row r="1078" ht="15.75" customHeight="1" s="38">
      <c r="A1078" s="66" t="inlineStr">
        <is>
          <t>Innovatronic</t>
        </is>
      </c>
      <c r="B1078" s="66" t="inlineStr">
        <is>
          <t>Cableado Estructurado</t>
        </is>
      </c>
      <c r="C1078" s="66" t="inlineStr">
        <is>
          <t>Antofagasta</t>
        </is>
      </c>
      <c r="D1078" s="66" t="inlineStr">
        <is>
          <t>contacto@innovatronic.cl</t>
        </is>
      </c>
      <c r="E1078" s="66" t="inlineStr">
        <is>
          <t>(56) 55 254 4764</t>
        </is>
      </c>
      <c r="F1078" s="66" t="n"/>
      <c r="G1078" s="66" t="n"/>
      <c r="H1078" s="66" t="n"/>
      <c r="I1078" s="66" t="inlineStr">
        <is>
          <t>52.000.043-7</t>
        </is>
      </c>
      <c r="J1078" s="66" t="n"/>
      <c r="K1078" s="66" t="inlineStr">
        <is>
          <t>Ventas: PEQUEÑA 2 (5.000 - 10.000 UF) | Empleados: 2</t>
        </is>
      </c>
      <c r="L1078" s="61" t="n"/>
      <c r="M1078" s="61" t="n"/>
      <c r="N1078" s="61" t="n"/>
      <c r="O1078" s="61" t="n"/>
      <c r="P1078" s="61" t="n"/>
      <c r="Q1078" s="62" t="n"/>
      <c r="R1078" s="61" t="n"/>
    </row>
    <row r="1079" ht="15.75" customHeight="1" s="38">
      <c r="A1079" s="66" t="inlineStr">
        <is>
          <t>Innovex SpA</t>
        </is>
      </c>
      <c r="B1079" s="66" t="inlineStr">
        <is>
          <t>Sistemas de Monitoreo para Pilas de Lixiviación</t>
        </is>
      </c>
      <c r="C1079" s="66" t="inlineStr">
        <is>
          <t>Antofagasta</t>
        </is>
      </c>
      <c r="D1079" s="66" t="inlineStr">
        <is>
          <t>gsantamarina@innovex.cl</t>
        </is>
      </c>
      <c r="E1079" s="66" t="inlineStr">
        <is>
          <t>(56) 9 9158 3418</t>
        </is>
      </c>
      <c r="F1079" s="66" t="n"/>
      <c r="G1079" s="66" t="n"/>
      <c r="H1079" s="66" t="n"/>
      <c r="I1079" s="66" t="inlineStr">
        <is>
          <t>76744120-7</t>
        </is>
      </c>
      <c r="J1079" s="66" t="n"/>
      <c r="K1079" s="66" t="inlineStr">
        <is>
          <t>Ventas: GRANDE 3 (600.000 - 1.000.000 UF) | Empleados: 172</t>
        </is>
      </c>
      <c r="L1079" s="61" t="n"/>
      <c r="M1079" s="61" t="n"/>
      <c r="N1079" s="61" t="n"/>
      <c r="O1079" s="61" t="n"/>
      <c r="P1079" s="61" t="n"/>
      <c r="Q1079" s="62" t="n"/>
      <c r="R1079" s="61" t="n"/>
    </row>
    <row r="1080" ht="15.75" customHeight="1" s="38">
      <c r="A1080" s="66" t="inlineStr">
        <is>
          <t>Innra SpA</t>
        </is>
      </c>
      <c r="B1080" s="66" t="inlineStr">
        <is>
          <t>Rediseño de Equipos de Perforación</t>
        </is>
      </c>
      <c r="C1080" s="66" t="inlineStr">
        <is>
          <t>Coquimbo</t>
        </is>
      </c>
      <c r="D1080" s="66" t="inlineStr">
        <is>
          <t>info@innra.cl</t>
        </is>
      </c>
      <c r="E1080" s="66" t="inlineStr">
        <is>
          <t>(56) 51 240 2180</t>
        </is>
      </c>
      <c r="F1080" s="66" t="n"/>
      <c r="G1080" s="66" t="n"/>
      <c r="H1080" s="66" t="n"/>
      <c r="I1080" s="66" t="inlineStr">
        <is>
          <t>77152185-1</t>
        </is>
      </c>
      <c r="J1080" s="66" t="n"/>
      <c r="K1080" s="66" t="inlineStr">
        <is>
          <t>Ventas: MEDIANA 2 (50.000 - 100.000 UF) | Empleados: 35</t>
        </is>
      </c>
      <c r="L1080" s="61" t="n"/>
      <c r="M1080" s="61" t="n"/>
      <c r="N1080" s="61" t="n"/>
      <c r="O1080" s="61" t="n"/>
      <c r="P1080" s="61" t="n"/>
      <c r="Q1080" s="62" t="n"/>
      <c r="R1080" s="61" t="n"/>
    </row>
    <row r="1081" ht="15.75" customHeight="1" s="38">
      <c r="A1081" s="66" t="inlineStr">
        <is>
          <t>Inpamind SpA</t>
        </is>
      </c>
      <c r="B1081" s="66" t="inlineStr">
        <is>
          <t>Bandas para Filtros, Telas y Paños para Filtros</t>
        </is>
      </c>
      <c r="C1081" s="66" t="inlineStr">
        <is>
          <t>Santiago</t>
        </is>
      </c>
      <c r="D1081" s="66" t="inlineStr">
        <is>
          <t>info@inpamind.cl</t>
        </is>
      </c>
      <c r="E1081" s="66" t="inlineStr">
        <is>
          <t>(56) 2 2223 7543</t>
        </is>
      </c>
      <c r="F1081" s="66" t="n"/>
      <c r="G1081" s="66" t="n"/>
      <c r="H1081" s="66" t="n"/>
      <c r="I1081" s="66" t="inlineStr">
        <is>
          <t>77.051.320-0</t>
        </is>
      </c>
      <c r="J1081" s="66" t="n"/>
      <c r="K1081" s="66" t="inlineStr">
        <is>
          <t>Ventas: GRANDE 1 (100.000 - 200.000 UF) | Empleados: 6</t>
        </is>
      </c>
      <c r="L1081" s="61" t="n"/>
      <c r="M1081" s="61" t="n"/>
      <c r="N1081" s="61" t="n"/>
      <c r="O1081" s="61" t="n"/>
      <c r="P1081" s="61" t="n"/>
      <c r="Q1081" s="62" t="n"/>
      <c r="R1081" s="61" t="n"/>
    </row>
    <row r="1082" ht="15.75" customHeight="1" s="38">
      <c r="A1082" s="66" t="inlineStr">
        <is>
          <t>Inppamet S.A.</t>
        </is>
      </c>
      <c r="B1082" s="66" t="inlineStr">
        <is>
          <t>Anodos de Plomo</t>
        </is>
      </c>
      <c r="C1082" s="66" t="inlineStr">
        <is>
          <t>Calama</t>
        </is>
      </c>
      <c r="D1082" s="66" t="inlineStr">
        <is>
          <t>contacto@inppamet.cl</t>
        </is>
      </c>
      <c r="E1082" s="66" t="inlineStr">
        <is>
          <t>(56) 55 253 8100</t>
        </is>
      </c>
      <c r="F1082" s="66" t="inlineStr">
        <is>
          <t>Gerente de TI / CIO (Director de Tecnología)</t>
        </is>
      </c>
      <c r="G1082" s="66" t="n"/>
      <c r="H1082" s="66" t="n"/>
      <c r="I1082" s="66" t="inlineStr">
        <is>
          <t>79.722.500-2</t>
        </is>
      </c>
      <c r="J1082" s="66" t="n"/>
      <c r="K1082" s="66" t="inlineStr">
        <is>
          <t>Ventas: GRANDE 4 (Mas de 1.000.000 UF) | Empleados: 77</t>
        </is>
      </c>
      <c r="L1082" s="61" t="n"/>
      <c r="M1082" s="61" t="n"/>
      <c r="N1082" s="61" t="n"/>
      <c r="O1082" s="61" t="n"/>
      <c r="P1082" s="61" t="n"/>
      <c r="Q1082" s="62" t="n"/>
      <c r="R1082" s="61" t="n"/>
    </row>
    <row r="1083" ht="15.75" customHeight="1" s="38">
      <c r="A1083" s="66" t="inlineStr">
        <is>
          <t>Inquinat Chile Ltda.</t>
        </is>
      </c>
      <c r="B1083" s="66" t="inlineStr">
        <is>
          <t>Ablandadores para Agua, Antiincrustantes, Bombas Dosificadoras, Carbón Activado, Construcción de Plantas para Tratamiento de Agua, Desmineralizadores para Agua, Plantas Desalinizadoras, Plantas para Osmosis Inversa, Plantas para Tratamiento de Efluentes, Purificación de Agua, Reutilización de Aguas Industriales, Tratamiento de Agua, Tratamiento de Aguas Industriales</t>
        </is>
      </c>
      <c r="C1083" s="66" t="inlineStr">
        <is>
          <t>Santiago</t>
        </is>
      </c>
      <c r="D1083" s="66" t="inlineStr">
        <is>
          <t>inquinat@inquinat.cl</t>
        </is>
      </c>
      <c r="E1083" s="66" t="inlineStr">
        <is>
          <t>(56) 2 2237 3696</t>
        </is>
      </c>
      <c r="F1083" s="66" t="n"/>
      <c r="G1083" s="66" t="n"/>
      <c r="H1083" s="66" t="inlineStr">
        <is>
          <t>http://www.inquinat.cl</t>
        </is>
      </c>
      <c r="I1083" s="66" t="inlineStr">
        <is>
          <t>78.931.720-8</t>
        </is>
      </c>
      <c r="J1083" s="66" t="n"/>
      <c r="K1083" s="66" t="inlineStr">
        <is>
          <t>Ventas: GRANDE 1 (100.000 - 200.000 UF) | Empleados: 20</t>
        </is>
      </c>
      <c r="L1083" s="61" t="n"/>
      <c r="M1083" s="61" t="n"/>
      <c r="N1083" s="61" t="n"/>
      <c r="O1083" s="61" t="n"/>
      <c r="P1083" s="61" t="n"/>
      <c r="Q1083" s="62" t="n"/>
      <c r="R1083" s="61" t="n"/>
    </row>
    <row r="1084" ht="15.75" customHeight="1" s="38">
      <c r="A1084" s="66" t="inlineStr">
        <is>
          <t>Inreser SpA</t>
        </is>
      </c>
      <c r="B1084" s="66" t="inlineStr">
        <is>
          <t>Cables para Izaje, Equipos para Izaje, Servicios de Mantenimiento</t>
        </is>
      </c>
      <c r="C1084" s="66" t="inlineStr">
        <is>
          <t>Santiago</t>
        </is>
      </c>
      <c r="D1084" s="66" t="inlineStr">
        <is>
          <t>ventas@inreser.com</t>
        </is>
      </c>
      <c r="E1084" s="66" t="inlineStr">
        <is>
          <t>(56) 2 2501 0881</t>
        </is>
      </c>
      <c r="F1084" s="66" t="n"/>
      <c r="G1084" s="66" t="n"/>
      <c r="H1084" s="66" t="n"/>
      <c r="I1084" s="66" t="inlineStr">
        <is>
          <t>76.185.994-3</t>
        </is>
      </c>
      <c r="J1084" s="66" t="n"/>
      <c r="K1084" s="66" t="inlineStr">
        <is>
          <t>Ventas: MEDIANA 1 (25.000 - 50.000 UF) | Empleados: 6</t>
        </is>
      </c>
      <c r="L1084" s="61" t="n"/>
      <c r="M1084" s="61" t="n"/>
      <c r="N1084" s="61" t="n"/>
      <c r="O1084" s="61" t="n"/>
      <c r="P1084" s="61" t="n"/>
      <c r="Q1084" s="62" t="n"/>
      <c r="R1084" s="61" t="n"/>
    </row>
    <row r="1085" ht="15.75" customHeight="1" s="38">
      <c r="A1085" s="66" t="inlineStr">
        <is>
          <t>Insercomp SpA</t>
        </is>
      </c>
      <c r="B1085" s="66" t="inlineStr">
        <is>
          <t>Señalética Vial, Telecomunicaciones</t>
        </is>
      </c>
      <c r="C1085" s="66" t="inlineStr">
        <is>
          <t>Antofagasta</t>
        </is>
      </c>
      <c r="D1085" s="66" t="inlineStr">
        <is>
          <t>servicios@insercomp.cl</t>
        </is>
      </c>
      <c r="E1085" s="66" t="inlineStr">
        <is>
          <t>(56) 9 7959 9800</t>
        </is>
      </c>
      <c r="F1085" s="66" t="n"/>
      <c r="G1085" s="66" t="n"/>
      <c r="H1085" s="66" t="n"/>
      <c r="I1085" s="66" t="inlineStr">
        <is>
          <t>76619482-6</t>
        </is>
      </c>
      <c r="J1085" s="66" t="n"/>
      <c r="K1085" s="66" t="inlineStr">
        <is>
          <t>Ventas: PEQUEÑA 1 (2.400 - 5.000 UF) | Empleados: 0</t>
        </is>
      </c>
      <c r="L1085" s="61" t="n"/>
      <c r="M1085" s="61" t="n"/>
      <c r="N1085" s="61" t="n"/>
      <c r="O1085" s="61" t="n"/>
      <c r="P1085" s="61" t="n"/>
      <c r="Q1085" s="62" t="n"/>
      <c r="R1085" s="61" t="n"/>
    </row>
    <row r="1086" ht="15.75" customHeight="1" s="38">
      <c r="A1086" s="66" t="inlineStr">
        <is>
          <t>Insesa Ingeniería y Servicios S.A.</t>
        </is>
      </c>
      <c r="B1086" s="66" t="inlineStr">
        <is>
          <t>Equipos para la Minería, Equipos para Procesos Mineros</t>
        </is>
      </c>
      <c r="C1086" s="66" t="inlineStr">
        <is>
          <t>Santiago</t>
        </is>
      </c>
      <c r="D1086" s="66" t="n"/>
      <c r="E1086" s="66" t="inlineStr">
        <is>
          <t>(56) 2 2411 0800</t>
        </is>
      </c>
      <c r="F1086" s="66" t="n"/>
      <c r="G1086" s="66" t="n"/>
      <c r="H1086" s="66" t="n"/>
      <c r="I1086" s="66" t="inlineStr">
        <is>
          <t>96.534.100-5</t>
        </is>
      </c>
      <c r="J1086" s="66" t="n"/>
      <c r="K1086" s="66" t="inlineStr">
        <is>
          <t>Ventas: GRANDE 2 (200.000 - 600.000 UF) | Empleados: 116</t>
        </is>
      </c>
      <c r="L1086" s="61" t="n"/>
      <c r="M1086" s="61" t="n"/>
      <c r="N1086" s="61" t="n"/>
      <c r="O1086" s="61" t="n"/>
      <c r="P1086" s="61" t="n"/>
      <c r="Q1086" s="62" t="n"/>
      <c r="R1086" s="61" t="n"/>
    </row>
    <row r="1087" ht="15.75" customHeight="1" s="38">
      <c r="A1087" s="66" t="inlineStr">
        <is>
          <t>Instaplan S.A.</t>
        </is>
      </c>
      <c r="B1087" s="66" t="inlineStr">
        <is>
          <t>Aire Acondicionado, Climatización</t>
        </is>
      </c>
      <c r="C1087" s="66" t="inlineStr">
        <is>
          <t>Santiago</t>
        </is>
      </c>
      <c r="D1087" s="66" t="inlineStr">
        <is>
          <t>instaplan@instaplan.cl</t>
        </is>
      </c>
      <c r="E1087" s="66" t="inlineStr">
        <is>
          <t>(56) 2 2792 7000</t>
        </is>
      </c>
      <c r="F1087" s="66" t="n"/>
      <c r="G1087" s="66" t="n"/>
      <c r="H1087" s="66" t="n"/>
      <c r="I1087" s="66" t="inlineStr">
        <is>
          <t>77.182.790-K</t>
        </is>
      </c>
      <c r="J1087" s="66" t="n"/>
      <c r="K1087" s="66" t="inlineStr">
        <is>
          <t>Ventas: GRANDE 3 (600.000 - 1.000.000 UF) | Empleados: 45</t>
        </is>
      </c>
      <c r="L1087" s="61" t="n"/>
      <c r="M1087" s="61" t="n"/>
      <c r="N1087" s="61" t="n"/>
      <c r="O1087" s="61" t="n"/>
      <c r="P1087" s="61" t="n"/>
      <c r="Q1087" s="62" t="n"/>
      <c r="R1087" s="61" t="n"/>
    </row>
    <row r="1088" ht="15.75" customHeight="1" s="38">
      <c r="A1088" s="66" t="inlineStr">
        <is>
          <t>Instituto Chileno Norteamericano</t>
        </is>
      </c>
      <c r="B1088" s="66" t="inlineStr">
        <is>
          <t>Programas de Aprendizaje de Inglés en Modalidades Presenciales y On Line</t>
        </is>
      </c>
      <c r="C1088" s="66" t="inlineStr">
        <is>
          <t>Santiago</t>
        </is>
      </c>
      <c r="D1088" s="66" t="inlineStr">
        <is>
          <t>contacto@norteamericano.cl</t>
        </is>
      </c>
      <c r="E1088" s="66" t="inlineStr">
        <is>
          <t>(56) 2 3210 8280</t>
        </is>
      </c>
      <c r="F1088" s="66" t="n"/>
      <c r="G1088" s="66" t="n"/>
      <c r="H1088" s="66" t="n"/>
      <c r="I1088" s="66" t="inlineStr">
        <is>
          <t>76.247.993-1</t>
        </is>
      </c>
      <c r="J1088" s="66" t="n"/>
      <c r="K1088" s="66" t="inlineStr">
        <is>
          <t>Ventas: MEDIANA 2 (50.000 - 100.000 UF) | Empleados: 80</t>
        </is>
      </c>
      <c r="L1088" s="61" t="n"/>
      <c r="M1088" s="61" t="n"/>
      <c r="N1088" s="61" t="n"/>
      <c r="O1088" s="61" t="n"/>
      <c r="P1088" s="61" t="n"/>
      <c r="Q1088" s="62" t="n"/>
      <c r="R1088" s="61" t="n"/>
    </row>
    <row r="1089" ht="15.75" customHeight="1" s="38">
      <c r="A1089" s="66" t="inlineStr">
        <is>
          <t>Instituto Geográfico Militar</t>
        </is>
      </c>
      <c r="B1089" s="66" t="inlineStr">
        <is>
          <t>Cartografía</t>
        </is>
      </c>
      <c r="C1089" s="66" t="inlineStr">
        <is>
          <t>Santiago</t>
        </is>
      </c>
      <c r="D1089" s="66" t="inlineStr">
        <is>
          <t>ventas@igm.cl</t>
        </is>
      </c>
      <c r="E1089" s="66" t="inlineStr">
        <is>
          <t>(56) 22 410 9363</t>
        </is>
      </c>
      <c r="F1089" s="66" t="n"/>
      <c r="G1089" s="66" t="n"/>
      <c r="H1089" s="66" t="n"/>
      <c r="I1089" s="66" t="inlineStr">
        <is>
          <t>81.448.600-1</t>
        </is>
      </c>
      <c r="J1089" s="66" t="n"/>
      <c r="K1089" s="66" t="inlineStr">
        <is>
          <t>Ventas: MEDIANA 1 (25.000 - 50.000 UF) | Empleados: 164</t>
        </is>
      </c>
      <c r="L1089" s="61" t="n"/>
      <c r="M1089" s="61" t="n"/>
      <c r="N1089" s="61" t="n"/>
      <c r="O1089" s="61" t="n"/>
      <c r="P1089" s="61" t="n"/>
      <c r="Q1089" s="62" t="n"/>
      <c r="R1089" s="61" t="n"/>
    </row>
    <row r="1090" ht="15.75" customHeight="1" s="38">
      <c r="A1090" s="66" t="inlineStr">
        <is>
          <t>Instruments &amp; Technology Solutions</t>
        </is>
      </c>
      <c r="B1090" s="66" t="inlineStr">
        <is>
          <t>Automatización Industrial, Control de Fluidos</t>
        </is>
      </c>
      <c r="C1090" s="66" t="inlineStr">
        <is>
          <t>Santiago</t>
        </is>
      </c>
      <c r="D1090" s="66" t="inlineStr">
        <is>
          <t>hector.martinez@i-solutions.cl</t>
        </is>
      </c>
      <c r="E1090" s="66" t="inlineStr">
        <is>
          <t>(56) 9 6675 5761</t>
        </is>
      </c>
      <c r="F1090" s="66" t="n"/>
      <c r="G1090" s="66" t="n"/>
      <c r="H1090" s="66" t="n"/>
      <c r="I1090" s="66" t="inlineStr">
        <is>
          <t>76911651-6</t>
        </is>
      </c>
      <c r="J1090" s="66" t="n"/>
      <c r="K1090" s="66" t="inlineStr">
        <is>
          <t>Ventas: GRANDE 2 (200.000 - 600.000 UF) | Empleados: 61</t>
        </is>
      </c>
      <c r="L1090" s="61" t="n"/>
      <c r="M1090" s="61" t="n"/>
      <c r="N1090" s="61" t="n"/>
      <c r="O1090" s="61" t="n"/>
      <c r="P1090" s="61" t="n"/>
      <c r="Q1090" s="62" t="n"/>
      <c r="R1090" s="61" t="n"/>
    </row>
    <row r="1091" ht="15.75" customHeight="1" s="38">
      <c r="A1091" s="66" t="inlineStr">
        <is>
          <t>Instruvalve</t>
        </is>
      </c>
      <c r="B1091" s="66" t="inlineStr">
        <is>
          <t>Posicionadores, Válvulas para Control</t>
        </is>
      </c>
      <c r="C1091" s="66" t="inlineStr">
        <is>
          <t>Santiago</t>
        </is>
      </c>
      <c r="D1091" s="66" t="inlineStr">
        <is>
          <t>ventas.cl@instruvalve.cl</t>
        </is>
      </c>
      <c r="E1091" s="66" t="inlineStr">
        <is>
          <t>(56) 2 2238 5464</t>
        </is>
      </c>
      <c r="F1091" s="66" t="n"/>
      <c r="G1091" s="66" t="n"/>
      <c r="H1091" s="66" t="n"/>
      <c r="I1091" s="66" t="inlineStr">
        <is>
          <t>76.284.620-9</t>
        </is>
      </c>
      <c r="J1091" s="66" t="n"/>
      <c r="K1091" s="66" t="inlineStr">
        <is>
          <t>Ventas: GRANDE 3 (600.000 - 1.000.000 UF) | Empleados: 102</t>
        </is>
      </c>
      <c r="L1091" s="61" t="n"/>
      <c r="M1091" s="61" t="n"/>
      <c r="N1091" s="61" t="n"/>
      <c r="O1091" s="61" t="n"/>
      <c r="P1091" s="61" t="n"/>
      <c r="Q1091" s="62" t="n"/>
      <c r="R1091" s="61" t="n"/>
    </row>
    <row r="1092" ht="15.75" customHeight="1" s="38">
      <c r="A1092" s="66" t="inlineStr">
        <is>
          <t>Insumin Chile</t>
        </is>
      </c>
      <c r="B1092" s="66" t="inlineStr">
        <is>
          <t>Bombas, Torres para Enfriamiento</t>
        </is>
      </c>
      <c r="C1092" s="66" t="inlineStr">
        <is>
          <t>Santiago</t>
        </is>
      </c>
      <c r="D1092" s="66" t="inlineStr">
        <is>
          <t>ventas@insuminchile.cl</t>
        </is>
      </c>
      <c r="E1092" s="66" t="inlineStr">
        <is>
          <t>(56) 2 2871 6736</t>
        </is>
      </c>
      <c r="F1092" s="66" t="n"/>
      <c r="G1092" s="66" t="n"/>
      <c r="H1092" s="66" t="n"/>
      <c r="I1092" s="66" t="inlineStr">
        <is>
          <t>96.756.860-0</t>
        </is>
      </c>
      <c r="J1092" s="66" t="n"/>
      <c r="K1092" s="66" t="inlineStr">
        <is>
          <t>Ventas: No en base SII | Empleados: S/I</t>
        </is>
      </c>
      <c r="L1092" s="61" t="n"/>
      <c r="M1092" s="61" t="n"/>
      <c r="N1092" s="61" t="n"/>
      <c r="O1092" s="61" t="n"/>
      <c r="P1092" s="61" t="n"/>
      <c r="Q1092" s="62" t="n"/>
      <c r="R1092" s="61" t="n"/>
    </row>
    <row r="1093" ht="15.75" customHeight="1" s="38">
      <c r="A1093" s="66" t="inlineStr">
        <is>
          <t>Insumin Servicios</t>
        </is>
      </c>
      <c r="B1093" s="66" t="inlineStr">
        <is>
          <t>Artículos para la Minería, Planchas de Acero</t>
        </is>
      </c>
      <c r="C1093" s="66" t="inlineStr">
        <is>
          <t>Antofagasta</t>
        </is>
      </c>
      <c r="D1093" s="66" t="inlineStr">
        <is>
          <t>ventas@insuminservicios.cl</t>
        </is>
      </c>
      <c r="E1093" s="66" t="inlineStr">
        <is>
          <t>(56) 55 229 9928</t>
        </is>
      </c>
      <c r="F1093" s="66" t="n"/>
      <c r="G1093" s="66" t="n"/>
      <c r="H1093" s="66" t="n"/>
      <c r="I1093" s="66" t="inlineStr">
        <is>
          <t>12.397.357-7</t>
        </is>
      </c>
      <c r="J1093" s="66" t="n"/>
      <c r="K1093" s="66" t="inlineStr">
        <is>
          <t>Ventas: No en base SII | Empleados: S/I</t>
        </is>
      </c>
      <c r="L1093" s="61" t="n"/>
      <c r="M1093" s="61" t="n"/>
      <c r="N1093" s="61" t="n"/>
      <c r="O1093" s="61" t="n"/>
      <c r="P1093" s="61" t="n"/>
      <c r="Q1093" s="62" t="n"/>
      <c r="R1093" s="61" t="n"/>
    </row>
    <row r="1094" ht="15.75" customHeight="1" s="38">
      <c r="A1094" s="66" t="inlineStr">
        <is>
          <t>Insytec</t>
        </is>
      </c>
      <c r="B1094" s="66" t="inlineStr">
        <is>
          <t>Proyectos Eléctricos</t>
        </is>
      </c>
      <c r="C1094" s="66" t="inlineStr">
        <is>
          <t>Santiago</t>
        </is>
      </c>
      <c r="D1094" s="66" t="inlineStr">
        <is>
          <t>info@insytec.cl</t>
        </is>
      </c>
      <c r="E1094" s="66" t="inlineStr">
        <is>
          <t>(56) 2 2929 6600</t>
        </is>
      </c>
      <c r="F1094" s="66" t="n"/>
      <c r="G1094" s="66" t="n"/>
      <c r="H1094" s="66" t="n"/>
      <c r="I1094" s="66" t="inlineStr">
        <is>
          <t>96.882.670-0</t>
        </is>
      </c>
      <c r="J1094" s="66" t="n"/>
      <c r="K1094" s="66" t="inlineStr">
        <is>
          <t>Ventas: GRANDE 2 (200.000 - 600.000 UF) | Empleados: 36</t>
        </is>
      </c>
      <c r="L1094" s="61" t="n"/>
      <c r="M1094" s="61" t="n"/>
      <c r="N1094" s="61" t="n"/>
      <c r="O1094" s="61" t="n"/>
      <c r="P1094" s="61" t="n"/>
      <c r="Q1094" s="62" t="n"/>
      <c r="R1094" s="61" t="n"/>
    </row>
    <row r="1095" ht="15.75" customHeight="1" s="38">
      <c r="A1095" s="66" t="inlineStr">
        <is>
          <t>Intech Chile Ltda.</t>
        </is>
      </c>
      <c r="B1095" s="66" t="inlineStr">
        <is>
          <t>Bombas Centrífugas, Bombas para Lodos</t>
        </is>
      </c>
      <c r="C1095" s="66" t="inlineStr">
        <is>
          <t>Santiago</t>
        </is>
      </c>
      <c r="D1095" s="66" t="inlineStr">
        <is>
          <t>ventas@intech-chile.cl</t>
        </is>
      </c>
      <c r="E1095" s="66" t="inlineStr">
        <is>
          <t>(56) 2 2517 5673</t>
        </is>
      </c>
      <c r="F1095" s="66" t="n"/>
      <c r="G1095" s="66" t="n"/>
      <c r="H1095" s="66" t="n"/>
      <c r="I1095" s="66" t="inlineStr">
        <is>
          <t>76.240.877-5</t>
        </is>
      </c>
      <c r="J1095" s="66" t="n"/>
      <c r="K1095" s="66" t="inlineStr">
        <is>
          <t>Ventas: MEDIANA 2 (50.000 - 100.000 UF) | Empleados: 9</t>
        </is>
      </c>
      <c r="L1095" s="61" t="n"/>
      <c r="M1095" s="61" t="n"/>
      <c r="N1095" s="61" t="n"/>
      <c r="O1095" s="61" t="n"/>
      <c r="P1095" s="61" t="n"/>
      <c r="Q1095" s="62" t="n"/>
      <c r="R1095" s="61" t="n"/>
    </row>
    <row r="1096" ht="15.75" customHeight="1" s="38">
      <c r="A1096" s="66" t="inlineStr">
        <is>
          <t>Inteco Chile SpA</t>
        </is>
      </c>
      <c r="B1096" s="66" t="inlineStr">
        <is>
          <t>Calderería, Procesos EW-SX</t>
        </is>
      </c>
      <c r="C1096" s="66" t="inlineStr">
        <is>
          <t>Iquique</t>
        </is>
      </c>
      <c r="D1096" s="66" t="inlineStr">
        <is>
          <t>infogral@intecochile.cl</t>
        </is>
      </c>
      <c r="E1096" s="66" t="inlineStr">
        <is>
          <t>(56) 9 5226 2277</t>
        </is>
      </c>
      <c r="F1096" s="66" t="n"/>
      <c r="G1096" s="66" t="n"/>
      <c r="H1096" s="66" t="n"/>
      <c r="I1096" s="66" t="inlineStr">
        <is>
          <t>76.273.988-7</t>
        </is>
      </c>
      <c r="J1096" s="66" t="n"/>
      <c r="K1096" s="66" t="inlineStr">
        <is>
          <t>Ventas: MICRO 1 (0.01 - 200 UF) | Empleados: 0</t>
        </is>
      </c>
      <c r="L1096" s="61" t="n"/>
      <c r="M1096" s="61" t="n"/>
      <c r="N1096" s="61" t="n"/>
      <c r="O1096" s="61" t="n"/>
      <c r="P1096" s="61" t="n"/>
      <c r="Q1096" s="62" t="n"/>
      <c r="R1096" s="61" t="n"/>
    </row>
    <row r="1097" ht="15.75" customHeight="1" s="38">
      <c r="A1097" s="66" t="inlineStr">
        <is>
          <t>Intecvent Industrial S.A.</t>
        </is>
      </c>
      <c r="B1097" s="66" t="inlineStr">
        <is>
          <t>Acoplamientos para Transmisión de Potencia</t>
        </is>
      </c>
      <c r="C1097" s="66" t="inlineStr">
        <is>
          <t>Santiago</t>
        </is>
      </c>
      <c r="D1097" s="66" t="inlineStr">
        <is>
          <t>info@intecvent.cl</t>
        </is>
      </c>
      <c r="E1097" s="66" t="inlineStr">
        <is>
          <t>(56) 2 2948 8841</t>
        </is>
      </c>
      <c r="F1097" s="66" t="n"/>
      <c r="G1097" s="66" t="n"/>
      <c r="H1097" s="66" t="n"/>
      <c r="I1097" s="66" t="inlineStr">
        <is>
          <t>76.029.081-5</t>
        </is>
      </c>
      <c r="J1097" s="66" t="n"/>
      <c r="K1097" s="66" t="inlineStr">
        <is>
          <t>Ventas: GRANDE 1 (100.000 - 200.000 UF) | Empleados: 13</t>
        </is>
      </c>
      <c r="L1097" s="61" t="n"/>
      <c r="M1097" s="61" t="n"/>
      <c r="N1097" s="61" t="n"/>
      <c r="O1097" s="61" t="n"/>
      <c r="P1097" s="61" t="n"/>
      <c r="Q1097" s="62" t="n"/>
      <c r="R1097" s="61" t="n"/>
    </row>
    <row r="1098" ht="15.75" customHeight="1" s="38">
      <c r="A1098" s="66" t="inlineStr">
        <is>
          <t>Integral Mining</t>
        </is>
      </c>
      <c r="B1098" s="66" t="inlineStr">
        <is>
          <t>Contratos Mineros</t>
        </is>
      </c>
      <c r="C1098" s="66" t="inlineStr">
        <is>
          <t>Rancagua</t>
        </is>
      </c>
      <c r="D1098" s="66" t="inlineStr">
        <is>
          <t>info@integralmining.com</t>
        </is>
      </c>
      <c r="E1098" s="66" t="inlineStr">
        <is>
          <t>(56) 9 5412 3108</t>
        </is>
      </c>
      <c r="F1098" s="66" t="n"/>
      <c r="G1098" s="66" t="n"/>
      <c r="H1098" s="66" t="n"/>
      <c r="I1098" s="66" t="inlineStr">
        <is>
          <t>76.338.078-5</t>
        </is>
      </c>
      <c r="J1098" s="66" t="n"/>
      <c r="K1098" s="66" t="inlineStr">
        <is>
          <t>Ventas: MICRO 1 (0.01 - 200 UF) | Empleados: 2</t>
        </is>
      </c>
      <c r="L1098" s="61" t="n"/>
      <c r="M1098" s="61" t="n"/>
      <c r="N1098" s="61" t="n"/>
      <c r="O1098" s="61" t="n"/>
      <c r="P1098" s="61" t="n"/>
      <c r="Q1098" s="62" t="n"/>
      <c r="R1098" s="61" t="n"/>
    </row>
    <row r="1099" ht="15.75" customHeight="1" s="38">
      <c r="A1099" s="66" t="inlineStr">
        <is>
          <t>Interacid Trading Chile S.A.</t>
        </is>
      </c>
      <c r="B1099" s="66" t="inlineStr">
        <is>
          <t>Acido Sulfúrico, Azufre</t>
        </is>
      </c>
      <c r="C1099" s="66" t="inlineStr">
        <is>
          <t>Santiago</t>
        </is>
      </c>
      <c r="D1099" s="66" t="inlineStr">
        <is>
          <t>info@interacid.cl</t>
        </is>
      </c>
      <c r="E1099" s="66" t="inlineStr">
        <is>
          <t>(56) 2 2334 7141</t>
        </is>
      </c>
      <c r="F1099" s="66" t="n"/>
      <c r="G1099" s="66" t="n"/>
      <c r="H1099" s="66" t="n"/>
      <c r="I1099" s="66" t="inlineStr">
        <is>
          <t>78.378.860-8</t>
        </is>
      </c>
      <c r="J1099" s="66" t="n"/>
      <c r="K1099" s="66" t="inlineStr">
        <is>
          <t>Ventas: MEDIANA (Estimado por Empleados) | Empleados: 61</t>
        </is>
      </c>
      <c r="L1099" s="61" t="n"/>
      <c r="M1099" s="61" t="n"/>
      <c r="N1099" s="61" t="n"/>
      <c r="O1099" s="61" t="n"/>
      <c r="P1099" s="61" t="n"/>
      <c r="Q1099" s="62" t="n"/>
      <c r="R1099" s="61" t="n"/>
    </row>
    <row r="1100" ht="15.75" customHeight="1" s="38">
      <c r="A1100" s="66" t="inlineStr">
        <is>
          <t>Intercal S.A.</t>
        </is>
      </c>
      <c r="B1100" s="66" t="inlineStr">
        <is>
          <t>Climatización</t>
        </is>
      </c>
      <c r="C1100" s="66" t="inlineStr">
        <is>
          <t>Santiago</t>
        </is>
      </c>
      <c r="D1100" s="66" t="inlineStr">
        <is>
          <t>intercal@intercal.cl</t>
        </is>
      </c>
      <c r="E1100" s="66" t="inlineStr">
        <is>
          <t>(56) 2 2714 0900</t>
        </is>
      </c>
      <c r="F1100" s="66" t="n"/>
      <c r="G1100" s="66" t="n"/>
      <c r="H1100" s="66" t="n"/>
      <c r="I1100" s="66" t="inlineStr">
        <is>
          <t>96.755.550-9</t>
        </is>
      </c>
      <c r="J1100" s="66" t="n"/>
      <c r="K1100" s="66" t="inlineStr">
        <is>
          <t>Ventas: GRANDE 2 (200.000 - 600.000 UF) | Empleados: 138</t>
        </is>
      </c>
      <c r="L1100" s="61" t="n"/>
      <c r="M1100" s="61" t="n"/>
      <c r="N1100" s="61" t="n"/>
      <c r="O1100" s="61" t="n"/>
      <c r="P1100" s="61" t="n"/>
      <c r="Q1100" s="62" t="n"/>
      <c r="R1100" s="61" t="n"/>
    </row>
    <row r="1101" ht="15.75" customHeight="1" s="38">
      <c r="A1101" s="66" t="inlineStr">
        <is>
          <t>Interlog Electrónica Ltda.</t>
        </is>
      </c>
      <c r="B1101" s="66" t="inlineStr">
        <is>
          <t>Automatización, Redes de Comunicación</t>
        </is>
      </c>
      <c r="C1101" s="66" t="inlineStr">
        <is>
          <t>Santiago</t>
        </is>
      </c>
      <c r="D1101" s="66" t="inlineStr">
        <is>
          <t>jpgallay@interlog-it.com</t>
        </is>
      </c>
      <c r="E1101" s="66" t="inlineStr">
        <is>
          <t>(56) 2 2207 3450</t>
        </is>
      </c>
      <c r="F1101" s="66" t="n"/>
      <c r="G1101" s="66" t="n"/>
      <c r="H1101" s="66" t="n"/>
      <c r="I1101" s="66" t="inlineStr">
        <is>
          <t>86.808.500-2</t>
        </is>
      </c>
      <c r="J1101" s="66" t="n"/>
      <c r="K1101" s="66" t="inlineStr">
        <is>
          <t>Ventas: GRANDE 2 (200.000 - 600.000 UF) | Empleados: 6</t>
        </is>
      </c>
      <c r="L1101" s="61" t="n"/>
      <c r="M1101" s="61" t="n"/>
      <c r="N1101" s="61" t="n"/>
      <c r="O1101" s="61" t="n"/>
      <c r="P1101" s="61" t="n"/>
      <c r="Q1101" s="62" t="n"/>
      <c r="R1101" s="61" t="n"/>
    </row>
    <row r="1102" ht="15.75" customHeight="1" s="38">
      <c r="A1102" s="66" t="inlineStr">
        <is>
          <t>Intermec Chile S.A.</t>
        </is>
      </c>
      <c r="B1102" s="66" t="inlineStr">
        <is>
          <t>Capturadores de Información</t>
        </is>
      </c>
      <c r="C1102" s="66" t="inlineStr">
        <is>
          <t>Santiago</t>
        </is>
      </c>
      <c r="D1102" s="66" t="inlineStr">
        <is>
          <t>ordenes.compra@intermec.cl</t>
        </is>
      </c>
      <c r="E1102" s="66" t="inlineStr">
        <is>
          <t>(56) 9 8228 4286</t>
        </is>
      </c>
      <c r="F1102" s="66" t="n"/>
      <c r="G1102" s="66" t="n"/>
      <c r="H1102" s="66" t="n"/>
      <c r="I1102" s="66" t="inlineStr">
        <is>
          <t>96.582.680-7</t>
        </is>
      </c>
      <c r="J1102" s="66" t="n"/>
      <c r="K1102" s="66" t="inlineStr">
        <is>
          <t>Ventas: MEDIANA 2 (50.000 - 100.000 UF) | Empleados: 17</t>
        </is>
      </c>
      <c r="L1102" s="61" t="n"/>
      <c r="M1102" s="61" t="n"/>
      <c r="N1102" s="61" t="n"/>
      <c r="O1102" s="61" t="n"/>
      <c r="P1102" s="61" t="n"/>
      <c r="Q1102" s="62" t="n"/>
      <c r="R1102" s="61" t="n"/>
    </row>
    <row r="1103" ht="15.75" customHeight="1" s="38">
      <c r="A1103" s="66" t="inlineStr">
        <is>
          <t>Intermodal</t>
        </is>
      </c>
      <c r="B1103" s="66" t="inlineStr">
        <is>
          <t>Campamentos Mineros, Construcciones Modulares</t>
        </is>
      </c>
      <c r="C1103" s="66" t="inlineStr">
        <is>
          <t>Valparaíso</t>
        </is>
      </c>
      <c r="D1103" s="66" t="n"/>
      <c r="E1103" s="66" t="inlineStr">
        <is>
          <t>(56) 32 279 5300</t>
        </is>
      </c>
      <c r="F1103" s="66" t="n"/>
      <c r="G1103" s="66" t="n"/>
      <c r="H1103" s="66" t="n"/>
      <c r="I1103" s="66" t="inlineStr">
        <is>
          <t>77.976.130-4</t>
        </is>
      </c>
      <c r="J1103" s="66" t="n"/>
      <c r="K1103" s="66" t="inlineStr">
        <is>
          <t>Ventas: GRANDE 1 (100.000 - 200.000 UF) | Empleados: 79</t>
        </is>
      </c>
      <c r="L1103" s="61" t="n"/>
      <c r="M1103" s="61" t="n"/>
      <c r="N1103" s="61" t="n"/>
      <c r="O1103" s="61" t="n"/>
      <c r="P1103" s="61" t="n"/>
      <c r="Q1103" s="62" t="n"/>
      <c r="R1103" s="61" t="n"/>
    </row>
    <row r="1104" ht="15.75" customHeight="1" s="38">
      <c r="A1104" s="66" t="inlineStr">
        <is>
          <t>Internext</t>
        </is>
      </c>
      <c r="B1104" s="66" t="inlineStr">
        <is>
          <t>Asesorías en Informática</t>
        </is>
      </c>
      <c r="C1104" s="66" t="inlineStr">
        <is>
          <t>Santiago</t>
        </is>
      </c>
      <c r="D1104" s="66" t="inlineStr">
        <is>
          <t>info@internext.cl</t>
        </is>
      </c>
      <c r="E1104" s="66" t="inlineStr">
        <is>
          <t>(56) 2 2540 2000</t>
        </is>
      </c>
      <c r="F1104" s="66" t="n"/>
      <c r="G1104" s="66" t="n"/>
      <c r="H1104" s="66" t="n"/>
      <c r="I1104" s="66" t="inlineStr">
        <is>
          <t>76.521.200-6</t>
        </is>
      </c>
      <c r="J1104" s="66" t="n"/>
      <c r="K1104" s="66" t="inlineStr">
        <is>
          <t>Ventas: MEDIANA 1 (25.000 - 50.000 UF) | Empleados: 10</t>
        </is>
      </c>
      <c r="L1104" s="61" t="n"/>
      <c r="M1104" s="61" t="n"/>
      <c r="N1104" s="61" t="n"/>
      <c r="O1104" s="61" t="n"/>
      <c r="P1104" s="61" t="n"/>
      <c r="Q1104" s="62" t="n"/>
      <c r="R1104" s="61" t="n"/>
    </row>
    <row r="1105" ht="15.75" customHeight="1" s="38">
      <c r="A1105" s="66" t="inlineStr">
        <is>
          <t>Interrep Metal SpA</t>
        </is>
      </c>
      <c r="B1105" s="66" t="inlineStr">
        <is>
          <t>Aceros Especiales, Aceros Inoxidables</t>
        </is>
      </c>
      <c r="C1105" s="66" t="inlineStr">
        <is>
          <t>Santiago</t>
        </is>
      </c>
      <c r="D1105" s="66" t="inlineStr">
        <is>
          <t>contacto@interrep.cl</t>
        </is>
      </c>
      <c r="E1105" s="66" t="inlineStr">
        <is>
          <t>(56) 2 2248 8104</t>
        </is>
      </c>
      <c r="F1105" s="66" t="n"/>
      <c r="G1105" s="66" t="n"/>
      <c r="H1105" s="66" t="n"/>
      <c r="I1105" s="66" t="inlineStr">
        <is>
          <t>77.275.291-1</t>
        </is>
      </c>
      <c r="J1105" s="66" t="n"/>
      <c r="K1105" s="66" t="inlineStr">
        <is>
          <t>Ventas: MICRO 2 (200 - 600 UF) | Empleados: 1</t>
        </is>
      </c>
      <c r="L1105" s="61" t="n"/>
      <c r="M1105" s="61" t="n"/>
      <c r="N1105" s="61" t="n"/>
      <c r="O1105" s="61" t="n"/>
      <c r="P1105" s="61" t="n"/>
      <c r="Q1105" s="62" t="n"/>
      <c r="R1105" s="61" t="n"/>
    </row>
    <row r="1106" ht="15.75" customHeight="1" s="38">
      <c r="A1106" s="66" t="inlineStr">
        <is>
          <t>InterSystems</t>
        </is>
      </c>
      <c r="B1106" s="66" t="inlineStr">
        <is>
          <t>Software Gestión de Datos, Software para la Minería</t>
        </is>
      </c>
      <c r="C1106" s="66" t="inlineStr">
        <is>
          <t>Santiago</t>
        </is>
      </c>
      <c r="D1106" s="66" t="inlineStr">
        <is>
          <t>support@intersystems.com</t>
        </is>
      </c>
      <c r="E1106" s="66" t="inlineStr">
        <is>
          <t>(56) 2 2892 6000</t>
        </is>
      </c>
      <c r="F1106" s="66" t="n"/>
      <c r="G1106" s="66" t="n"/>
      <c r="H1106" s="66" t="n"/>
      <c r="I1106" s="66" t="inlineStr">
        <is>
          <t>76.513.380-7</t>
        </is>
      </c>
      <c r="J1106" s="66" t="n"/>
      <c r="K1106" s="66" t="inlineStr">
        <is>
          <t>Ventas: GRANDE 3 (600.000 - 1.000.000 UF) | Empleados: 124</t>
        </is>
      </c>
      <c r="L1106" s="61" t="n"/>
      <c r="M1106" s="61" t="n"/>
      <c r="N1106" s="61" t="n"/>
      <c r="O1106" s="61" t="n"/>
      <c r="P1106" s="61" t="n"/>
      <c r="Q1106" s="62" t="n"/>
      <c r="R1106" s="61" t="n"/>
    </row>
    <row r="1107" ht="15.75" customHeight="1" s="38">
      <c r="A1107" s="66" t="inlineStr">
        <is>
          <t>Intertek Chile</t>
        </is>
      </c>
      <c r="B1107" s="66" t="inlineStr">
        <is>
          <t>Análisis de Agua, Análisis de Combustibles</t>
        </is>
      </c>
      <c r="C1107" s="66" t="inlineStr">
        <is>
          <t>Santiago</t>
        </is>
      </c>
      <c r="D1107" s="66" t="inlineStr">
        <is>
          <t>info.chile@intertek.com</t>
        </is>
      </c>
      <c r="E1107" s="66" t="inlineStr">
        <is>
          <t>(56) 2 2481 9100</t>
        </is>
      </c>
      <c r="F1107" s="66" t="n"/>
      <c r="G1107" s="66" t="n"/>
      <c r="H1107" s="66" t="n"/>
      <c r="I1107" s="66" t="inlineStr">
        <is>
          <t>96.862.190-4</t>
        </is>
      </c>
      <c r="J1107" s="66" t="n"/>
      <c r="K1107" s="66" t="inlineStr">
        <is>
          <t>Ventas: GRANDE 3 (600.000 - 1.000.000 UF) | Empleados: 367</t>
        </is>
      </c>
      <c r="L1107" s="61" t="n"/>
      <c r="M1107" s="61" t="n"/>
      <c r="N1107" s="61" t="n"/>
      <c r="O1107" s="61" t="n"/>
      <c r="P1107" s="61" t="n"/>
      <c r="Q1107" s="62" t="n"/>
      <c r="R1107" s="61" t="n"/>
    </row>
    <row r="1108" ht="15.75" customHeight="1" s="38">
      <c r="A1108" s="66" t="inlineStr">
        <is>
          <t>Intertrade Chile S.A.</t>
        </is>
      </c>
      <c r="B1108" s="66" t="inlineStr">
        <is>
          <t>Secadores de Manos</t>
        </is>
      </c>
      <c r="C1108" s="66" t="inlineStr">
        <is>
          <t>Santiago</t>
        </is>
      </c>
      <c r="D1108" s="66" t="inlineStr">
        <is>
          <t>itd@intertrade.cl</t>
        </is>
      </c>
      <c r="E1108" s="66" t="inlineStr">
        <is>
          <t>(56) 2 2597 0000</t>
        </is>
      </c>
      <c r="F1108" s="66" t="n"/>
      <c r="G1108" s="66" t="n"/>
      <c r="H1108" s="66" t="n"/>
      <c r="I1108" s="66" t="inlineStr">
        <is>
          <t>78.757.550-1</t>
        </is>
      </c>
      <c r="J1108" s="66" t="n"/>
      <c r="K1108" s="66" t="inlineStr">
        <is>
          <t>Ventas: GRANDE 1 (100.000 - 200.000 UF) | Empleados: 34</t>
        </is>
      </c>
      <c r="L1108" s="61" t="n"/>
      <c r="M1108" s="61" t="n"/>
      <c r="N1108" s="61" t="n"/>
      <c r="O1108" s="61" t="n"/>
      <c r="P1108" s="61" t="n"/>
      <c r="Q1108" s="62" t="n"/>
      <c r="R1108" s="61" t="n"/>
    </row>
    <row r="1109" ht="15.75" customHeight="1" s="38">
      <c r="A1109" s="66" t="inlineStr">
        <is>
          <t>Intronica Ltda.</t>
        </is>
      </c>
      <c r="B1109" s="66" t="inlineStr">
        <is>
          <t>Analizadores de Baterías, Analizadores de Calidad de Energía y Medidores de Vibraciones, Cámaras Termográficas, Capacitación Termografía y Calidad de Energía, Certificadores de Cableado de Cobre y Fibra Óptica, Termografía</t>
        </is>
      </c>
      <c r="C1109" s="66" t="inlineStr">
        <is>
          <t>Santiago</t>
        </is>
      </c>
      <c r="D1109" s="66" t="inlineStr">
        <is>
          <t>intronica@intronica.com</t>
        </is>
      </c>
      <c r="E1109" s="66" t="inlineStr">
        <is>
          <t>(56) 2 2927 4400</t>
        </is>
      </c>
      <c r="F1109" s="66" t="n"/>
      <c r="G1109" s="66" t="n"/>
      <c r="H1109" s="66" t="inlineStr">
        <is>
          <t>http://www.intronica.com</t>
        </is>
      </c>
      <c r="I1109" s="66" t="inlineStr">
        <is>
          <t>96.692.430-6</t>
        </is>
      </c>
      <c r="J1109" s="66" t="n"/>
      <c r="K1109" s="66" t="inlineStr">
        <is>
          <t>Ventas: GRANDE 3 (600.000 - 1.000.000 UF) | Empleados: 30</t>
        </is>
      </c>
      <c r="L1109" s="61" t="n"/>
      <c r="M1109" s="61" t="n"/>
      <c r="N1109" s="61" t="n"/>
      <c r="O1109" s="61" t="n"/>
      <c r="P1109" s="61" t="n"/>
      <c r="Q1109" s="62" t="n"/>
      <c r="R1109" s="61" t="n"/>
    </row>
    <row r="1110" ht="15.75" customHeight="1" s="38">
      <c r="A1110" s="66" t="inlineStr">
        <is>
          <t>Invenio S.A.</t>
        </is>
      </c>
      <c r="B1110" s="66" t="inlineStr">
        <is>
          <t>Revestimientos de Plástico</t>
        </is>
      </c>
      <c r="C1110" s="66" t="inlineStr">
        <is>
          <t>Santiago</t>
        </is>
      </c>
      <c r="D1110" s="66" t="inlineStr">
        <is>
          <t>ventas@invenio.cl</t>
        </is>
      </c>
      <c r="E1110" s="66" t="inlineStr">
        <is>
          <t>(56) 9 8232 5783</t>
        </is>
      </c>
      <c r="F1110" s="66" t="n"/>
      <c r="G1110" s="66" t="n"/>
      <c r="H1110" s="66" t="n"/>
      <c r="I1110" s="66" t="inlineStr">
        <is>
          <t>81.740.700-5</t>
        </is>
      </c>
      <c r="J1110" s="66" t="n"/>
      <c r="K1110" s="66" t="inlineStr">
        <is>
          <t>Ventas: GRANDE 2 (200.000 - 600.000 UF) | Empleados: 132</t>
        </is>
      </c>
      <c r="L1110" s="61" t="n"/>
      <c r="M1110" s="61" t="n"/>
      <c r="N1110" s="61" t="n"/>
      <c r="O1110" s="61" t="n"/>
      <c r="P1110" s="61" t="n"/>
      <c r="Q1110" s="62" t="n"/>
      <c r="R1110" s="61" t="n"/>
    </row>
    <row r="1111" ht="15.75" customHeight="1" s="38">
      <c r="A1111" s="66" t="inlineStr">
        <is>
          <t>Invenpro</t>
        </is>
      </c>
      <c r="B1111" s="66" t="inlineStr">
        <is>
          <t>Prospecciones Mineras</t>
        </is>
      </c>
      <c r="C1111" s="66" t="inlineStr">
        <is>
          <t>Santiago</t>
        </is>
      </c>
      <c r="D1111" s="66" t="inlineStr">
        <is>
          <t>contacto@invenpro.cl</t>
        </is>
      </c>
      <c r="E1111" s="66" t="inlineStr">
        <is>
          <t>(56) 2 2303 0061</t>
        </is>
      </c>
      <c r="F1111" s="66" t="n"/>
      <c r="G1111" s="66" t="n"/>
      <c r="H1111" s="66" t="n"/>
      <c r="I1111" s="66" t="inlineStr">
        <is>
          <t>76.192.737-K</t>
        </is>
      </c>
      <c r="J1111" s="66" t="n"/>
      <c r="K1111" s="66" t="inlineStr">
        <is>
          <t>Ventas: PEQUEÑA 1 (2.400 - 5.000 UF) | Empleados: 0</t>
        </is>
      </c>
      <c r="L1111" s="61" t="n"/>
      <c r="M1111" s="61" t="n"/>
      <c r="N1111" s="61" t="n"/>
      <c r="O1111" s="61" t="n"/>
      <c r="P1111" s="61" t="n"/>
      <c r="Q1111" s="62" t="n"/>
      <c r="R1111" s="61" t="n"/>
    </row>
    <row r="1112" ht="15.75" customHeight="1" s="38">
      <c r="A1112" s="66" t="inlineStr">
        <is>
          <t>Io-sat</t>
        </is>
      </c>
      <c r="B1112" s="66" t="inlineStr">
        <is>
          <t>Sistemas de Monitoreo y Seguimiento de Activos, Telecomunicaciones Satelitales</t>
        </is>
      </c>
      <c r="C1112" s="66" t="inlineStr">
        <is>
          <t>Santiago</t>
        </is>
      </c>
      <c r="D1112" s="66" t="inlineStr">
        <is>
          <t>contacto@io-sat.cl</t>
        </is>
      </c>
      <c r="E1112" s="66" t="inlineStr">
        <is>
          <t>(56) 2 2346 8669</t>
        </is>
      </c>
      <c r="F1112" s="66" t="n"/>
      <c r="G1112" s="66" t="n"/>
      <c r="H1112" s="66" t="n"/>
      <c r="I1112" s="66" t="inlineStr">
        <is>
          <t>76.460.824-0</t>
        </is>
      </c>
      <c r="J1112" s="66" t="n"/>
      <c r="K1112" s="66" t="inlineStr">
        <is>
          <t>Ventas: PEQUEÑA 2 (5.000 - 10.000 UF) | Empleados: 2</t>
        </is>
      </c>
      <c r="L1112" s="61" t="n"/>
      <c r="M1112" s="61" t="n"/>
      <c r="N1112" s="61" t="n"/>
      <c r="O1112" s="61" t="n"/>
      <c r="P1112" s="61" t="n"/>
      <c r="Q1112" s="62" t="n"/>
      <c r="R1112" s="61" t="n"/>
    </row>
    <row r="1113" ht="15.75" customHeight="1" s="38">
      <c r="A1113" s="66" t="inlineStr">
        <is>
          <t>IOT Automation</t>
        </is>
      </c>
      <c r="B1113" s="66" t="inlineStr">
        <is>
          <t>Software de Control de Iluminación Inteligente</t>
        </is>
      </c>
      <c r="C1113" s="66" t="inlineStr">
        <is>
          <t>Santiago</t>
        </is>
      </c>
      <c r="D1113" s="66" t="inlineStr">
        <is>
          <t>jp.ruiztagle@iotautomation.com.au</t>
        </is>
      </c>
      <c r="E1113" s="66" t="inlineStr">
        <is>
          <t>(56) 9 8239 5274</t>
        </is>
      </c>
      <c r="F1113" s="66" t="n"/>
      <c r="G1113" s="66" t="n"/>
      <c r="H1113" s="66" t="n"/>
      <c r="I1113" s="66" t="inlineStr">
        <is>
          <t>77337351-5</t>
        </is>
      </c>
      <c r="J1113" s="66" t="n"/>
      <c r="K1113" s="66" t="inlineStr">
        <is>
          <t>Ventas: MEDIANA 2 (50.000 - 100.000 UF) | Empleados: 2</t>
        </is>
      </c>
      <c r="L1113" s="61" t="n"/>
      <c r="M1113" s="61" t="n"/>
      <c r="N1113" s="61" t="n"/>
      <c r="O1113" s="61" t="n"/>
      <c r="P1113" s="61" t="n"/>
      <c r="Q1113" s="62" t="n"/>
      <c r="R1113" s="61" t="n"/>
    </row>
    <row r="1114" ht="15.75" customHeight="1" s="38">
      <c r="A1114" s="59" t="inlineStr">
        <is>
          <t>Ipacer S.A.</t>
        </is>
      </c>
      <c r="B1114" s="59" t="inlineStr">
        <is>
          <t>Aceros, Aceros Galvanizados</t>
        </is>
      </c>
      <c r="C1114" s="59" t="inlineStr">
        <is>
          <t>Santiago</t>
        </is>
      </c>
      <c r="D1114" s="59" t="inlineStr">
        <is>
          <t>info@ipacer.cl</t>
        </is>
      </c>
      <c r="E1114" s="59" t="inlineStr">
        <is>
          <t>(56) 2 2859 9000</t>
        </is>
      </c>
      <c r="F1114" s="59" t="inlineStr">
        <is>
          <t>Marco González (Gerente Comercial)</t>
        </is>
      </c>
      <c r="G1114" s="59" t="n"/>
      <c r="H1114" s="59" t="n"/>
      <c r="I1114" s="59" t="inlineStr">
        <is>
          <t>99.510.380-K</t>
        </is>
      </c>
      <c r="J1114" s="59" t="inlineStr">
        <is>
          <t>Modernización Supply Chain Acero</t>
        </is>
      </c>
      <c r="K1114" s="59" t="inlineStr">
        <is>
          <t>Ventas: GRANDE 3 (600.000 - 1.000.000 UF) | Empleados: 60</t>
        </is>
      </c>
      <c r="L1114" s="61" t="n"/>
      <c r="M1114" s="61" t="n"/>
      <c r="N1114" s="61" t="n"/>
      <c r="O1114" s="61" t="n"/>
      <c r="P1114" s="61" t="n"/>
      <c r="Q1114" s="62" t="n"/>
      <c r="R1114" s="61" t="n"/>
    </row>
    <row r="1115" ht="15.75" customHeight="1" s="38">
      <c r="A1115" s="66" t="inlineStr">
        <is>
          <t>Iprotec Ltda.</t>
        </is>
      </c>
      <c r="B1115" s="66" t="inlineStr">
        <is>
          <t>Empaquetaduras</t>
        </is>
      </c>
      <c r="C1115" s="66" t="inlineStr">
        <is>
          <t>Santiago</t>
        </is>
      </c>
      <c r="D1115" s="66" t="inlineStr">
        <is>
          <t>ventas@iprotec.cl</t>
        </is>
      </c>
      <c r="E1115" s="66" t="inlineStr">
        <is>
          <t>(56) 2 2522 8300</t>
        </is>
      </c>
      <c r="F1115" s="66" t="n"/>
      <c r="G1115" s="66" t="n"/>
      <c r="H1115" s="66" t="n"/>
      <c r="I1115" s="66" t="inlineStr">
        <is>
          <t>76.067.865-1</t>
        </is>
      </c>
      <c r="J1115" s="66" t="n"/>
      <c r="K1115" s="66" t="inlineStr">
        <is>
          <t>Ventas: GRANDE 1 (100.000 - 200.000 UF) | Empleados: 12</t>
        </is>
      </c>
      <c r="L1115" s="61" t="n"/>
      <c r="M1115" s="61" t="n"/>
      <c r="N1115" s="61" t="n"/>
      <c r="O1115" s="61" t="n"/>
      <c r="P1115" s="61" t="n"/>
      <c r="Q1115" s="62" t="n"/>
      <c r="R1115" s="61" t="n"/>
    </row>
    <row r="1116" ht="15.75" customHeight="1" s="38">
      <c r="A1116" s="66" t="inlineStr">
        <is>
          <t>Iram Chile S.A.</t>
        </is>
      </c>
      <c r="B1116" s="66" t="inlineStr">
        <is>
          <t>Certificación de Calidad, Control de Calidad</t>
        </is>
      </c>
      <c r="C1116" s="66" t="inlineStr">
        <is>
          <t>Santiago</t>
        </is>
      </c>
      <c r="D1116" s="66" t="inlineStr">
        <is>
          <t>iramchile@iramchile.cl</t>
        </is>
      </c>
      <c r="E1116" s="66" t="inlineStr">
        <is>
          <t>(56) 2 2233 5409</t>
        </is>
      </c>
      <c r="F1116" s="66" t="n"/>
      <c r="G1116" s="66" t="n"/>
      <c r="H1116" s="66" t="n"/>
      <c r="I1116" s="66" t="inlineStr">
        <is>
          <t>77.708.760-6</t>
        </is>
      </c>
      <c r="J1116" s="66" t="n"/>
      <c r="K1116" s="66" t="inlineStr">
        <is>
          <t>Ventas: MEDIANA 1 (25.000 - 50.000 UF) | Empleados: 11</t>
        </is>
      </c>
      <c r="L1116" s="61" t="n"/>
      <c r="M1116" s="61" t="n"/>
      <c r="N1116" s="61" t="n"/>
      <c r="O1116" s="61" t="n"/>
      <c r="P1116" s="61" t="n"/>
      <c r="Q1116" s="62" t="n"/>
      <c r="R1116" s="61" t="n"/>
    </row>
    <row r="1117" ht="15.75" customHeight="1" s="38">
      <c r="A1117" s="59" t="inlineStr">
        <is>
          <t>Iron Mountain</t>
        </is>
      </c>
      <c r="B1117" s="59" t="inlineStr">
        <is>
          <t>Almacenamiento y Custodia de Documentos, Digitalización de Documentos y Planos</t>
        </is>
      </c>
      <c r="C1117" s="59" t="inlineStr">
        <is>
          <t>Santiago</t>
        </is>
      </c>
      <c r="D1117" s="59" t="inlineStr">
        <is>
          <t>ventas@ironmountain.cl</t>
        </is>
      </c>
      <c r="E1117" s="59" t="inlineStr">
        <is>
          <t>(56) 2 2395 7000</t>
        </is>
      </c>
      <c r="F1117" s="59" t="inlineStr">
        <is>
          <t>Manuel Carrasco Labrín (IT Manager LATAM)</t>
        </is>
      </c>
      <c r="G1117" s="59" t="inlineStr">
        <is>
          <t>manuel.carrasco@ironmountain.cl</t>
        </is>
      </c>
      <c r="H1117" s="59" t="n"/>
      <c r="I1117" s="59" t="inlineStr">
        <is>
          <t>96.756.680-2</t>
        </is>
      </c>
      <c r="J1117" s="59" t="inlineStr">
        <is>
          <t>Custodia Digital</t>
        </is>
      </c>
      <c r="K1117" s="59" t="inlineStr">
        <is>
          <t>Ventas: GRANDE 4 (Mas de 1.000.000 UF) | Empleados: 324</t>
        </is>
      </c>
      <c r="L1117" s="61" t="n"/>
      <c r="M1117" s="61" t="n"/>
      <c r="N1117" s="61" t="n"/>
      <c r="O1117" s="61" t="n"/>
      <c r="P1117" s="61" t="n"/>
      <c r="Q1117" s="62" t="n"/>
      <c r="R1117" s="61" t="n"/>
    </row>
    <row r="1118" ht="15.75" customHeight="1" s="38">
      <c r="A1118" s="66" t="inlineStr">
        <is>
          <t>ISA Equipos Térmicos Ltda.</t>
        </is>
      </c>
      <c r="B1118" s="66" t="inlineStr">
        <is>
          <t>Calderas</t>
        </is>
      </c>
      <c r="C1118" s="66" t="inlineStr">
        <is>
          <t>Santiago</t>
        </is>
      </c>
      <c r="D1118" s="66" t="inlineStr">
        <is>
          <t>isa@isaequipostermicos.cl</t>
        </is>
      </c>
      <c r="E1118" s="66" t="inlineStr">
        <is>
          <t>(56) 2 2539 5378</t>
        </is>
      </c>
      <c r="F1118" s="66" t="n"/>
      <c r="G1118" s="66" t="n"/>
      <c r="H1118" s="66" t="n"/>
      <c r="I1118" s="66" t="inlineStr">
        <is>
          <t>77.727.750-2</t>
        </is>
      </c>
      <c r="J1118" s="66" t="n"/>
      <c r="K1118" s="66" t="inlineStr">
        <is>
          <t>Ventas: MICRO 2 (200 - 600 UF) | Empleados: 0</t>
        </is>
      </c>
      <c r="L1118" s="61" t="n"/>
      <c r="M1118" s="61" t="n"/>
      <c r="N1118" s="61" t="n"/>
      <c r="O1118" s="61" t="n"/>
      <c r="P1118" s="61" t="n"/>
      <c r="Q1118" s="62" t="n"/>
      <c r="R1118" s="61" t="n"/>
    </row>
    <row r="1119" ht="15.75" customHeight="1" s="38">
      <c r="A1119" s="66" t="inlineStr">
        <is>
          <t>Isanto</t>
        </is>
      </c>
      <c r="B1119" s="66" t="inlineStr">
        <is>
          <t>Productos de Monitoreo GPS, Telecomunicaciones</t>
        </is>
      </c>
      <c r="C1119" s="66" t="inlineStr">
        <is>
          <t>Antofagasta</t>
        </is>
      </c>
      <c r="D1119" s="66" t="inlineStr">
        <is>
          <t>contacto@isanto.cl</t>
        </is>
      </c>
      <c r="E1119" s="66" t="inlineStr">
        <is>
          <t>(56) 9 5149 4082</t>
        </is>
      </c>
      <c r="F1119" s="66" t="n"/>
      <c r="G1119" s="66" t="n"/>
      <c r="H1119" s="66" t="n"/>
      <c r="I1119" s="66" t="inlineStr">
        <is>
          <t>77371454-1</t>
        </is>
      </c>
      <c r="J1119" s="66" t="n"/>
      <c r="K1119" s="66" t="inlineStr">
        <is>
          <t>Ventas: PEQUEÑA 2 (5.000 - 10.000 UF) | Empleados: 2</t>
        </is>
      </c>
      <c r="L1119" s="61" t="n"/>
      <c r="M1119" s="61" t="n"/>
      <c r="N1119" s="61" t="n"/>
      <c r="O1119" s="61" t="n"/>
      <c r="P1119" s="61" t="n"/>
      <c r="Q1119" s="62" t="n"/>
      <c r="R1119" s="61" t="n"/>
    </row>
    <row r="1120" ht="15.75" customHeight="1" s="38">
      <c r="A1120" s="66" t="inlineStr">
        <is>
          <t>Ischebeck Chile S.A.</t>
        </is>
      </c>
      <c r="B1120" s="66" t="inlineStr">
        <is>
          <t>Cimentaciones Especiales, Sistemas para Fortificación</t>
        </is>
      </c>
      <c r="C1120" s="66" t="inlineStr">
        <is>
          <t>Santiago</t>
        </is>
      </c>
      <c r="D1120" s="66" t="inlineStr">
        <is>
          <t>comercial@ischebeckchile.com</t>
        </is>
      </c>
      <c r="E1120" s="66" t="inlineStr">
        <is>
          <t>(56) 2 6469 0891</t>
        </is>
      </c>
      <c r="F1120" s="66" t="n"/>
      <c r="G1120" s="66" t="n"/>
      <c r="H1120" s="66" t="n"/>
      <c r="I1120" s="66" t="inlineStr">
        <is>
          <t>76.607.322-0</t>
        </is>
      </c>
      <c r="J1120" s="66" t="n"/>
      <c r="K1120" s="66" t="inlineStr">
        <is>
          <t>Ventas: GRANDE 1 (100.000 - 200.000 UF) | Empleados: 12</t>
        </is>
      </c>
      <c r="L1120" s="61" t="n"/>
      <c r="M1120" s="61" t="n"/>
      <c r="N1120" s="61" t="n"/>
      <c r="O1120" s="61" t="n"/>
      <c r="P1120" s="61" t="n"/>
      <c r="Q1120" s="62" t="n"/>
      <c r="R1120" s="61" t="n"/>
    </row>
    <row r="1121" ht="15.75" customHeight="1" s="38">
      <c r="A1121" s="59" t="inlineStr">
        <is>
          <t>Isoplast SpA</t>
        </is>
      </c>
      <c r="B1121" s="59" t="inlineStr">
        <is>
          <t>Aislantes Térmicos, Plásticos</t>
        </is>
      </c>
      <c r="C1121" s="59" t="inlineStr">
        <is>
          <t>Santiago</t>
        </is>
      </c>
      <c r="D1121" s="59" t="inlineStr">
        <is>
          <t>ventas@isoplast.cl</t>
        </is>
      </c>
      <c r="E1121" s="59" t="inlineStr">
        <is>
          <t>(56) 2 2275 2511</t>
        </is>
      </c>
      <c r="F1121" s="59" t="inlineStr">
        <is>
          <t>Sergio Javier Martínez Vizcarra (Gerente Operaciones)</t>
        </is>
      </c>
      <c r="G1121" s="59" t="n"/>
      <c r="H1121" s="59" t="n"/>
      <c r="I1121" s="59" t="inlineStr">
        <is>
          <t>96.779.170-9</t>
        </is>
      </c>
      <c r="J1121" s="59" t="inlineStr">
        <is>
          <t>Optimización Procesos Empaque &amp; Construcción</t>
        </is>
      </c>
      <c r="K1121" s="59" t="inlineStr">
        <is>
          <t>Ventas: GRANDE 2 (200.000 - 600.000 UF) | Empleados: 51</t>
        </is>
      </c>
      <c r="L1121" s="61" t="n"/>
      <c r="M1121" s="61" t="n"/>
      <c r="N1121" s="61" t="n"/>
      <c r="O1121" s="61" t="n"/>
      <c r="P1121" s="61" t="n"/>
      <c r="Q1121" s="62" t="n"/>
      <c r="R1121" s="61" t="n"/>
    </row>
    <row r="1122" ht="15.75" customHeight="1" s="38">
      <c r="A1122" s="66" t="inlineStr">
        <is>
          <t>Isotools Chile</t>
        </is>
      </c>
      <c r="B1122" s="66" t="inlineStr">
        <is>
          <t>Software</t>
        </is>
      </c>
      <c r="C1122" s="66" t="inlineStr">
        <is>
          <t>Santiago</t>
        </is>
      </c>
      <c r="D1122" s="66" t="n"/>
      <c r="E1122" s="66" t="inlineStr">
        <is>
          <t>(56) 2 2632 1376</t>
        </is>
      </c>
      <c r="F1122" s="66" t="n"/>
      <c r="G1122" s="66" t="n"/>
      <c r="H1122" s="66" t="n"/>
      <c r="I1122" s="66" t="inlineStr">
        <is>
          <t>76.207.488-5</t>
        </is>
      </c>
      <c r="J1122" s="66" t="n"/>
      <c r="K1122" s="66" t="inlineStr">
        <is>
          <t>Ventas: MEDIANA 1 (25.000 - 50.000 UF) | Empleados: 9</t>
        </is>
      </c>
      <c r="L1122" s="61" t="n"/>
      <c r="M1122" s="61" t="n"/>
      <c r="N1122" s="61" t="n"/>
      <c r="O1122" s="61" t="n"/>
      <c r="P1122" s="61" t="n"/>
      <c r="Q1122" s="62" t="n"/>
      <c r="R1122" s="61" t="n"/>
    </row>
    <row r="1123" ht="15.75" customHeight="1" s="38">
      <c r="A1123" s="66" t="inlineStr">
        <is>
          <t>Isprotec SpA</t>
        </is>
      </c>
      <c r="B1123" s="66" t="inlineStr">
        <is>
          <t>Procesos Mineros, Servicios de Ingeniería</t>
        </is>
      </c>
      <c r="C1123" s="66" t="inlineStr">
        <is>
          <t>Antofagasta</t>
        </is>
      </c>
      <c r="D1123" s="66" t="n"/>
      <c r="E1123" s="66" t="inlineStr">
        <is>
          <t>(56) 9 7608 5723</t>
        </is>
      </c>
      <c r="F1123" s="66" t="n"/>
      <c r="G1123" s="66" t="n"/>
      <c r="H1123" s="66" t="n"/>
      <c r="I1123" s="66" t="inlineStr">
        <is>
          <t>76587701-6</t>
        </is>
      </c>
      <c r="J1123" s="66" t="n"/>
      <c r="K1123" s="66" t="inlineStr">
        <is>
          <t>Ventas: MEDIANA 1 (25.000 - 50.000 UF) | Empleados: 7</t>
        </is>
      </c>
      <c r="L1123" s="61" t="n"/>
      <c r="M1123" s="61" t="n"/>
      <c r="N1123" s="61" t="n"/>
      <c r="O1123" s="61" t="n"/>
      <c r="P1123" s="61" t="n"/>
      <c r="Q1123" s="62" t="n"/>
      <c r="R1123" s="61" t="n"/>
    </row>
    <row r="1124" ht="15.75" customHeight="1" s="38">
      <c r="A1124" s="66" t="inlineStr">
        <is>
          <t>ISS Facility Services</t>
        </is>
      </c>
      <c r="B1124" s="66" t="inlineStr">
        <is>
          <t>Aseo Industrial, Seguridad y Vigilancia</t>
        </is>
      </c>
      <c r="C1124" s="66" t="inlineStr">
        <is>
          <t>Santiago</t>
        </is>
      </c>
      <c r="D1124" s="66" t="inlineStr">
        <is>
          <t>info@cl.issworld.com</t>
        </is>
      </c>
      <c r="E1124" s="66" t="inlineStr">
        <is>
          <t>(56) 2 2726 6500</t>
        </is>
      </c>
      <c r="F1124" s="66" t="n"/>
      <c r="G1124" s="66" t="n"/>
      <c r="H1124" s="66" t="n"/>
      <c r="I1124" s="66" t="inlineStr">
        <is>
          <t>80.571.500-6</t>
        </is>
      </c>
      <c r="J1124" s="66" t="n"/>
      <c r="K1124" s="66" t="inlineStr">
        <is>
          <t>Ventas: GRANDE (Estimado por Empleados) | Empleados: 11547</t>
        </is>
      </c>
      <c r="L1124" s="61" t="n"/>
      <c r="M1124" s="61" t="n"/>
      <c r="N1124" s="61" t="n"/>
      <c r="O1124" s="61" t="n"/>
      <c r="P1124" s="61" t="n"/>
      <c r="Q1124" s="62" t="n"/>
      <c r="R1124" s="61" t="n"/>
    </row>
    <row r="1125" ht="15.75" customHeight="1" s="38">
      <c r="A1125" s="66" t="inlineStr">
        <is>
          <t>IST, Instituto de Seguridad del Trabajo</t>
        </is>
      </c>
      <c r="B1125" s="66" t="inlineStr">
        <is>
          <t>Prestaciones para la Salud, Servicios para Prevención de Riesgos</t>
        </is>
      </c>
      <c r="C1125" s="66" t="inlineStr">
        <is>
          <t>Viña del Mar</t>
        </is>
      </c>
      <c r="D1125" s="66" t="n"/>
      <c r="E1125" s="66" t="inlineStr">
        <is>
          <t>(56) 32 226 2000</t>
        </is>
      </c>
      <c r="F1125" s="66" t="n"/>
      <c r="G1125" s="66" t="n"/>
      <c r="H1125" s="66" t="n"/>
      <c r="I1125" s="66" t="inlineStr">
        <is>
          <t>70.015.580-3</t>
        </is>
      </c>
      <c r="J1125" s="66" t="n"/>
      <c r="K1125" s="66" t="inlineStr">
        <is>
          <t>Ventas: GRANDE (Estimado por Empleados) | Empleados: 2499</t>
        </is>
      </c>
      <c r="L1125" s="61" t="n"/>
      <c r="M1125" s="61" t="n"/>
      <c r="N1125" s="61" t="n"/>
      <c r="O1125" s="61" t="n"/>
      <c r="P1125" s="61" t="n"/>
      <c r="Q1125" s="62" t="n"/>
      <c r="R1125" s="61" t="n"/>
    </row>
    <row r="1126" ht="15.75" customHeight="1" s="38">
      <c r="A1126" s="66" t="inlineStr">
        <is>
          <t>ISVA SpA</t>
        </is>
      </c>
      <c r="B1126" s="66" t="inlineStr">
        <is>
          <t>Automatización Industrial</t>
        </is>
      </c>
      <c r="C1126" s="66" t="inlineStr">
        <is>
          <t>Antofagasta</t>
        </is>
      </c>
      <c r="D1126" s="66" t="inlineStr">
        <is>
          <t>ventas@isva.cl</t>
        </is>
      </c>
      <c r="E1126" s="66" t="inlineStr">
        <is>
          <t>(56) 9 320 28184</t>
        </is>
      </c>
      <c r="F1126" s="66" t="n"/>
      <c r="G1126" s="66" t="n"/>
      <c r="H1126" s="66" t="n"/>
      <c r="I1126" s="66" t="inlineStr">
        <is>
          <t>76624626-5</t>
        </is>
      </c>
      <c r="J1126" s="66" t="n"/>
      <c r="K1126" s="66" t="inlineStr">
        <is>
          <t>Ventas: MEDIANA 2 (50.000 - 100.000 UF) | Empleados: 22</t>
        </is>
      </c>
      <c r="L1126" s="61" t="n"/>
      <c r="M1126" s="61" t="n"/>
      <c r="N1126" s="61" t="n"/>
      <c r="O1126" s="61" t="n"/>
      <c r="P1126" s="61" t="n"/>
      <c r="Q1126" s="62" t="n"/>
      <c r="R1126" s="61" t="n"/>
    </row>
    <row r="1127" ht="15.75" customHeight="1" s="38">
      <c r="A1127" s="66" t="inlineStr">
        <is>
          <t>Ital Chile Ltda.</t>
        </is>
      </c>
      <c r="B1127" s="66" t="inlineStr">
        <is>
          <t>Correas Transportadoras</t>
        </is>
      </c>
      <c r="C1127" s="66" t="inlineStr">
        <is>
          <t>Santiago</t>
        </is>
      </c>
      <c r="D1127" s="66" t="inlineStr">
        <is>
          <t>ventas@ital-chile.cl</t>
        </is>
      </c>
      <c r="E1127" s="66" t="inlineStr">
        <is>
          <t>(56) 2 2555 5123</t>
        </is>
      </c>
      <c r="F1127" s="66" t="n"/>
      <c r="G1127" s="66" t="n"/>
      <c r="H1127" s="66" t="n"/>
      <c r="I1127" s="66" t="inlineStr">
        <is>
          <t>79.911.710-K</t>
        </is>
      </c>
      <c r="J1127" s="66" t="n"/>
      <c r="K1127" s="66" t="inlineStr">
        <is>
          <t>Ventas: MEDIANA 1 (25.000 - 50.000 UF) | Empleados: 18</t>
        </is>
      </c>
      <c r="L1127" s="61" t="n"/>
      <c r="M1127" s="61" t="n"/>
      <c r="N1127" s="61" t="n"/>
      <c r="O1127" s="61" t="n"/>
      <c r="P1127" s="61" t="n"/>
      <c r="Q1127" s="62" t="n"/>
      <c r="R1127" s="61" t="n"/>
    </row>
    <row r="1128" ht="15.75" customHeight="1" s="38">
      <c r="A1128" s="66" t="inlineStr">
        <is>
          <t>Itamarket</t>
        </is>
      </c>
      <c r="B1128" s="66" t="inlineStr">
        <is>
          <t>Válvulas</t>
        </is>
      </c>
      <c r="C1128" s="66" t="inlineStr">
        <is>
          <t>Santiago</t>
        </is>
      </c>
      <c r="D1128" s="66" t="inlineStr">
        <is>
          <t>ventas@itamarket.cl</t>
        </is>
      </c>
      <c r="E1128" s="66" t="inlineStr">
        <is>
          <t>(56) 2 2495 8568</t>
        </is>
      </c>
      <c r="F1128" s="66" t="n"/>
      <c r="G1128" s="66" t="n"/>
      <c r="H1128" s="66" t="n"/>
      <c r="I1128" s="66" t="inlineStr">
        <is>
          <t>76.084.114-5</t>
        </is>
      </c>
      <c r="J1128" s="66" t="n"/>
      <c r="K1128" s="66" t="inlineStr">
        <is>
          <t>Ventas: GRANDE 1 (100.000 - 200.000 UF) | Empleados: 30</t>
        </is>
      </c>
      <c r="L1128" s="61" t="n"/>
      <c r="M1128" s="61" t="n"/>
      <c r="N1128" s="61" t="n"/>
      <c r="O1128" s="61" t="n"/>
      <c r="P1128" s="61" t="n"/>
      <c r="Q1128" s="62" t="n"/>
      <c r="R1128" s="61" t="n"/>
    </row>
    <row r="1129" ht="15.75" customHeight="1" s="38">
      <c r="A1129" s="59" t="inlineStr">
        <is>
          <t>Itasca S.A.</t>
        </is>
      </c>
      <c r="B1129" s="59" t="inlineStr">
        <is>
          <t>Consultoría en Hidrogeología, Consultoría en Ingeniería Geotécnica</t>
        </is>
      </c>
      <c r="C1129" s="59" t="inlineStr">
        <is>
          <t>Santiago</t>
        </is>
      </c>
      <c r="D1129" s="59" t="inlineStr">
        <is>
          <t>itascachile@itasca.cl</t>
        </is>
      </c>
      <c r="E1129" s="59" t="inlineStr">
        <is>
          <t>(56) 2 2434 1300</t>
        </is>
      </c>
      <c r="F1129" s="59" t="inlineStr">
        <is>
          <t>Martin Brown (Gerente General)</t>
        </is>
      </c>
      <c r="G1129" s="59" t="n"/>
      <c r="H1129" s="59" t="n"/>
      <c r="I1129" s="59" t="inlineStr">
        <is>
          <t>96.684.920-7</t>
        </is>
      </c>
      <c r="J1129" s="59" t="inlineStr">
        <is>
          <t>Ingeniería Geotécnica &amp; Mecánica Rocas</t>
        </is>
      </c>
      <c r="K1129" s="59" t="inlineStr">
        <is>
          <t>Ventas: GRANDE 2 (200.000 - 600.000 UF) | Empleados: 75</t>
        </is>
      </c>
      <c r="L1129" s="61" t="n"/>
      <c r="M1129" s="61" t="n"/>
      <c r="N1129" s="61" t="n"/>
      <c r="O1129" s="61" t="n"/>
      <c r="P1129" s="61" t="n"/>
      <c r="Q1129" s="62" t="n"/>
      <c r="R1129" s="61" t="n"/>
    </row>
    <row r="1130" ht="15.75" customHeight="1" s="38">
      <c r="A1130" s="66" t="inlineStr">
        <is>
          <t>ITC Ingeniería</t>
        </is>
      </c>
      <c r="B1130" s="66" t="inlineStr">
        <is>
          <t>Automatización Industrial</t>
        </is>
      </c>
      <c r="C1130" s="66" t="inlineStr">
        <is>
          <t>Santiago</t>
        </is>
      </c>
      <c r="D1130" s="66" t="inlineStr">
        <is>
          <t>contacto@itcingenieria.com</t>
        </is>
      </c>
      <c r="E1130" s="66" t="inlineStr">
        <is>
          <t>(56) 2 6465 6870</t>
        </is>
      </c>
      <c r="F1130" s="66" t="n"/>
      <c r="G1130" s="66" t="n"/>
      <c r="H1130" s="66" t="n"/>
      <c r="I1130" s="66" t="inlineStr">
        <is>
          <t>76.238.600-3</t>
        </is>
      </c>
      <c r="J1130" s="66" t="n"/>
      <c r="K1130" s="66" t="inlineStr">
        <is>
          <t>Ventas: GRANDE 1 (100.000 - 200.000 UF) | Empleados: 32</t>
        </is>
      </c>
      <c r="L1130" s="61" t="n"/>
      <c r="M1130" s="61" t="n"/>
      <c r="N1130" s="61" t="n"/>
      <c r="O1130" s="61" t="n"/>
      <c r="P1130" s="61" t="n"/>
      <c r="Q1130" s="62" t="n"/>
      <c r="R1130" s="61" t="n"/>
    </row>
    <row r="1131" ht="15.75" customHeight="1" s="38">
      <c r="A1131" s="66" t="inlineStr">
        <is>
          <t>Itechmaint</t>
        </is>
      </c>
      <c r="B1131" s="66" t="inlineStr">
        <is>
          <t>Torres Telescópicas Móviles</t>
        </is>
      </c>
      <c r="C1131" s="66" t="inlineStr">
        <is>
          <t>Valparaíso</t>
        </is>
      </c>
      <c r="D1131" s="66" t="inlineStr">
        <is>
          <t>contacto@itechmaint.com</t>
        </is>
      </c>
      <c r="E1131" s="66" t="inlineStr">
        <is>
          <t>(56) 9 7539 0019</t>
        </is>
      </c>
      <c r="F1131" s="66" t="n"/>
      <c r="G1131" s="66" t="n"/>
      <c r="H1131" s="66" t="n"/>
      <c r="I1131" s="66" t="inlineStr">
        <is>
          <t>76731301-2</t>
        </is>
      </c>
      <c r="J1131" s="66" t="n"/>
      <c r="K1131" s="66" t="inlineStr">
        <is>
          <t>Ventas: PEQUEÑA 3 (10.000 - 25.000 UF) | Empleados: 9</t>
        </is>
      </c>
      <c r="L1131" s="61" t="n"/>
      <c r="M1131" s="61" t="n"/>
      <c r="N1131" s="61" t="n"/>
      <c r="O1131" s="61" t="n"/>
      <c r="P1131" s="61" t="n"/>
      <c r="Q1131" s="62" t="n"/>
      <c r="R1131" s="61" t="n"/>
    </row>
    <row r="1132" ht="15.75" customHeight="1" s="38">
      <c r="A1132" s="66" t="inlineStr">
        <is>
          <t>ITT Goulds Pumps</t>
        </is>
      </c>
      <c r="B1132" s="66" t="inlineStr">
        <is>
          <t>Bombas Centrífugas, Soluciones para Bombeo y Control</t>
        </is>
      </c>
      <c r="C1132" s="66" t="inlineStr">
        <is>
          <t>Santiago</t>
        </is>
      </c>
      <c r="D1132" s="66" t="n"/>
      <c r="E1132" s="66" t="inlineStr">
        <is>
          <t>(56) 2 2544 7000</t>
        </is>
      </c>
      <c r="F1132" s="66" t="inlineStr">
        <is>
          <t>Gerente de TI / CIO (Director de Tecnología)</t>
        </is>
      </c>
      <c r="G1132" s="66" t="n"/>
      <c r="H1132" s="66" t="n"/>
      <c r="I1132" s="66" t="inlineStr">
        <is>
          <t>96.773.770-4</t>
        </is>
      </c>
      <c r="J1132" s="66" t="n"/>
      <c r="K1132" s="66" t="inlineStr">
        <is>
          <t>Ventas: GRANDE 4 (Mas de 1.000.000 UF) | Empleados: 74</t>
        </is>
      </c>
      <c r="L1132" s="61" t="n"/>
      <c r="M1132" s="61" t="n"/>
      <c r="N1132" s="61" t="n"/>
      <c r="O1132" s="61" t="n"/>
      <c r="P1132" s="61" t="n"/>
      <c r="Q1132" s="62" t="n"/>
      <c r="R1132" s="61" t="n"/>
    </row>
    <row r="1133" ht="15.75" customHeight="1" s="38">
      <c r="A1133" s="66" t="inlineStr">
        <is>
          <t>IVC Maquinarias</t>
        </is>
      </c>
      <c r="B1133" s="66" t="inlineStr">
        <is>
          <t>Arriendo de Compresores, Asesorías en Aire Comprimido, Compresores Eléctricos y Diésel, Redes de Aire, Secadores de Aire, Sopladores, Torres de Iluminación Diésel, Solar e Híbrida</t>
        </is>
      </c>
      <c r="C1133" s="66" t="inlineStr">
        <is>
          <t>Santiago</t>
        </is>
      </c>
      <c r="D1133" s="66" t="inlineStr">
        <is>
          <t>v.corral@ivcmaquinarias.cl</t>
        </is>
      </c>
      <c r="E1133" s="66" t="inlineStr">
        <is>
          <t>(56) 9 9827 4988</t>
        </is>
      </c>
      <c r="F1133" s="66" t="n"/>
      <c r="G1133" s="66" t="n"/>
      <c r="H1133" s="66" t="inlineStr">
        <is>
          <t>http://www.ivcmaquinarias.cl</t>
        </is>
      </c>
      <c r="I1133" s="66" t="inlineStr">
        <is>
          <t>77.148.442-5</t>
        </is>
      </c>
      <c r="J1133" s="66" t="n"/>
      <c r="K1133" s="66" t="inlineStr">
        <is>
          <t>Ventas: MEDIANA 1 (25.000 - 50.000 UF) | Empleados: 9</t>
        </is>
      </c>
      <c r="L1133" s="61" t="n"/>
      <c r="M1133" s="61" t="n"/>
      <c r="N1133" s="61" t="n"/>
      <c r="O1133" s="61" t="n"/>
      <c r="P1133" s="61" t="n"/>
      <c r="Q1133" s="62" t="n"/>
      <c r="R1133" s="61" t="n"/>
    </row>
    <row r="1134" ht="15.75" customHeight="1" s="38">
      <c r="A1134" s="66" t="inlineStr">
        <is>
          <t>IW Ingeniería S.A.</t>
        </is>
      </c>
      <c r="B1134" s="66" t="inlineStr">
        <is>
          <t>Control de Flotas por GPS</t>
        </is>
      </c>
      <c r="C1134" s="66" t="inlineStr">
        <is>
          <t>Santiago</t>
        </is>
      </c>
      <c r="D1134" s="66" t="inlineStr">
        <is>
          <t>info@i-gps.cl</t>
        </is>
      </c>
      <c r="E1134" s="66" t="inlineStr">
        <is>
          <t>(56) 2 2671 2479</t>
        </is>
      </c>
      <c r="F1134" s="66" t="n"/>
      <c r="G1134" s="66" t="n"/>
      <c r="H1134" s="66" t="n"/>
      <c r="I1134" s="66" t="inlineStr">
        <is>
          <t>76.033.198-8</t>
        </is>
      </c>
      <c r="J1134" s="66" t="n"/>
      <c r="K1134" s="66" t="inlineStr">
        <is>
          <t>Ventas: MEDIANA 1 (25.000 - 50.000 UF) | Empleados: 13</t>
        </is>
      </c>
      <c r="L1134" s="61" t="n"/>
      <c r="M1134" s="61" t="n"/>
      <c r="N1134" s="61" t="n"/>
      <c r="O1134" s="61" t="n"/>
      <c r="P1134" s="61" t="n"/>
      <c r="Q1134" s="62" t="n"/>
      <c r="R1134" s="61" t="n"/>
    </row>
    <row r="1135" ht="15.75" customHeight="1" s="38">
      <c r="A1135" s="66" t="inlineStr">
        <is>
          <t>J &amp; A International S.A.</t>
        </is>
      </c>
      <c r="B1135" s="66" t="inlineStr">
        <is>
          <t>Aceros Antiabrasivos, Antiabrasivos</t>
        </is>
      </c>
      <c r="C1135" s="66" t="inlineStr">
        <is>
          <t>Santiago</t>
        </is>
      </c>
      <c r="D1135" s="66" t="inlineStr">
        <is>
          <t>contacto@jya.cl</t>
        </is>
      </c>
      <c r="E1135" s="66" t="inlineStr">
        <is>
          <t>(56) 2 2232 5838</t>
        </is>
      </c>
      <c r="F1135" s="66" t="n"/>
      <c r="G1135" s="66" t="n"/>
      <c r="H1135" s="66" t="n"/>
      <c r="I1135" s="66" t="inlineStr">
        <is>
          <t>76.178.807-8</t>
        </is>
      </c>
      <c r="J1135" s="66" t="n"/>
      <c r="K1135" s="66" t="inlineStr">
        <is>
          <t>Ventas: GRANDE 1 (100.000 - 200.000 UF) | Empleados: 6</t>
        </is>
      </c>
      <c r="L1135" s="61" t="n"/>
      <c r="M1135" s="61" t="n"/>
      <c r="N1135" s="61" t="n"/>
      <c r="O1135" s="61" t="n"/>
      <c r="P1135" s="61" t="n"/>
      <c r="Q1135" s="62" t="n"/>
      <c r="R1135" s="61" t="n"/>
    </row>
    <row r="1136" ht="15.75" customHeight="1" s="38">
      <c r="A1136" s="66" t="inlineStr">
        <is>
          <t>Jacol</t>
        </is>
      </c>
      <c r="B1136" s="66" t="inlineStr">
        <is>
          <t>Bombas</t>
        </is>
      </c>
      <c r="C1136" s="66" t="inlineStr">
        <is>
          <t>Santiago</t>
        </is>
      </c>
      <c r="D1136" s="66" t="inlineStr">
        <is>
          <t>contacto@jacol.cl</t>
        </is>
      </c>
      <c r="E1136" s="66" t="inlineStr">
        <is>
          <t>(56) 2 2777 5754</t>
        </is>
      </c>
      <c r="F1136" s="66" t="n"/>
      <c r="G1136" s="66" t="n"/>
      <c r="H1136" s="66" t="n"/>
      <c r="I1136" s="66" t="inlineStr">
        <is>
          <t>84.246.200-2</t>
        </is>
      </c>
      <c r="J1136" s="66" t="n"/>
      <c r="K1136" s="66" t="inlineStr">
        <is>
          <t>Ventas: GRANDE 1 (100.000 - 200.000 UF) | Empleados: 23</t>
        </is>
      </c>
      <c r="L1136" s="61" t="n"/>
      <c r="M1136" s="61" t="n"/>
      <c r="N1136" s="61" t="n"/>
      <c r="O1136" s="61" t="n"/>
      <c r="P1136" s="61" t="n"/>
      <c r="Q1136" s="62" t="n"/>
      <c r="R1136" s="61" t="n"/>
    </row>
    <row r="1137" ht="15.75" customHeight="1" s="38">
      <c r="A1137" s="66" t="inlineStr">
        <is>
          <t>Jaime Illanes y Asociados Consultores</t>
        </is>
      </c>
      <c r="B1137" s="66" t="inlineStr">
        <is>
          <t>Asesorías en Medioambiente, Sistemas para Gestión</t>
        </is>
      </c>
      <c r="C1137" s="66" t="inlineStr">
        <is>
          <t>Santiago</t>
        </is>
      </c>
      <c r="D1137" s="66" t="inlineStr">
        <is>
          <t>contacto@jaimeillanes.cl</t>
        </is>
      </c>
      <c r="E1137" s="66" t="inlineStr">
        <is>
          <t>(56) 2 2550 8900</t>
        </is>
      </c>
      <c r="F1137" s="66" t="inlineStr">
        <is>
          <t>Gerente de TI / CIO (Director de Tecnología)</t>
        </is>
      </c>
      <c r="G1137" s="66" t="n"/>
      <c r="H1137" s="66" t="n"/>
      <c r="I1137" s="66" t="inlineStr">
        <is>
          <t>96.914.650-9</t>
        </is>
      </c>
      <c r="J1137" s="66" t="n"/>
      <c r="K1137" s="66" t="inlineStr">
        <is>
          <t>Ventas: GRANDE 3 (600.000 - 1.000.000 UF) | Empleados: 177</t>
        </is>
      </c>
      <c r="L1137" s="61" t="n"/>
      <c r="M1137" s="61" t="n"/>
      <c r="N1137" s="61" t="n"/>
      <c r="O1137" s="61" t="n"/>
      <c r="P1137" s="61" t="n"/>
      <c r="Q1137" s="62" t="n"/>
      <c r="R1137" s="61" t="n"/>
    </row>
    <row r="1138" ht="15.75" customHeight="1" s="38">
      <c r="A1138" s="66" t="inlineStr">
        <is>
          <t>Janssen S.A.</t>
        </is>
      </c>
      <c r="B1138" s="66" t="inlineStr">
        <is>
          <t>Arriendo de Grúas Horquilla</t>
        </is>
      </c>
      <c r="C1138" s="66" t="inlineStr">
        <is>
          <t>Santiago</t>
        </is>
      </c>
      <c r="D1138" s="66" t="inlineStr">
        <is>
          <t>info@janssen.cl</t>
        </is>
      </c>
      <c r="E1138" s="66" t="inlineStr">
        <is>
          <t>(56) 2 2339 9506</t>
        </is>
      </c>
      <c r="F1138" s="66" t="n"/>
      <c r="G1138" s="66" t="n"/>
      <c r="H1138" s="66" t="n"/>
      <c r="I1138" s="66" t="inlineStr">
        <is>
          <t>81.198.100-1</t>
        </is>
      </c>
      <c r="J1138" s="66" t="n"/>
      <c r="K1138" s="66" t="inlineStr">
        <is>
          <t>Ventas: MEDIANA (Estimado por Empleados) | Empleados: 81</t>
        </is>
      </c>
      <c r="L1138" s="61" t="n"/>
      <c r="M1138" s="61" t="n"/>
      <c r="N1138" s="61" t="n"/>
      <c r="O1138" s="61" t="n"/>
      <c r="P1138" s="61" t="n"/>
      <c r="Q1138" s="62" t="n"/>
      <c r="R1138" s="61" t="n"/>
    </row>
    <row r="1139" ht="15.75" customHeight="1" s="38">
      <c r="A1139" s="66" t="inlineStr">
        <is>
          <t>Jas Projects Oil &amp; Gas</t>
        </is>
      </c>
      <c r="B1139" s="66" t="inlineStr">
        <is>
          <t>Transporte de Cargas Especiales, Transporte de Explosivos</t>
        </is>
      </c>
      <c r="C1139" s="66" t="inlineStr">
        <is>
          <t>Santiago</t>
        </is>
      </c>
      <c r="D1139" s="66" t="inlineStr">
        <is>
          <t>cl-info@jas.com</t>
        </is>
      </c>
      <c r="E1139" s="66" t="inlineStr">
        <is>
          <t>(56) 2 2580 1600</t>
        </is>
      </c>
      <c r="F1139" s="66" t="inlineStr">
        <is>
          <t>Gerente de TI / CIO (Director de Tecnología)</t>
        </is>
      </c>
      <c r="G1139" s="66" t="n"/>
      <c r="H1139" s="66" t="n"/>
      <c r="I1139" s="66" t="inlineStr">
        <is>
          <t>78.080.110-7</t>
        </is>
      </c>
      <c r="J1139" s="66" t="n"/>
      <c r="K1139" s="66" t="inlineStr">
        <is>
          <t>Ventas: GRANDE 4 (Mas de 1.000.000 UF) | Empleados: 61</t>
        </is>
      </c>
      <c r="L1139" s="61" t="n"/>
      <c r="M1139" s="61" t="n"/>
      <c r="N1139" s="61" t="n"/>
      <c r="O1139" s="61" t="n"/>
      <c r="P1139" s="61" t="n"/>
      <c r="Q1139" s="62" t="n"/>
      <c r="R1139" s="61" t="n"/>
    </row>
    <row r="1140" ht="15.75" customHeight="1" s="38">
      <c r="A1140" s="66" t="inlineStr">
        <is>
          <t>JC Servicios SpA</t>
        </is>
      </c>
      <c r="B1140" s="66" t="inlineStr">
        <is>
          <t>Equipos para la Minería</t>
        </is>
      </c>
      <c r="C1140" s="66" t="inlineStr">
        <is>
          <t>Santiago</t>
        </is>
      </c>
      <c r="D1140" s="66" t="inlineStr">
        <is>
          <t>ventas@jcs.cl</t>
        </is>
      </c>
      <c r="E1140" s="66" t="inlineStr">
        <is>
          <t>(56) 2 2419 2700</t>
        </is>
      </c>
      <c r="F1140" s="66" t="n"/>
      <c r="G1140" s="66" t="n"/>
      <c r="H1140" s="66" t="n"/>
      <c r="I1140" s="66" t="inlineStr">
        <is>
          <t>76.132.677-5</t>
        </is>
      </c>
      <c r="J1140" s="66" t="n"/>
      <c r="K1140" s="66" t="inlineStr">
        <is>
          <t>Ventas: MEDIANA 1 (25.000 - 50.000 UF) | Empleados: 23</t>
        </is>
      </c>
      <c r="L1140" s="61" t="n"/>
      <c r="M1140" s="61" t="n"/>
      <c r="N1140" s="61" t="n"/>
      <c r="O1140" s="61" t="n"/>
      <c r="P1140" s="61" t="n"/>
      <c r="Q1140" s="62" t="n"/>
      <c r="R1140" s="61" t="n"/>
    </row>
    <row r="1141" ht="15.75" customHeight="1" s="38">
      <c r="A1141" s="66" t="inlineStr">
        <is>
          <t>JEJ Ingeniería S.A.</t>
        </is>
      </c>
      <c r="B1141" s="66" t="inlineStr">
        <is>
          <t>Administración de Proyectos</t>
        </is>
      </c>
      <c r="C1141" s="66" t="inlineStr">
        <is>
          <t>Santiago</t>
        </is>
      </c>
      <c r="D1141" s="66" t="inlineStr">
        <is>
          <t>jej@jej.cl</t>
        </is>
      </c>
      <c r="E1141" s="66" t="inlineStr">
        <is>
          <t>(56) 2 2722 5000</t>
        </is>
      </c>
      <c r="F1141" s="66" t="n"/>
      <c r="G1141" s="66" t="n"/>
      <c r="H1141" s="66" t="n"/>
      <c r="I1141" s="66" t="inlineStr">
        <is>
          <t>78.318.570-9</t>
        </is>
      </c>
      <c r="J1141" s="66" t="n"/>
      <c r="K1141" s="66" t="inlineStr">
        <is>
          <t>Ventas: GRANDE (Estimado por Empleados) | Empleados: 3230</t>
        </is>
      </c>
      <c r="L1141" s="61" t="n"/>
      <c r="M1141" s="61" t="n"/>
      <c r="N1141" s="61" t="n"/>
      <c r="O1141" s="61" t="n"/>
      <c r="P1141" s="61" t="n"/>
      <c r="Q1141" s="62" t="n"/>
      <c r="R1141" s="61" t="n"/>
    </row>
    <row r="1142" ht="15.75" customHeight="1" s="38">
      <c r="A1142" s="66" t="inlineStr">
        <is>
          <t>Jenike &amp; Johanson Chile S.A.</t>
        </is>
      </c>
      <c r="B1142" s="66" t="inlineStr">
        <is>
          <t>Diseño de Silos y Stockpiles</t>
        </is>
      </c>
      <c r="C1142" s="66" t="inlineStr">
        <is>
          <t>Viña del Mar</t>
        </is>
      </c>
      <c r="D1142" s="66" t="inlineStr">
        <is>
          <t>info@jenike.com</t>
        </is>
      </c>
      <c r="E1142" s="66" t="inlineStr">
        <is>
          <t>(56) 32 269 0596</t>
        </is>
      </c>
      <c r="F1142" s="66" t="n"/>
      <c r="G1142" s="66" t="n"/>
      <c r="H1142" s="66" t="n"/>
      <c r="I1142" s="66" t="inlineStr">
        <is>
          <t>96.840.270-6</t>
        </is>
      </c>
      <c r="J1142" s="66" t="n"/>
      <c r="K1142" s="66" t="inlineStr">
        <is>
          <t>Ventas: MEDIANA 1 (25.000 - 50.000 UF) | Empleados: 9</t>
        </is>
      </c>
      <c r="L1142" s="61" t="n"/>
      <c r="M1142" s="61" t="n"/>
      <c r="N1142" s="61" t="n"/>
      <c r="O1142" s="61" t="n"/>
      <c r="P1142" s="61" t="n"/>
      <c r="Q1142" s="62" t="n"/>
      <c r="R1142" s="61" t="n"/>
    </row>
    <row r="1143" ht="15.75" customHeight="1" s="38">
      <c r="A1143" s="66" t="inlineStr">
        <is>
          <t>Jet</t>
        </is>
      </c>
      <c r="B1143" s="66" t="inlineStr">
        <is>
          <t>Revestimientos para Pisos</t>
        </is>
      </c>
      <c r="C1143" s="66" t="inlineStr">
        <is>
          <t>Santiago</t>
        </is>
      </c>
      <c r="D1143" s="66" t="inlineStr">
        <is>
          <t>informes@pinturasjet.cl</t>
        </is>
      </c>
      <c r="E1143" s="66" t="inlineStr">
        <is>
          <t>(56) 2 2290 8700</t>
        </is>
      </c>
      <c r="F1143" s="66" t="n"/>
      <c r="G1143" s="66" t="n"/>
      <c r="H1143" s="66" t="n"/>
      <c r="I1143" s="66" t="inlineStr">
        <is>
          <t>76.182.739-1</t>
        </is>
      </c>
      <c r="J1143" s="66" t="n"/>
      <c r="K1143" s="66" t="inlineStr">
        <is>
          <t>Ventas: GRANDE (Estimado por Empleados) | Empleados: 401</t>
        </is>
      </c>
      <c r="L1143" s="61" t="n"/>
      <c r="M1143" s="61" t="n"/>
      <c r="N1143" s="61" t="n"/>
      <c r="O1143" s="61" t="n"/>
      <c r="P1143" s="61" t="n"/>
      <c r="Q1143" s="62" t="n"/>
      <c r="R1143" s="61" t="n"/>
    </row>
    <row r="1144" ht="15.75" customHeight="1" s="38">
      <c r="A1144" s="66" t="inlineStr">
        <is>
          <t>JM Telecom</t>
        </is>
      </c>
      <c r="B1144" s="66" t="inlineStr">
        <is>
          <t>Venta y Arriendo de Equipos para la Minería</t>
        </is>
      </c>
      <c r="C1144" s="66" t="inlineStr">
        <is>
          <t>Santiago</t>
        </is>
      </c>
      <c r="D1144" s="66" t="inlineStr">
        <is>
          <t>info@jmtelecom.cl</t>
        </is>
      </c>
      <c r="E1144" s="66" t="inlineStr">
        <is>
          <t>(56) 9 6895 6187</t>
        </is>
      </c>
      <c r="F1144" s="66" t="n"/>
      <c r="G1144" s="66" t="n"/>
      <c r="H1144" s="66" t="n"/>
      <c r="I1144" s="66" t="inlineStr">
        <is>
          <t>77.662.248-6</t>
        </is>
      </c>
      <c r="J1144" s="66" t="n"/>
      <c r="K1144" s="66" t="inlineStr">
        <is>
          <t>Ventas: PEQUEÑA 3 (10.000 - 25.000 UF) | Empleados: 1</t>
        </is>
      </c>
      <c r="L1144" s="61" t="n"/>
      <c r="M1144" s="61" t="n"/>
      <c r="N1144" s="61" t="n"/>
      <c r="O1144" s="61" t="n"/>
      <c r="P1144" s="61" t="n"/>
      <c r="Q1144" s="62" t="n"/>
      <c r="R1144" s="61" t="n"/>
    </row>
    <row r="1145" ht="15.75" customHeight="1" s="38">
      <c r="A1145" s="66" t="inlineStr">
        <is>
          <t>Jobin Consultores Recursos Humanos</t>
        </is>
      </c>
      <c r="B1145" s="66" t="inlineStr">
        <is>
          <t>Selección y Reclutamiento de Ejecutivos y Personal</t>
        </is>
      </c>
      <c r="C1145" s="66" t="inlineStr">
        <is>
          <t>Antofagasta</t>
        </is>
      </c>
      <c r="D1145" s="66" t="inlineStr">
        <is>
          <t>contacto@jobin.cl</t>
        </is>
      </c>
      <c r="E1145" s="66" t="inlineStr">
        <is>
          <t>(56) 55 255 4093</t>
        </is>
      </c>
      <c r="F1145" s="66" t="n"/>
      <c r="G1145" s="66" t="n"/>
      <c r="H1145" s="66" t="n"/>
      <c r="I1145" s="66" t="inlineStr">
        <is>
          <t>76.757.562-9</t>
        </is>
      </c>
      <c r="J1145" s="66" t="n"/>
      <c r="K1145" s="66" t="inlineStr">
        <is>
          <t>Ventas: MICRO 3 (600 - 2.400 UF) | Empleados: 0</t>
        </is>
      </c>
      <c r="L1145" s="61" t="n"/>
      <c r="M1145" s="61" t="n"/>
      <c r="N1145" s="61" t="n"/>
      <c r="O1145" s="61" t="n"/>
      <c r="P1145" s="61" t="n"/>
      <c r="Q1145" s="62" t="n"/>
      <c r="R1145" s="61" t="n"/>
    </row>
    <row r="1146" ht="15.75" customHeight="1" s="38">
      <c r="A1146" s="66" t="inlineStr">
        <is>
          <t>Jofaco</t>
        </is>
      </c>
      <c r="B1146" s="66" t="inlineStr">
        <is>
          <t>Anillos de Tungsteno, Sellos Mecánicos</t>
        </is>
      </c>
      <c r="C1146" s="66" t="inlineStr">
        <is>
          <t>Santiago</t>
        </is>
      </c>
      <c r="D1146" s="66" t="inlineStr">
        <is>
          <t>jfarias@jofaco.cl</t>
        </is>
      </c>
      <c r="E1146" s="66" t="inlineStr">
        <is>
          <t>(56) 2 2555 8433</t>
        </is>
      </c>
      <c r="F1146" s="66" t="n"/>
      <c r="G1146" s="66" t="n"/>
      <c r="H1146" s="66" t="n"/>
      <c r="I1146" s="66" t="inlineStr">
        <is>
          <t>76.383.625-8</t>
        </is>
      </c>
      <c r="J1146" s="66" t="n"/>
      <c r="K1146" s="66" t="inlineStr">
        <is>
          <t>Ventas: MEDIANA 1 (25.000 - 50.000 UF) | Empleados: 5</t>
        </is>
      </c>
      <c r="L1146" s="61" t="n"/>
      <c r="M1146" s="61" t="n"/>
      <c r="N1146" s="61" t="n"/>
      <c r="O1146" s="61" t="n"/>
      <c r="P1146" s="61" t="n"/>
      <c r="Q1146" s="62" t="n"/>
      <c r="R1146" s="61" t="n"/>
    </row>
    <row r="1147" ht="15.75" customHeight="1" s="38">
      <c r="A1147" s="66" t="inlineStr">
        <is>
          <t>John Crane Chile</t>
        </is>
      </c>
      <c r="B1147" s="66" t="inlineStr">
        <is>
          <t>Empaquetaduras, Sellos Mecánicos, Sistemas Hidráulicos</t>
        </is>
      </c>
      <c r="C1147" s="66" t="inlineStr">
        <is>
          <t>Santiago</t>
        </is>
      </c>
      <c r="D1147" s="66" t="n"/>
      <c r="E1147" s="66" t="inlineStr">
        <is>
          <t>(56) 2 2670 3400</t>
        </is>
      </c>
      <c r="F1147" s="66" t="inlineStr">
        <is>
          <t>Gerente de TI / CIO (Director de Tecnología)</t>
        </is>
      </c>
      <c r="G1147" s="66" t="n"/>
      <c r="H1147" s="66" t="n"/>
      <c r="I1147" s="66" t="inlineStr">
        <is>
          <t>99.517.650-5</t>
        </is>
      </c>
      <c r="J1147" s="66" t="n"/>
      <c r="K1147" s="66" t="inlineStr">
        <is>
          <t>Ventas: GRANDE 4 (Mas de 1.000.000 UF) | Empleados: 35</t>
        </is>
      </c>
      <c r="L1147" s="61" t="n"/>
      <c r="M1147" s="61" t="n"/>
      <c r="N1147" s="61" t="n"/>
      <c r="O1147" s="61" t="n"/>
      <c r="P1147" s="61" t="n"/>
      <c r="Q1147" s="62" t="n"/>
      <c r="R1147" s="61" t="n"/>
    </row>
    <row r="1148" ht="15.75" customHeight="1" s="38">
      <c r="A1148" s="59" t="inlineStr">
        <is>
          <t>Johnson Controls Chile S.A.</t>
        </is>
      </c>
      <c r="B1148" s="59" t="inlineStr">
        <is>
          <t>Clima y Refrigeración, Sistemas para Detección de Incendios</t>
        </is>
      </c>
      <c r="C1148" s="59" t="inlineStr">
        <is>
          <t>Santiago</t>
        </is>
      </c>
      <c r="D1148" s="59" t="inlineStr">
        <is>
          <t>latamdigital@jci.com</t>
        </is>
      </c>
      <c r="E1148" s="59" t="inlineStr">
        <is>
          <t>(56) 2 2834 7300</t>
        </is>
      </c>
      <c r="F1148" s="59" t="inlineStr">
        <is>
          <t>Mauricio Morales (Jefe de Sistemas Chile)</t>
        </is>
      </c>
      <c r="G1148" s="59" t="inlineStr">
        <is>
          <t>mauricio.morales@jci.com</t>
        </is>
      </c>
      <c r="H1148" s="59" t="n"/>
      <c r="I1148" s="59" t="inlineStr">
        <is>
          <t>96.624.630-8</t>
        </is>
      </c>
      <c r="J1148" s="59" t="inlineStr">
        <is>
          <t>Investigación en Proceso</t>
        </is>
      </c>
      <c r="K1148" s="59" t="inlineStr">
        <is>
          <t>Ventas: GRANDE 3 (600.000 - 1.000.000 UF) | Empleados: 103</t>
        </is>
      </c>
      <c r="L1148" s="61" t="n"/>
      <c r="M1148" s="61" t="n"/>
      <c r="N1148" s="61" t="n"/>
      <c r="O1148" s="61" t="n"/>
      <c r="P1148" s="61" t="n"/>
      <c r="Q1148" s="62" t="n"/>
      <c r="R1148" s="61" t="n"/>
    </row>
    <row r="1149" ht="15.75" customHeight="1" s="38">
      <c r="A1149" s="66" t="inlineStr">
        <is>
          <t>Jomar Ltda.</t>
        </is>
      </c>
      <c r="B1149" s="66" t="inlineStr">
        <is>
          <t>Empaquetaduras, Plásticos de Ingeniería, Revestimientos Antiadherentes, Sellado de Fluidos, Sellos, Servicios de Montaje e Instalación de Juntas de Expansión y Revestimiento, Tuberías y Accesorios Revestidos de Teflón</t>
        </is>
      </c>
      <c r="C1149" s="66" t="inlineStr">
        <is>
          <t>Santiago</t>
        </is>
      </c>
      <c r="D1149" s="66" t="inlineStr">
        <is>
          <t>marketing@jomar.cl</t>
        </is>
      </c>
      <c r="E1149" s="66" t="inlineStr">
        <is>
          <t>(56) 2 2733 5004</t>
        </is>
      </c>
      <c r="F1149" s="66" t="inlineStr">
        <is>
          <t>Gerente de TI / CIO (Director de Tecnología)</t>
        </is>
      </c>
      <c r="G1149" s="66" t="n"/>
      <c r="H1149" s="66" t="inlineStr">
        <is>
          <t>http://www.jomar.cl</t>
        </is>
      </c>
      <c r="I1149" s="66" t="inlineStr">
        <is>
          <t>78.546.270-K</t>
        </is>
      </c>
      <c r="J1149" s="66" t="n"/>
      <c r="K1149" s="66" t="inlineStr">
        <is>
          <t>Ventas: GRANDE 3 (600.000 - 1.000.000 UF) | Empleados: 161</t>
        </is>
      </c>
      <c r="L1149" s="61" t="n"/>
      <c r="M1149" s="61" t="n"/>
      <c r="N1149" s="61" t="n"/>
      <c r="O1149" s="61" t="n"/>
      <c r="P1149" s="61" t="n"/>
      <c r="Q1149" s="62" t="n"/>
      <c r="R1149" s="61" t="n"/>
    </row>
    <row r="1150" ht="15.75" customHeight="1" s="38">
      <c r="A1150" s="59" t="inlineStr">
        <is>
          <t>Jomial Ltda.</t>
        </is>
      </c>
      <c r="B1150" s="59" t="inlineStr">
        <is>
          <t>Correas para Transmisión de Potencia</t>
        </is>
      </c>
      <c r="C1150" s="59" t="inlineStr">
        <is>
          <t>Santiago</t>
        </is>
      </c>
      <c r="D1150" s="59" t="inlineStr">
        <is>
          <t>pmartinez02@jomial1.cl</t>
        </is>
      </c>
      <c r="E1150" s="59" t="inlineStr">
        <is>
          <t>(56) 2 3273 1901</t>
        </is>
      </c>
      <c r="F1150" s="59" t="inlineStr">
        <is>
          <t>José Marilaf (Director Soluciones)</t>
        </is>
      </c>
      <c r="G1150" s="59" t="n"/>
      <c r="H1150" s="59" t="n"/>
      <c r="I1150" s="59" t="inlineStr">
        <is>
          <t>76.451.155-7</t>
        </is>
      </c>
      <c r="J1150" s="59" t="inlineStr">
        <is>
          <t>Digitalización Equipos Servicio Minería</t>
        </is>
      </c>
      <c r="K1150" s="59" t="inlineStr">
        <is>
          <t>Ventas: GRANDE 2 (200.000 - 600.000 UF) | Empleados: 67</t>
        </is>
      </c>
      <c r="L1150" s="61" t="n"/>
      <c r="M1150" s="61" t="n"/>
      <c r="N1150" s="61" t="n"/>
      <c r="O1150" s="61" t="n"/>
      <c r="P1150" s="61" t="n"/>
      <c r="Q1150" s="62" t="n"/>
      <c r="R1150" s="61" t="n"/>
    </row>
    <row r="1151" ht="15.75" customHeight="1" s="38">
      <c r="A1151" s="59" t="inlineStr">
        <is>
          <t>Jorpa Ingeniería S.A.</t>
        </is>
      </c>
      <c r="B1151" s="59" t="inlineStr">
        <is>
          <t>Transformadores de Poder, Transformadores para Rectificadores</t>
        </is>
      </c>
      <c r="C1151" s="59" t="inlineStr">
        <is>
          <t>Santiago</t>
        </is>
      </c>
      <c r="D1151" s="59" t="inlineStr">
        <is>
          <t>ventas@jorpa.cl</t>
        </is>
      </c>
      <c r="E1151" s="59" t="inlineStr">
        <is>
          <t>(56) 2 2959 8900</t>
        </is>
      </c>
      <c r="F1151" s="59" t="inlineStr">
        <is>
          <t>José Montes Riquelme (Gerente Operaciones)</t>
        </is>
      </c>
      <c r="G1151" s="59" t="n"/>
      <c r="H1151" s="59" t="n"/>
      <c r="I1151" s="59" t="inlineStr">
        <is>
          <t>96.866.400-K</t>
        </is>
      </c>
      <c r="J1151" s="59" t="inlineStr">
        <is>
          <t>Mantenimiento Digital Activos Eléctricos</t>
        </is>
      </c>
      <c r="K1151" s="59" t="inlineStr">
        <is>
          <t>Ventas: GRANDE 2 (200.000 - 600.000 UF) | Empleados: 87</t>
        </is>
      </c>
      <c r="L1151" s="61" t="n"/>
      <c r="M1151" s="61" t="n"/>
      <c r="N1151" s="61" t="n"/>
      <c r="O1151" s="61" t="n"/>
      <c r="P1151" s="61" t="n"/>
      <c r="Q1151" s="62" t="n"/>
      <c r="R1151" s="61" t="n"/>
    </row>
    <row r="1152" ht="15.75" customHeight="1" s="38">
      <c r="A1152" s="66" t="inlineStr">
        <is>
          <t>JRI Ingeniería S.A.</t>
        </is>
      </c>
      <c r="B1152" s="66" t="inlineStr">
        <is>
          <t>Contratos EPC-EPCM</t>
        </is>
      </c>
      <c r="C1152" s="66" t="inlineStr">
        <is>
          <t>Santiago</t>
        </is>
      </c>
      <c r="D1152" s="66" t="inlineStr">
        <is>
          <t>jri@jri.cl</t>
        </is>
      </c>
      <c r="E1152" s="66" t="inlineStr">
        <is>
          <t>(56) 2 2361 8200</t>
        </is>
      </c>
      <c r="F1152" s="66" t="n"/>
      <c r="G1152" s="66" t="n"/>
      <c r="H1152" s="66" t="n"/>
      <c r="I1152" s="66" t="inlineStr">
        <is>
          <t>96.611.930-6</t>
        </is>
      </c>
      <c r="J1152" s="66" t="n"/>
      <c r="K1152" s="66" t="inlineStr">
        <is>
          <t>Ventas: GRANDE (Estimado por Empleados) | Empleados: 584</t>
        </is>
      </c>
      <c r="L1152" s="61" t="n"/>
      <c r="M1152" s="61" t="n"/>
      <c r="N1152" s="61" t="n"/>
      <c r="O1152" s="61" t="n"/>
      <c r="P1152" s="61" t="n"/>
      <c r="Q1152" s="62" t="n"/>
      <c r="R1152" s="61" t="n"/>
    </row>
    <row r="1153" ht="15.75" customHeight="1" s="38">
      <c r="A1153" s="66" t="inlineStr">
        <is>
          <t>Kabelco S.A.</t>
        </is>
      </c>
      <c r="B1153" s="66" t="inlineStr">
        <is>
          <t>Cables Eléctricos, Conductores Eléctricos</t>
        </is>
      </c>
      <c r="C1153" s="66" t="inlineStr">
        <is>
          <t>Santiago</t>
        </is>
      </c>
      <c r="D1153" s="66" t="inlineStr">
        <is>
          <t>ventas@kabelco.cl</t>
        </is>
      </c>
      <c r="E1153" s="66" t="inlineStr">
        <is>
          <t>(56) 2 2482 2600</t>
        </is>
      </c>
      <c r="F1153" s="66" t="n"/>
      <c r="G1153" s="66" t="n"/>
      <c r="H1153" s="66" t="n"/>
      <c r="I1153" s="66" t="inlineStr">
        <is>
          <t>96.539.280-7</t>
        </is>
      </c>
      <c r="J1153" s="66" t="n"/>
      <c r="K1153" s="66" t="inlineStr">
        <is>
          <t>Ventas: GRANDE 1 (100.000 - 200.000 UF) | Empleados: 9</t>
        </is>
      </c>
      <c r="L1153" s="61" t="n"/>
      <c r="M1153" s="61" t="n"/>
      <c r="N1153" s="61" t="n"/>
      <c r="O1153" s="61" t="n"/>
      <c r="P1153" s="61" t="n"/>
      <c r="Q1153" s="62" t="n"/>
      <c r="R1153" s="61" t="n"/>
    </row>
    <row r="1154" ht="15.75" customHeight="1" s="38">
      <c r="A1154" s="66" t="inlineStr">
        <is>
          <t>Kaeser Compresores de Chile SpA</t>
        </is>
      </c>
      <c r="B1154" s="66" t="inlineStr">
        <is>
          <t>Compresores, Secadores para Aire</t>
        </is>
      </c>
      <c r="C1154" s="66" t="inlineStr">
        <is>
          <t>Santiago</t>
        </is>
      </c>
      <c r="D1154" s="66" t="n"/>
      <c r="E1154" s="66" t="inlineStr">
        <is>
          <t>(56) 2 2599 9200</t>
        </is>
      </c>
      <c r="F1154" s="66" t="inlineStr">
        <is>
          <t>Gerente de TI / CIO (Director de Tecnología)</t>
        </is>
      </c>
      <c r="G1154" s="66" t="n"/>
      <c r="H1154" s="66" t="n"/>
      <c r="I1154" s="66" t="inlineStr">
        <is>
          <t>77.152.830-9</t>
        </is>
      </c>
      <c r="J1154" s="66" t="n"/>
      <c r="K1154" s="66" t="inlineStr">
        <is>
          <t>Ventas: GRANDE 4 (Mas de 1.000.000 UF) | Empleados: 185</t>
        </is>
      </c>
      <c r="L1154" s="61" t="n"/>
      <c r="M1154" s="61" t="n"/>
      <c r="N1154" s="61" t="n"/>
      <c r="O1154" s="61" t="n"/>
      <c r="P1154" s="61" t="n"/>
      <c r="Q1154" s="62" t="n"/>
      <c r="R1154" s="61" t="n"/>
    </row>
    <row r="1155" ht="15.75" customHeight="1" s="38">
      <c r="A1155" s="66" t="inlineStr">
        <is>
          <t>Kapptek</t>
        </is>
      </c>
      <c r="B1155" s="66" t="inlineStr">
        <is>
          <t>Automatización de Procesos, Sistemas de Control Avanzado</t>
        </is>
      </c>
      <c r="C1155" s="66" t="inlineStr">
        <is>
          <t>Viña del Mar</t>
        </is>
      </c>
      <c r="D1155" s="66" t="inlineStr">
        <is>
          <t>info@kapptek.com</t>
        </is>
      </c>
      <c r="E1155" s="66" t="inlineStr">
        <is>
          <t>(56) 9 8136 6527</t>
        </is>
      </c>
      <c r="F1155" s="66" t="n"/>
      <c r="G1155" s="66" t="n"/>
      <c r="H1155" s="66" t="n"/>
      <c r="I1155" s="66" t="inlineStr">
        <is>
          <t>76.498.977-5</t>
        </is>
      </c>
      <c r="J1155" s="66" t="n"/>
      <c r="K1155" s="66" t="inlineStr">
        <is>
          <t>Ventas: MEDIANA 2 (50.000 - 100.000 UF) | Empleados: 10</t>
        </is>
      </c>
      <c r="L1155" s="61" t="n"/>
      <c r="M1155" s="61" t="n"/>
      <c r="N1155" s="61" t="n"/>
      <c r="O1155" s="61" t="n"/>
      <c r="P1155" s="61" t="n"/>
      <c r="Q1155" s="62" t="n"/>
      <c r="R1155" s="61" t="n"/>
    </row>
    <row r="1156" ht="15.75" customHeight="1" s="38">
      <c r="A1156" s="66" t="inlineStr">
        <is>
          <t>Karcher</t>
        </is>
      </c>
      <c r="B1156" s="66" t="inlineStr">
        <is>
          <t>Aspiradoras Polvo y Agua</t>
        </is>
      </c>
      <c r="C1156" s="66" t="inlineStr">
        <is>
          <t>Santiago</t>
        </is>
      </c>
      <c r="D1156" s="66" t="inlineStr">
        <is>
          <t>st.karcher.cl@karcher.com</t>
        </is>
      </c>
      <c r="E1156" s="66" t="inlineStr">
        <is>
          <t>(56) 2 2380 6100</t>
        </is>
      </c>
      <c r="F1156" s="66" t="inlineStr">
        <is>
          <t>Gerente de TI / CIO (Director de Tecnología)</t>
        </is>
      </c>
      <c r="G1156" s="66" t="n"/>
      <c r="H1156" s="66" t="n"/>
      <c r="I1156" s="66" t="inlineStr">
        <is>
          <t>76.215.357-2</t>
        </is>
      </c>
      <c r="J1156" s="66" t="n"/>
      <c r="K1156" s="66" t="inlineStr">
        <is>
          <t>Ventas: GRANDE 3 (600.000 - 1.000.000 UF) | Empleados: 60</t>
        </is>
      </c>
      <c r="L1156" s="61" t="n"/>
      <c r="M1156" s="61" t="n"/>
      <c r="N1156" s="61" t="n"/>
      <c r="O1156" s="61" t="n"/>
      <c r="P1156" s="61" t="n"/>
      <c r="Q1156" s="62" t="n"/>
      <c r="R1156" s="61" t="n"/>
    </row>
    <row r="1157" ht="15.75" customHeight="1" s="38">
      <c r="A1157" s="66" t="inlineStr">
        <is>
          <t>KBA - IC Ltda.</t>
        </is>
      </c>
      <c r="B1157" s="66" t="inlineStr">
        <is>
          <t>Servicios para Prospección Minera</t>
        </is>
      </c>
      <c r="C1157" s="66" t="inlineStr">
        <is>
          <t>Santiago</t>
        </is>
      </c>
      <c r="D1157" s="66" t="inlineStr">
        <is>
          <t>correo-kba@kba.cl</t>
        </is>
      </c>
      <c r="E1157" s="66" t="inlineStr">
        <is>
          <t>(56) 9 8259 7489</t>
        </is>
      </c>
      <c r="F1157" s="66" t="n"/>
      <c r="G1157" s="66" t="n"/>
      <c r="H1157" s="66" t="n"/>
      <c r="I1157" s="66" t="inlineStr">
        <is>
          <t>78.880.850-K</t>
        </is>
      </c>
      <c r="J1157" s="66" t="n"/>
      <c r="K1157" s="66" t="inlineStr">
        <is>
          <t>Ventas: MEDIANA 1 (25.000 - 50.000 UF) | Empleados: 8</t>
        </is>
      </c>
      <c r="L1157" s="61" t="n"/>
      <c r="M1157" s="61" t="n"/>
      <c r="N1157" s="61" t="n"/>
      <c r="O1157" s="61" t="n"/>
      <c r="P1157" s="61" t="n"/>
      <c r="Q1157" s="62" t="n"/>
      <c r="R1157" s="61" t="n"/>
    </row>
    <row r="1158" ht="15.75" customHeight="1" s="38">
      <c r="A1158" s="66" t="inlineStr">
        <is>
          <t>KDM Industrial</t>
        </is>
      </c>
      <c r="B1158" s="66" t="inlineStr">
        <is>
          <t>Reciclaje de Residuos, Tratamiento de Aguas Servidas</t>
        </is>
      </c>
      <c r="C1158" s="66" t="inlineStr">
        <is>
          <t>Santiago</t>
        </is>
      </c>
      <c r="D1158" s="66" t="inlineStr">
        <is>
          <t>info@kdmindustrial.cl</t>
        </is>
      </c>
      <c r="E1158" s="66" t="inlineStr">
        <is>
          <t>(56) 2 2389 3350</t>
        </is>
      </c>
      <c r="F1158" s="66" t="inlineStr">
        <is>
          <t>Gerente de TI / CIO (Director de Tecnología)</t>
        </is>
      </c>
      <c r="G1158" s="66" t="n"/>
      <c r="H1158" s="66" t="n"/>
      <c r="I1158" s="66" t="inlineStr">
        <is>
          <t>76.117.512-2</t>
        </is>
      </c>
      <c r="J1158" s="66" t="n"/>
      <c r="K1158" s="66" t="inlineStr">
        <is>
          <t>Ventas: GRANDE 4 (Mas de 1.000.000 UF) | Empleados: 1396</t>
        </is>
      </c>
      <c r="L1158" s="61" t="n"/>
      <c r="M1158" s="61" t="n"/>
      <c r="N1158" s="61" t="n"/>
      <c r="O1158" s="61" t="n"/>
      <c r="P1158" s="61" t="n"/>
      <c r="Q1158" s="62" t="n"/>
      <c r="R1158" s="61" t="n"/>
    </row>
    <row r="1159" ht="15.75" customHeight="1" s="38">
      <c r="A1159" s="59" t="inlineStr">
        <is>
          <t>Keepex</t>
        </is>
      </c>
      <c r="B1159" s="59" t="inlineStr">
        <is>
          <t>Plantas Industriales, Tratamiento de Aguas Residuales</t>
        </is>
      </c>
      <c r="C1159" s="59" t="inlineStr">
        <is>
          <t>Puerto Varas</t>
        </is>
      </c>
      <c r="D1159" s="59" t="inlineStr">
        <is>
          <t>info@kpx.cl</t>
        </is>
      </c>
      <c r="E1159" s="59" t="inlineStr">
        <is>
          <t>(56) 9 8233 9172</t>
        </is>
      </c>
      <c r="F1159" s="59" t="inlineStr">
        <is>
          <t>Camilo Andrés Concha Sermini (Innovation &amp; Development Manager)</t>
        </is>
      </c>
      <c r="G1159" s="59" t="inlineStr">
        <is>
          <t>camilo.concha@keepex.cl</t>
        </is>
      </c>
      <c r="H1159" s="59" t="n"/>
      <c r="I1159" s="59" t="inlineStr">
        <is>
          <t>76035937-8</t>
        </is>
      </c>
      <c r="J1159" s="59" t="inlineStr">
        <is>
          <t>Investigación en Proceso</t>
        </is>
      </c>
      <c r="K1159" s="59" t="inlineStr">
        <is>
          <t>Ventas: GRANDE 3 (600.000 - 1.000.000 UF) | Empleados: 105</t>
        </is>
      </c>
      <c r="L1159" s="61" t="n"/>
      <c r="M1159" s="61" t="n"/>
      <c r="N1159" s="61" t="n"/>
      <c r="O1159" s="61" t="n"/>
      <c r="P1159" s="61" t="n"/>
      <c r="Q1159" s="62" t="n"/>
      <c r="R1159" s="61" t="n"/>
    </row>
    <row r="1160" ht="15.75" customHeight="1" s="38">
      <c r="A1160" s="66" t="inlineStr">
        <is>
          <t>Kennametal Chile Ltda.</t>
        </is>
      </c>
      <c r="B1160" s="66" t="inlineStr">
        <is>
          <t>Repuestos para Maquinaria Minera</t>
        </is>
      </c>
      <c r="C1160" s="66" t="inlineStr">
        <is>
          <t>Santiago</t>
        </is>
      </c>
      <c r="D1160" s="66" t="inlineStr">
        <is>
          <t>sales@kennametal.com</t>
        </is>
      </c>
      <c r="E1160" s="66" t="inlineStr">
        <is>
          <t>(56) 2 2264 1177</t>
        </is>
      </c>
      <c r="F1160" s="66" t="n"/>
      <c r="G1160" s="66" t="n"/>
      <c r="H1160" s="66" t="n"/>
      <c r="I1160" s="66" t="inlineStr">
        <is>
          <t>78.535.520-2</t>
        </is>
      </c>
      <c r="J1160" s="66" t="n"/>
      <c r="K1160" s="66" t="inlineStr">
        <is>
          <t>Ventas: GRANDE 1 (100.000 - 200.000 UF) | Empleados: 6</t>
        </is>
      </c>
      <c r="L1160" s="61" t="n"/>
      <c r="M1160" s="61" t="n"/>
      <c r="N1160" s="61" t="n"/>
      <c r="O1160" s="61" t="n"/>
      <c r="P1160" s="61" t="n"/>
      <c r="Q1160" s="62" t="n"/>
      <c r="R1160" s="61" t="n"/>
    </row>
    <row r="1161" ht="15.75" customHeight="1" s="38">
      <c r="A1161" s="66" t="inlineStr">
        <is>
          <t>Kepler</t>
        </is>
      </c>
      <c r="B1161" s="66" t="inlineStr">
        <is>
          <t>Cloud Computing, Recuperación de Datos, Respaldo de Computadores</t>
        </is>
      </c>
      <c r="C1161" s="66" t="inlineStr">
        <is>
          <t>Santiago</t>
        </is>
      </c>
      <c r="D1161" s="66" t="n"/>
      <c r="E1161" s="66" t="inlineStr">
        <is>
          <t>(56) 2 2362 7500</t>
        </is>
      </c>
      <c r="F1161" s="66" t="n"/>
      <c r="G1161" s="66" t="n"/>
      <c r="H1161" s="66" t="n"/>
      <c r="I1161" s="66" t="inlineStr">
        <is>
          <t>76.160.332-9</t>
        </is>
      </c>
      <c r="J1161" s="66" t="n"/>
      <c r="K1161" s="66" t="inlineStr">
        <is>
          <t>Ventas: MICRO 3 (600 - 2.400 UF) | Empleados: 0</t>
        </is>
      </c>
      <c r="L1161" s="61" t="n"/>
      <c r="M1161" s="61" t="n"/>
      <c r="N1161" s="61" t="n"/>
      <c r="O1161" s="61" t="n"/>
      <c r="P1161" s="61" t="n"/>
      <c r="Q1161" s="62" t="n"/>
      <c r="R1161" s="61" t="n"/>
    </row>
    <row r="1162" ht="15.75" customHeight="1" s="38">
      <c r="A1162" s="66" t="inlineStr">
        <is>
          <t>Keypro Ingeniería</t>
        </is>
      </c>
      <c r="B1162" s="66" t="inlineStr">
        <is>
          <t>Asesorías en Ingeniería, Asesorías en Minería</t>
        </is>
      </c>
      <c r="C1162" s="66" t="inlineStr">
        <is>
          <t>Santiago</t>
        </is>
      </c>
      <c r="D1162" s="66" t="inlineStr">
        <is>
          <t>comercialchile@keyproingenieria.com</t>
        </is>
      </c>
      <c r="E1162" s="66" t="inlineStr">
        <is>
          <t>(56) 2 2663 4500</t>
        </is>
      </c>
      <c r="F1162" s="66" t="inlineStr">
        <is>
          <t>Gerente de TI / CIO (Director de Tecnología)</t>
        </is>
      </c>
      <c r="G1162" s="66" t="n"/>
      <c r="H1162" s="66" t="n"/>
      <c r="I1162" s="66" t="inlineStr">
        <is>
          <t>76.050.082-8</t>
        </is>
      </c>
      <c r="J1162" s="66" t="n"/>
      <c r="K1162" s="66" t="inlineStr">
        <is>
          <t>Ventas: GRANDE 3 (600.000 - 1.000.000 UF) | Empleados: 161</t>
        </is>
      </c>
      <c r="L1162" s="61" t="n"/>
      <c r="M1162" s="61" t="n"/>
      <c r="N1162" s="61" t="n"/>
      <c r="O1162" s="61" t="n"/>
      <c r="P1162" s="61" t="n"/>
      <c r="Q1162" s="62" t="n"/>
      <c r="R1162" s="61" t="n"/>
    </row>
    <row r="1163" ht="15.75" customHeight="1" s="38">
      <c r="A1163" s="66" t="inlineStr">
        <is>
          <t>KeyProcess SpA</t>
        </is>
      </c>
      <c r="B1163" s="66" t="inlineStr">
        <is>
          <t>Celdas de Flotación</t>
        </is>
      </c>
      <c r="C1163" s="66" t="inlineStr">
        <is>
          <t>Santiago</t>
        </is>
      </c>
      <c r="D1163" s="66" t="inlineStr">
        <is>
          <t>contacto@keyflot.cl</t>
        </is>
      </c>
      <c r="E1163" s="66" t="inlineStr">
        <is>
          <t>(56) 9 9209 5237</t>
        </is>
      </c>
      <c r="F1163" s="66" t="n"/>
      <c r="G1163" s="66" t="n"/>
      <c r="H1163" s="66" t="n"/>
      <c r="I1163" s="66" t="inlineStr">
        <is>
          <t>76.863.259-6</t>
        </is>
      </c>
      <c r="J1163" s="66" t="n"/>
      <c r="K1163" s="66" t="inlineStr">
        <is>
          <t>Ventas: PEQUEÑA 2 (5.000 - 10.000 UF) | Empleados: 4</t>
        </is>
      </c>
      <c r="L1163" s="61" t="n"/>
      <c r="M1163" s="61" t="n"/>
      <c r="N1163" s="61" t="n"/>
      <c r="O1163" s="61" t="n"/>
      <c r="P1163" s="61" t="n"/>
      <c r="Q1163" s="62" t="n"/>
      <c r="R1163" s="61" t="n"/>
    </row>
    <row r="1164" ht="15.75" customHeight="1" s="38">
      <c r="A1164" s="66" t="inlineStr">
        <is>
          <t>Kezver Chile</t>
        </is>
      </c>
      <c r="B1164" s="66" t="inlineStr">
        <is>
          <t>Proveedor Destacado, Aislación Térmica, Artículos de Protección para Altas Temperaturas, Carpas Térmicas, Protección Pasiva contra Incendios, Ropa para Protección contra Fuego, Soldaduras Especiales, Vestuario Aluminizado</t>
        </is>
      </c>
      <c r="C1164" s="66" t="inlineStr">
        <is>
          <t>Santiago</t>
        </is>
      </c>
      <c r="D1164" s="66" t="inlineStr">
        <is>
          <t>ventas@kezverchile.cl</t>
        </is>
      </c>
      <c r="E1164" s="66" t="inlineStr">
        <is>
          <t>(56) 9 5003 7914</t>
        </is>
      </c>
      <c r="F1164" s="66" t="n"/>
      <c r="G1164" s="66" t="n"/>
      <c r="H1164" s="66" t="inlineStr">
        <is>
          <t>http://www.kezverchile.cl</t>
        </is>
      </c>
      <c r="I1164" s="66" t="inlineStr">
        <is>
          <t>76.007.458-6</t>
        </is>
      </c>
      <c r="J1164" s="66" t="n"/>
      <c r="K1164" s="66" t="inlineStr">
        <is>
          <t>Ventas: MEDIANA 2 (50.000 - 100.000 UF) | Empleados: 15</t>
        </is>
      </c>
      <c r="L1164" s="61" t="n"/>
      <c r="M1164" s="61" t="n"/>
      <c r="N1164" s="61" t="n"/>
      <c r="O1164" s="61" t="n"/>
      <c r="P1164" s="61" t="n"/>
      <c r="Q1164" s="62" t="n"/>
      <c r="R1164" s="61" t="n"/>
    </row>
    <row r="1165" ht="15.75" customHeight="1" s="38">
      <c r="A1165" s="59" t="inlineStr">
        <is>
          <t>Kibernum S.A.</t>
        </is>
      </c>
      <c r="B1165" s="59" t="inlineStr">
        <is>
          <t>Servicios Informáticos</t>
        </is>
      </c>
      <c r="C1165" s="59" t="inlineStr">
        <is>
          <t>Santiago</t>
        </is>
      </c>
      <c r="D1165" s="59" t="inlineStr">
        <is>
          <t>contacto@kibernum.com</t>
        </is>
      </c>
      <c r="E1165" s="59" t="inlineStr">
        <is>
          <t>(56) 2 2816 3600</t>
        </is>
      </c>
      <c r="F1165" s="59" t="inlineStr">
        <is>
          <t>Christian Cancino (CTO)</t>
        </is>
      </c>
      <c r="G1165" s="59" t="inlineStr">
        <is>
          <t>ccancino@kibernum.com</t>
        </is>
      </c>
      <c r="H1165" s="59" t="n"/>
      <c r="I1165" s="59" t="inlineStr">
        <is>
          <t>96.616.770-K</t>
        </is>
      </c>
      <c r="J1165" s="59" t="inlineStr">
        <is>
          <t>Ampliación IT Academy &amp; Reskilling IA 2025</t>
        </is>
      </c>
      <c r="K1165" s="59" t="inlineStr">
        <is>
          <t>Ventas: GRANDE 4 (Mas de 1.000.000 UF) | Empleados: 1434</t>
        </is>
      </c>
      <c r="L1165" s="61" t="n"/>
      <c r="M1165" s="61" t="n"/>
      <c r="N1165" s="61" t="n"/>
      <c r="O1165" s="61" t="n"/>
      <c r="P1165" s="61" t="n"/>
      <c r="Q1165" s="62" t="n"/>
      <c r="R1165" s="61" t="n"/>
    </row>
    <row r="1166" ht="15.75" customHeight="1" s="38">
      <c r="A1166" s="66" t="inlineStr">
        <is>
          <t>Kimberly Clark Professional</t>
        </is>
      </c>
      <c r="B1166" s="66" t="inlineStr">
        <is>
          <t>Artículos para Aseo, Artículos para Protección Personal</t>
        </is>
      </c>
      <c r="C1166" s="66" t="inlineStr">
        <is>
          <t>Santiago</t>
        </is>
      </c>
      <c r="D1166" s="66" t="inlineStr">
        <is>
          <t>Contacto.KCPLAO@kcc.com</t>
        </is>
      </c>
      <c r="E1166" s="66" t="inlineStr">
        <is>
          <t>(56) 2 2394 4800</t>
        </is>
      </c>
      <c r="F1166" s="66" t="n"/>
      <c r="G1166" s="66" t="n"/>
      <c r="H1166" s="66" t="n"/>
      <c r="I1166" s="66" t="inlineStr">
        <is>
          <t>96.888.460-3</t>
        </is>
      </c>
      <c r="J1166" s="66" t="n"/>
      <c r="K1166" s="66" t="inlineStr">
        <is>
          <t>Ventas: GRANDE (Estimado por Empleados) | Empleados: 270</t>
        </is>
      </c>
      <c r="L1166" s="61" t="n"/>
      <c r="M1166" s="61" t="n"/>
      <c r="N1166" s="61" t="n"/>
      <c r="O1166" s="61" t="n"/>
      <c r="P1166" s="61" t="n"/>
      <c r="Q1166" s="62" t="n"/>
      <c r="R1166" s="61" t="n"/>
    </row>
    <row r="1167" ht="15.75" customHeight="1" s="38">
      <c r="A1167" s="59" t="inlineStr">
        <is>
          <t>Kinross Minera de Chile</t>
        </is>
      </c>
      <c r="B1167" s="59" t="inlineStr">
        <is>
          <t>Cobre</t>
        </is>
      </c>
      <c r="C1167" s="59" t="inlineStr">
        <is>
          <t>Copiapó</t>
        </is>
      </c>
      <c r="D1167" s="59" t="inlineStr">
        <is>
          <t>info@kinross.com</t>
        </is>
      </c>
      <c r="E1167" s="59" t="inlineStr">
        <is>
          <t>(56) 52 252 3402</t>
        </is>
      </c>
      <c r="F1167" s="59" t="inlineStr">
        <is>
          <t>Felipe Gonzalo Barraza Abalos (Supervisor Soporte IT)</t>
        </is>
      </c>
      <c r="G1167" s="59" t="inlineStr">
        <is>
          <t>felipe.barraza@kinross.com</t>
        </is>
      </c>
      <c r="H1167" s="59" t="n"/>
      <c r="I1167" s="59" t="inlineStr">
        <is>
          <t>76.028.345-2</t>
        </is>
      </c>
      <c r="J1167" s="59" t="inlineStr">
        <is>
          <t>Investigación en Proceso</t>
        </is>
      </c>
      <c r="K1167" s="59" t="inlineStr">
        <is>
          <t>Ventas: GRANDE 3 (600.000 - 1.000.000 UF) | Empleados: 43</t>
        </is>
      </c>
      <c r="L1167" s="61" t="n"/>
      <c r="M1167" s="61" t="n"/>
      <c r="N1167" s="61" t="n"/>
      <c r="O1167" s="61" t="n"/>
      <c r="P1167" s="61" t="n"/>
      <c r="Q1167" s="62" t="n"/>
      <c r="R1167" s="61" t="n"/>
    </row>
    <row r="1168" ht="15.75" customHeight="1" s="38">
      <c r="A1168" s="66" t="inlineStr">
        <is>
          <t>Kiruna Drilling SpA</t>
        </is>
      </c>
      <c r="B1168" s="66" t="inlineStr">
        <is>
          <t>Aceros para Perforación</t>
        </is>
      </c>
      <c r="C1168" s="66" t="inlineStr">
        <is>
          <t>Santiago</t>
        </is>
      </c>
      <c r="D1168" s="66" t="inlineStr">
        <is>
          <t>andres@kiruna.cl</t>
        </is>
      </c>
      <c r="E1168" s="66" t="inlineStr">
        <is>
          <t>(56) 2 2839 9461</t>
        </is>
      </c>
      <c r="F1168" s="66" t="n"/>
      <c r="G1168" s="66" t="n"/>
      <c r="H1168" s="66" t="n"/>
      <c r="I1168" s="66" t="inlineStr">
        <is>
          <t>76.030.025-K</t>
        </is>
      </c>
      <c r="J1168" s="66" t="n"/>
      <c r="K1168" s="66" t="inlineStr">
        <is>
          <t>Ventas: MEDIANA 2 (50.000 - 100.000 UF) | Empleados: 1</t>
        </is>
      </c>
      <c r="L1168" s="61" t="n"/>
      <c r="M1168" s="61" t="n"/>
      <c r="N1168" s="61" t="n"/>
      <c r="O1168" s="61" t="n"/>
      <c r="P1168" s="61" t="n"/>
      <c r="Q1168" s="62" t="n"/>
      <c r="R1168" s="61" t="n"/>
    </row>
    <row r="1169" ht="15.75" customHeight="1" s="38">
      <c r="A1169" s="66" t="inlineStr">
        <is>
          <t>Klingspor</t>
        </is>
      </c>
      <c r="B1169" s="66" t="inlineStr">
        <is>
          <t>Abrasivos, Discos para Corte y Desbaste</t>
        </is>
      </c>
      <c r="C1169" s="66" t="inlineStr">
        <is>
          <t>Santiago</t>
        </is>
      </c>
      <c r="D1169" s="66" t="inlineStr">
        <is>
          <t>ventas@klingspor.cl</t>
        </is>
      </c>
      <c r="E1169" s="66" t="inlineStr">
        <is>
          <t>(56) 2 2411 3700</t>
        </is>
      </c>
      <c r="F1169" s="66" t="inlineStr">
        <is>
          <t>Gerente de TI / CIO (Director de Tecnología)</t>
        </is>
      </c>
      <c r="G1169" s="66" t="n"/>
      <c r="H1169" s="66" t="n"/>
      <c r="I1169" s="66" t="inlineStr">
        <is>
          <t>77.892.600-8</t>
        </is>
      </c>
      <c r="J1169" s="66" t="n"/>
      <c r="K1169" s="66" t="inlineStr">
        <is>
          <t>Ventas: GRANDE 3 (600.000 - 1.000.000 UF) | Empleados: 38</t>
        </is>
      </c>
      <c r="L1169" s="61" t="n"/>
      <c r="M1169" s="61" t="n"/>
      <c r="N1169" s="61" t="n"/>
      <c r="O1169" s="61" t="n"/>
      <c r="P1169" s="61" t="n"/>
      <c r="Q1169" s="62" t="n"/>
      <c r="R1169" s="61" t="n"/>
    </row>
    <row r="1170" ht="15.75" customHeight="1" s="38">
      <c r="A1170" s="66" t="inlineStr">
        <is>
          <t>Knight Material Technologies (Chile) LLC</t>
        </is>
      </c>
      <c r="B1170" s="66" t="inlineStr">
        <is>
          <t>Aplicación de Pinturas Industriales, Aplicación de Revestimientos Epóxicos</t>
        </is>
      </c>
      <c r="C1170" s="66" t="inlineStr">
        <is>
          <t>Santiago</t>
        </is>
      </c>
      <c r="D1170" s="66" t="inlineStr">
        <is>
          <t>info@knightmaterials.com</t>
        </is>
      </c>
      <c r="E1170" s="66" t="inlineStr">
        <is>
          <t>(56) 2 2873 7200</t>
        </is>
      </c>
      <c r="F1170" s="66" t="n"/>
      <c r="G1170" s="66" t="n"/>
      <c r="H1170" s="66" t="n"/>
      <c r="I1170" s="66" t="inlineStr">
        <is>
          <t>59.204.710-1</t>
        </is>
      </c>
      <c r="J1170" s="66" t="n"/>
      <c r="K1170" s="66" t="inlineStr">
        <is>
          <t>Ventas: PEQUEÑA 3 (10.000 - 25.000 UF) | Empleados: 16</t>
        </is>
      </c>
      <c r="L1170" s="61" t="n"/>
      <c r="M1170" s="61" t="n"/>
      <c r="N1170" s="61" t="n"/>
      <c r="O1170" s="61" t="n"/>
      <c r="P1170" s="61" t="n"/>
      <c r="Q1170" s="62" t="n"/>
      <c r="R1170" s="61" t="n"/>
    </row>
    <row r="1171" ht="15.75" customHeight="1" s="38">
      <c r="A1171" s="59" t="inlineStr">
        <is>
          <t>Knight Piésold Consulting</t>
        </is>
      </c>
      <c r="B1171" s="59" t="inlineStr">
        <is>
          <t>Auditoría Medioambiental, Diseño de Pilas de Lixiviación</t>
        </is>
      </c>
      <c r="C1171" s="59" t="inlineStr">
        <is>
          <t>Santiago</t>
        </is>
      </c>
      <c r="D1171" s="59" t="inlineStr">
        <is>
          <t>santiago@knightpiesold.com</t>
        </is>
      </c>
      <c r="E1171" s="59" t="inlineStr">
        <is>
          <t>(56) 2 2594 6400</t>
        </is>
      </c>
      <c r="F1171" s="59" t="inlineStr">
        <is>
          <t>Andoni Sagardia Hidalgo (Encargado de TI)</t>
        </is>
      </c>
      <c r="G1171" s="59" t="inlineStr">
        <is>
          <t>andoni.sagardia@knightpiesold.com</t>
        </is>
      </c>
      <c r="H1171" s="59" t="n"/>
      <c r="I1171" s="59" t="inlineStr">
        <is>
          <t>96.680.350-9</t>
        </is>
      </c>
      <c r="J1171" s="59" t="inlineStr">
        <is>
          <t>Investigación en Proceso</t>
        </is>
      </c>
      <c r="K1171" s="59" t="inlineStr">
        <is>
          <t>Ventas: GRANDE 3 (600.000 - 1.000.000 UF) | Empleados: 107</t>
        </is>
      </c>
      <c r="L1171" s="61" t="n"/>
      <c r="M1171" s="61" t="n"/>
      <c r="N1171" s="61" t="n"/>
      <c r="O1171" s="61" t="n"/>
      <c r="P1171" s="61" t="n"/>
      <c r="Q1171" s="62" t="n"/>
      <c r="R1171" s="61" t="n"/>
    </row>
    <row r="1172" ht="15.75" customHeight="1" s="38">
      <c r="A1172" s="66" t="inlineStr">
        <is>
          <t>Kohlmet Ltda.</t>
        </is>
      </c>
      <c r="B1172" s="66" t="inlineStr">
        <is>
          <t>Calificación de Soldadores, Servicios de Inspección Técnica</t>
        </is>
      </c>
      <c r="C1172" s="66" t="inlineStr">
        <is>
          <t>Santiago</t>
        </is>
      </c>
      <c r="D1172" s="66" t="inlineStr">
        <is>
          <t>contacto@kohlmet.cl</t>
        </is>
      </c>
      <c r="E1172" s="66" t="inlineStr">
        <is>
          <t>(56) 9 7957 7293</t>
        </is>
      </c>
      <c r="F1172" s="66" t="n"/>
      <c r="G1172" s="66" t="n"/>
      <c r="H1172" s="66" t="n"/>
      <c r="I1172" s="66" t="inlineStr">
        <is>
          <t>76.247.096-9</t>
        </is>
      </c>
      <c r="J1172" s="66" t="n"/>
      <c r="K1172" s="66" t="inlineStr">
        <is>
          <t>Ventas: PEQUEÑA 1 (2.400 - 5.000 UF) | Empleados: 4</t>
        </is>
      </c>
      <c r="L1172" s="61" t="n"/>
      <c r="M1172" s="61" t="n"/>
      <c r="N1172" s="61" t="n"/>
      <c r="O1172" s="61" t="n"/>
      <c r="P1172" s="61" t="n"/>
      <c r="Q1172" s="62" t="n"/>
      <c r="R1172" s="61" t="n"/>
    </row>
    <row r="1173" ht="15.75" customHeight="1" s="38">
      <c r="A1173" s="66" t="inlineStr">
        <is>
          <t>Komatsu Chile</t>
        </is>
      </c>
      <c r="B1173" s="66" t="inlineStr">
        <is>
          <t>Camiones Mineros</t>
        </is>
      </c>
      <c r="C1173" s="66" t="inlineStr">
        <is>
          <t>Santiago</t>
        </is>
      </c>
      <c r="D1173" s="66" t="n"/>
      <c r="E1173" s="66" t="inlineStr">
        <is>
          <t>600 3640 100</t>
        </is>
      </c>
      <c r="F1173" s="66" t="n"/>
      <c r="G1173" s="66" t="n"/>
      <c r="H1173" s="66" t="n"/>
      <c r="I1173" s="66" t="inlineStr">
        <is>
          <t>96.843.130-7</t>
        </is>
      </c>
      <c r="J1173" s="66" t="n"/>
      <c r="K1173" s="66" t="inlineStr">
        <is>
          <t>Ventas: GRANDE (Estimado por Empleados) | Empleados: 4748</t>
        </is>
      </c>
      <c r="L1173" s="61" t="n"/>
      <c r="M1173" s="61" t="n"/>
      <c r="N1173" s="61" t="n"/>
      <c r="O1173" s="61" t="n"/>
      <c r="P1173" s="61" t="n"/>
      <c r="Q1173" s="62" t="n"/>
      <c r="R1173" s="61" t="n"/>
    </row>
    <row r="1174" ht="15.75" customHeight="1" s="38">
      <c r="A1174" s="66" t="inlineStr">
        <is>
          <t>Konecranes</t>
        </is>
      </c>
      <c r="B1174" s="66" t="inlineStr">
        <is>
          <t>Polipastos</t>
        </is>
      </c>
      <c r="C1174" s="66" t="inlineStr">
        <is>
          <t>Santiago</t>
        </is>
      </c>
      <c r="D1174" s="66" t="inlineStr">
        <is>
          <t>michel.pardojimenez@konecranes.com</t>
        </is>
      </c>
      <c r="E1174" s="66" t="inlineStr">
        <is>
          <t>(56) 2 2952 8900</t>
        </is>
      </c>
      <c r="F1174" s="66" t="inlineStr">
        <is>
          <t>Gerente de TI / CIO (Director de Tecnología)</t>
        </is>
      </c>
      <c r="G1174" s="66" t="n"/>
      <c r="H1174" s="66" t="n"/>
      <c r="I1174" s="66" t="inlineStr">
        <is>
          <t>76.126.252-1</t>
        </is>
      </c>
      <c r="J1174" s="66" t="n"/>
      <c r="K1174" s="66" t="inlineStr">
        <is>
          <t>Ventas: GRANDE 4 (Mas de 1.000.000 UF) | Empleados: 313</t>
        </is>
      </c>
      <c r="L1174" s="61" t="n"/>
      <c r="M1174" s="61" t="n"/>
      <c r="N1174" s="61" t="n"/>
      <c r="O1174" s="61" t="n"/>
      <c r="P1174" s="61" t="n"/>
      <c r="Q1174" s="62" t="n"/>
      <c r="R1174" s="61" t="n"/>
    </row>
    <row r="1175" ht="15.75" customHeight="1" s="38">
      <c r="A1175" s="66" t="inlineStr">
        <is>
          <t>Koppmann Medio Ambiente Ltda.</t>
        </is>
      </c>
      <c r="B1175" s="66" t="inlineStr">
        <is>
          <t>Aseo Industrial</t>
        </is>
      </c>
      <c r="C1175" s="66" t="inlineStr">
        <is>
          <t>Santiago</t>
        </is>
      </c>
      <c r="D1175" s="66" t="inlineStr">
        <is>
          <t>secretaria@koppmann.cl</t>
        </is>
      </c>
      <c r="E1175" s="66" t="inlineStr">
        <is>
          <t>(56) 2 2277 9977</t>
        </is>
      </c>
      <c r="F1175" s="66" t="n"/>
      <c r="G1175" s="66" t="n"/>
      <c r="H1175" s="66" t="n"/>
      <c r="I1175" s="66" t="inlineStr">
        <is>
          <t>79.531.870-4</t>
        </is>
      </c>
      <c r="J1175" s="66" t="n"/>
      <c r="K1175" s="66" t="inlineStr">
        <is>
          <t>Ventas: MICRO 3 (600 - 2.400 UF) | Empleados: 0</t>
        </is>
      </c>
      <c r="L1175" s="61" t="n"/>
      <c r="M1175" s="61" t="n"/>
      <c r="N1175" s="61" t="n"/>
      <c r="O1175" s="61" t="n"/>
      <c r="P1175" s="61" t="n"/>
      <c r="Q1175" s="62" t="n"/>
      <c r="R1175" s="61" t="n"/>
    </row>
    <row r="1176" ht="15.75" customHeight="1" s="38">
      <c r="A1176" s="66" t="inlineStr">
        <is>
          <t>Korco S.A.C.I.</t>
        </is>
      </c>
      <c r="B1176" s="66" t="inlineStr">
        <is>
          <t>Reparación de Motores, Repuestos para Motores Diesel</t>
        </is>
      </c>
      <c r="C1176" s="66" t="inlineStr">
        <is>
          <t>Santiago</t>
        </is>
      </c>
      <c r="D1176" s="66" t="inlineStr">
        <is>
          <t>claudiaguerreroj@gmail.com</t>
        </is>
      </c>
      <c r="E1176" s="66" t="inlineStr">
        <is>
          <t>(56) 2 2779 1670</t>
        </is>
      </c>
      <c r="F1176" s="66" t="n"/>
      <c r="G1176" s="66" t="n"/>
      <c r="H1176" s="66" t="n"/>
      <c r="I1176" s="66" t="inlineStr">
        <is>
          <t>96.755.370-0</t>
        </is>
      </c>
      <c r="J1176" s="66" t="n"/>
      <c r="K1176" s="66" t="inlineStr">
        <is>
          <t>Ventas: PEQUEÑA 3 (10.000 - 25.000 UF) | Empleados: 3</t>
        </is>
      </c>
      <c r="L1176" s="61" t="n"/>
      <c r="M1176" s="61" t="n"/>
      <c r="N1176" s="61" t="n"/>
      <c r="O1176" s="61" t="n"/>
      <c r="P1176" s="61" t="n"/>
      <c r="Q1176" s="62" t="n"/>
      <c r="R1176" s="61" t="n"/>
    </row>
    <row r="1177" ht="15.75" customHeight="1" s="38">
      <c r="A1177" s="66" t="inlineStr">
        <is>
          <t>KPMG</t>
        </is>
      </c>
      <c r="B1177" s="66" t="inlineStr">
        <is>
          <t>Auditoría, Consultoría</t>
        </is>
      </c>
      <c r="C1177" s="66" t="inlineStr">
        <is>
          <t>Santiago</t>
        </is>
      </c>
      <c r="D1177" s="66" t="inlineStr">
        <is>
          <t>contacto@kpmg.com</t>
        </is>
      </c>
      <c r="E1177" s="66" t="inlineStr">
        <is>
          <t>(56) 2 2997 1000</t>
        </is>
      </c>
      <c r="F1177" s="66" t="n"/>
      <c r="G1177" s="66" t="n"/>
      <c r="H1177" s="66" t="n"/>
      <c r="I1177" s="66" t="inlineStr">
        <is>
          <t>89.907.300-2</t>
        </is>
      </c>
      <c r="J1177" s="66" t="n"/>
      <c r="K1177" s="66" t="inlineStr">
        <is>
          <t>Ventas: GRANDE (Estimado por Empleados) | Empleados: 1214</t>
        </is>
      </c>
      <c r="L1177" s="61" t="n"/>
      <c r="M1177" s="61" t="n"/>
      <c r="N1177" s="61" t="n"/>
      <c r="O1177" s="61" t="n"/>
      <c r="P1177" s="61" t="n"/>
      <c r="Q1177" s="62" t="n"/>
      <c r="R1177" s="61" t="n"/>
    </row>
    <row r="1178" ht="15.75" customHeight="1" s="38">
      <c r="A1178" s="66" t="inlineStr">
        <is>
          <t>Kraemer y Mohr S.A.</t>
        </is>
      </c>
      <c r="B1178" s="66" t="inlineStr">
        <is>
          <t>Anclajes</t>
        </is>
      </c>
      <c r="C1178" s="66" t="inlineStr">
        <is>
          <t>Santiago</t>
        </is>
      </c>
      <c r="D1178" s="66" t="inlineStr">
        <is>
          <t>ventas@kramoper.cl</t>
        </is>
      </c>
      <c r="E1178" s="66" t="inlineStr">
        <is>
          <t>(56) 2 2238 2751</t>
        </is>
      </c>
      <c r="F1178" s="66" t="n"/>
      <c r="G1178" s="66" t="n"/>
      <c r="H1178" s="66" t="n"/>
      <c r="I1178" s="66" t="inlineStr">
        <is>
          <t>83.234.600-4</t>
        </is>
      </c>
      <c r="J1178" s="66" t="n"/>
      <c r="K1178" s="66" t="inlineStr">
        <is>
          <t>Ventas: MEDIANA 1 (25.000 - 50.000 UF) | Empleados: 33</t>
        </is>
      </c>
      <c r="L1178" s="61" t="n"/>
      <c r="M1178" s="61" t="n"/>
      <c r="N1178" s="61" t="n"/>
      <c r="O1178" s="61" t="n"/>
      <c r="P1178" s="61" t="n"/>
      <c r="Q1178" s="62" t="n"/>
      <c r="R1178" s="61" t="n"/>
    </row>
    <row r="1179" ht="15.75" customHeight="1" s="38">
      <c r="A1179" s="66" t="inlineStr">
        <is>
          <t>Krah América Latina S.A.</t>
        </is>
      </c>
      <c r="B1179" s="66" t="inlineStr">
        <is>
          <t>Tubos de Polietileno de Alta Densidad (HDPE)</t>
        </is>
      </c>
      <c r="C1179" s="66" t="inlineStr">
        <is>
          <t>Santiago</t>
        </is>
      </c>
      <c r="D1179" s="66" t="inlineStr">
        <is>
          <t>ventas@krah.cl</t>
        </is>
      </c>
      <c r="E1179" s="66" t="inlineStr">
        <is>
          <t>(56) 2 2713 0400</t>
        </is>
      </c>
      <c r="F1179" s="66" t="inlineStr">
        <is>
          <t>Gerente de TI / CIO (Director de Tecnología)</t>
        </is>
      </c>
      <c r="G1179" s="66" t="n"/>
      <c r="H1179" s="66" t="n"/>
      <c r="I1179" s="66" t="inlineStr">
        <is>
          <t>76.014.035-K</t>
        </is>
      </c>
      <c r="J1179" s="66" t="n"/>
      <c r="K1179" s="66" t="inlineStr">
        <is>
          <t>Ventas: GRANDE 4 (Mas de 1.000.000 UF) | Empleados: 183</t>
        </is>
      </c>
      <c r="L1179" s="61" t="n"/>
      <c r="M1179" s="61" t="n"/>
      <c r="N1179" s="61" t="n"/>
      <c r="O1179" s="61" t="n"/>
      <c r="P1179" s="61" t="n"/>
      <c r="Q1179" s="62" t="n"/>
      <c r="R1179" s="61" t="n"/>
    </row>
    <row r="1180" ht="15.75" customHeight="1" s="38">
      <c r="A1180" s="66" t="inlineStr">
        <is>
          <t>Krea Mining</t>
        </is>
      </c>
      <c r="B1180" s="66" t="inlineStr">
        <is>
          <t>Equipos de Regeneración de Energía No Invasivo para Molinos, Chancadores y Correas Transportadoras, Sistemas de Control de Variables Críticas para Plantas de Electroobtención y Electro Refinación</t>
        </is>
      </c>
      <c r="C1180" s="66" t="inlineStr">
        <is>
          <t>Santiago</t>
        </is>
      </c>
      <c r="D1180" s="66" t="inlineStr">
        <is>
          <t>contacto@kreamining.com</t>
        </is>
      </c>
      <c r="E1180" s="66" t="inlineStr">
        <is>
          <t>(56) 9 7663 1959</t>
        </is>
      </c>
      <c r="F1180" s="66" t="n"/>
      <c r="G1180" s="66" t="n"/>
      <c r="H1180" s="66" t="n"/>
      <c r="I1180" s="66" t="inlineStr">
        <is>
          <t>77139619-4</t>
        </is>
      </c>
      <c r="J1180" s="66" t="n"/>
      <c r="K1180" s="66" t="inlineStr">
        <is>
          <t>Ventas: PEQUEÑA 1 (2.400 - 5.000 UF) | Empleados: 5</t>
        </is>
      </c>
      <c r="L1180" s="61" t="n"/>
      <c r="M1180" s="61" t="n"/>
      <c r="N1180" s="61" t="n"/>
      <c r="O1180" s="61" t="n"/>
      <c r="P1180" s="61" t="n"/>
      <c r="Q1180" s="62" t="n"/>
      <c r="R1180" s="61" t="n"/>
    </row>
    <row r="1181" ht="15.75" customHeight="1" s="38">
      <c r="A1181" s="66" t="inlineStr">
        <is>
          <t>Kronox Chile</t>
        </is>
      </c>
      <c r="B1181" s="66" t="inlineStr">
        <is>
          <t>Aceros Especiales, Aceros Inoxidables</t>
        </is>
      </c>
      <c r="C1181" s="66" t="inlineStr">
        <is>
          <t>Santiago</t>
        </is>
      </c>
      <c r="D1181" s="66" t="inlineStr">
        <is>
          <t>francisco@kronoxchile.cl</t>
        </is>
      </c>
      <c r="E1181" s="66" t="inlineStr">
        <is>
          <t>(56) 2 2244 1608</t>
        </is>
      </c>
      <c r="F1181" s="66" t="n"/>
      <c r="G1181" s="66" t="n"/>
      <c r="H1181" s="66" t="n"/>
      <c r="I1181" s="66" t="inlineStr">
        <is>
          <t>76.242.181-K</t>
        </is>
      </c>
      <c r="J1181" s="66" t="n"/>
      <c r="K1181" s="66" t="inlineStr">
        <is>
          <t>Ventas: GRANDE 1 (100.000 - 200.000 UF) | Empleados: 12</t>
        </is>
      </c>
      <c r="L1181" s="61" t="n"/>
      <c r="M1181" s="61" t="n"/>
      <c r="N1181" s="61" t="n"/>
      <c r="O1181" s="61" t="n"/>
      <c r="P1181" s="61" t="n"/>
      <c r="Q1181" s="62" t="n"/>
      <c r="R1181" s="61" t="n"/>
    </row>
    <row r="1182" ht="15.75" customHeight="1" s="38">
      <c r="A1182" s="59" t="inlineStr">
        <is>
          <t>Krontec SpA</t>
        </is>
      </c>
      <c r="B1182" s="59" t="inlineStr">
        <is>
          <t>Automatización, Sistemas para Control</t>
        </is>
      </c>
      <c r="C1182" s="59" t="inlineStr">
        <is>
          <t>Santiago</t>
        </is>
      </c>
      <c r="D1182" s="59" t="inlineStr">
        <is>
          <t>contacto@krontec.cl</t>
        </is>
      </c>
      <c r="E1182" s="59" t="inlineStr">
        <is>
          <t>(56) 2 2234 1509</t>
        </is>
      </c>
      <c r="F1182" s="59" t="inlineStr">
        <is>
          <t>Guido Donoso (General Manager)</t>
        </is>
      </c>
      <c r="G1182" s="59" t="inlineStr">
        <is>
          <t>gdonoso@krontec.cl</t>
        </is>
      </c>
      <c r="H1182" s="59" t="n"/>
      <c r="I1182" s="59" t="inlineStr">
        <is>
          <t>76.019.921-4</t>
        </is>
      </c>
      <c r="J1182" s="59" t="inlineStr">
        <is>
          <t>Investigación en Proceso</t>
        </is>
      </c>
      <c r="K1182" s="59" t="inlineStr">
        <is>
          <t>Ventas: GRANDE 3 (600.000 - 1.000.000 UF) | Empleados: 89</t>
        </is>
      </c>
      <c r="L1182" s="61" t="n"/>
      <c r="M1182" s="61" t="n"/>
      <c r="N1182" s="61" t="n"/>
      <c r="O1182" s="61" t="n"/>
      <c r="P1182" s="61" t="n"/>
      <c r="Q1182" s="62" t="n"/>
      <c r="R1182" s="61" t="n"/>
    </row>
    <row r="1183" ht="15.75" customHeight="1" s="38">
      <c r="A1183" s="66" t="inlineStr">
        <is>
          <t>Kuehne + Nagel</t>
        </is>
      </c>
      <c r="B1183" s="66" t="inlineStr">
        <is>
          <t>Transporte Internacional</t>
        </is>
      </c>
      <c r="C1183" s="66" t="inlineStr">
        <is>
          <t>Santiago</t>
        </is>
      </c>
      <c r="D1183" s="66" t="n"/>
      <c r="E1183" s="66" t="inlineStr">
        <is>
          <t>(56) 2 2338 9300</t>
        </is>
      </c>
      <c r="F1183" s="66" t="n"/>
      <c r="G1183" s="66" t="n"/>
      <c r="H1183" s="66" t="n"/>
      <c r="I1183" s="66" t="inlineStr">
        <is>
          <t>79.769.320-0</t>
        </is>
      </c>
      <c r="J1183" s="66" t="n"/>
      <c r="K1183" s="66" t="inlineStr">
        <is>
          <t>Ventas: GRANDE (Estimado por Empleados) | Empleados: 596</t>
        </is>
      </c>
      <c r="L1183" s="61" t="n"/>
      <c r="M1183" s="61" t="n"/>
      <c r="N1183" s="61" t="n"/>
      <c r="O1183" s="61" t="n"/>
      <c r="P1183" s="61" t="n"/>
      <c r="Q1183" s="62" t="n"/>
      <c r="R1183" s="61" t="n"/>
    </row>
    <row r="1184" ht="15.75" customHeight="1" s="38">
      <c r="A1184" s="66" t="inlineStr">
        <is>
          <t>Kumera Chile SpA</t>
        </is>
      </c>
      <c r="B1184" s="66" t="inlineStr">
        <is>
          <t>Equipos para Procesamiento de Minerales, Reductores y Engranajes</t>
        </is>
      </c>
      <c r="C1184" s="66" t="inlineStr">
        <is>
          <t>Santiago</t>
        </is>
      </c>
      <c r="D1184" s="66" t="inlineStr">
        <is>
          <t>sales@kumera.com</t>
        </is>
      </c>
      <c r="E1184" s="66" t="inlineStr">
        <is>
          <t>(56) 9 5226 7221</t>
        </is>
      </c>
      <c r="F1184" s="66" t="n"/>
      <c r="G1184" s="66" t="n"/>
      <c r="H1184" s="66" t="n"/>
      <c r="I1184" s="66" t="inlineStr">
        <is>
          <t>77398022-5</t>
        </is>
      </c>
      <c r="J1184" s="66" t="n"/>
      <c r="K1184" s="66" t="inlineStr">
        <is>
          <t>Ventas: MEDIANA 1 (25.000 - 50.000 UF) | Empleados: 1</t>
        </is>
      </c>
      <c r="L1184" s="61" t="n"/>
      <c r="M1184" s="61" t="n"/>
      <c r="N1184" s="61" t="n"/>
      <c r="O1184" s="61" t="n"/>
      <c r="P1184" s="61" t="n"/>
      <c r="Q1184" s="62" t="n"/>
      <c r="R1184" s="61" t="n"/>
    </row>
    <row r="1185" ht="15.75" customHeight="1" s="38">
      <c r="A1185" s="66" t="inlineStr">
        <is>
          <t>Kunstmann Chile</t>
        </is>
      </c>
      <c r="B1185" s="66" t="inlineStr">
        <is>
          <t>Correas Transportadoras, Equipos Industriales</t>
        </is>
      </c>
      <c r="C1185" s="66" t="inlineStr">
        <is>
          <t>Santiago</t>
        </is>
      </c>
      <c r="D1185" s="66" t="inlineStr">
        <is>
          <t>ventas@kunstmannchile.cl</t>
        </is>
      </c>
      <c r="E1185" s="66" t="inlineStr">
        <is>
          <t>(56) 2 2735 4117</t>
        </is>
      </c>
      <c r="F1185" s="66" t="n"/>
      <c r="G1185" s="66" t="n"/>
      <c r="H1185" s="66" t="n"/>
      <c r="I1185" s="66" t="inlineStr">
        <is>
          <t>76.151.407-5</t>
        </is>
      </c>
      <c r="J1185" s="66" t="n"/>
      <c r="K1185" s="66" t="inlineStr">
        <is>
          <t>Ventas: MEDIANA 2 (50.000 - 100.000 UF) | Empleados: 21</t>
        </is>
      </c>
      <c r="L1185" s="61" t="n"/>
      <c r="M1185" s="61" t="n"/>
      <c r="N1185" s="61" t="n"/>
      <c r="O1185" s="61" t="n"/>
      <c r="P1185" s="61" t="n"/>
      <c r="Q1185" s="62" t="n"/>
      <c r="R1185" s="61" t="n"/>
    </row>
    <row r="1186" ht="15.75" customHeight="1" s="38">
      <c r="A1186" s="66" t="inlineStr">
        <is>
          <t>Küpfer</t>
        </is>
      </c>
      <c r="B1186" s="66" t="inlineStr">
        <is>
          <t>Aceros, Aceros Antiabrasivos</t>
        </is>
      </c>
      <c r="C1186" s="66" t="inlineStr">
        <is>
          <t>Santiago</t>
        </is>
      </c>
      <c r="D1186" s="66" t="inlineStr">
        <is>
          <t>kupfer@kupfer.cl</t>
        </is>
      </c>
      <c r="E1186" s="66" t="inlineStr">
        <is>
          <t>(56) 2 2351 5000</t>
        </is>
      </c>
      <c r="F1186" s="66" t="n"/>
      <c r="G1186" s="66" t="n"/>
      <c r="H1186" s="66" t="n"/>
      <c r="I1186" s="66" t="inlineStr">
        <is>
          <t>90.844.000-5</t>
        </is>
      </c>
      <c r="J1186" s="66" t="n"/>
      <c r="K1186" s="66" t="inlineStr">
        <is>
          <t>Ventas: GRANDE (Estimado por Empleados) | Empleados: 1238</t>
        </is>
      </c>
      <c r="L1186" s="61" t="n"/>
      <c r="M1186" s="61" t="n"/>
      <c r="N1186" s="61" t="n"/>
      <c r="O1186" s="61" t="n"/>
      <c r="P1186" s="61" t="n"/>
      <c r="Q1186" s="62" t="n"/>
      <c r="R1186" s="61" t="n"/>
    </row>
    <row r="1187" ht="15.75" customHeight="1" s="38">
      <c r="A1187" s="66" t="inlineStr">
        <is>
          <t>L &amp; H Servicios Industriales Chile Ltda.</t>
        </is>
      </c>
      <c r="B1187" s="66" t="inlineStr">
        <is>
          <t>Reparación de Equipos, Repuestos para Maquinaria Minera</t>
        </is>
      </c>
      <c r="C1187" s="66" t="inlineStr">
        <is>
          <t>Antofagasta</t>
        </is>
      </c>
      <c r="D1187" s="66" t="inlineStr">
        <is>
          <t>bserrano@lnh.net</t>
        </is>
      </c>
      <c r="E1187" s="66" t="inlineStr">
        <is>
          <t>(56) 55 256 0156</t>
        </is>
      </c>
      <c r="F1187" s="66" t="inlineStr">
        <is>
          <t>Gerente de TI / CIO (Director de Tecnología)</t>
        </is>
      </c>
      <c r="G1187" s="66" t="n"/>
      <c r="H1187" s="66" t="n"/>
      <c r="I1187" s="66" t="inlineStr">
        <is>
          <t>76.009.937-6</t>
        </is>
      </c>
      <c r="J1187" s="66" t="n"/>
      <c r="K1187" s="66" t="inlineStr">
        <is>
          <t>Ventas: GRANDE 3 (600.000 - 1.000.000 UF) | Empleados: 124</t>
        </is>
      </c>
      <c r="L1187" s="61" t="n"/>
      <c r="M1187" s="61" t="n"/>
      <c r="N1187" s="61" t="n"/>
      <c r="O1187" s="61" t="n"/>
      <c r="P1187" s="61" t="n"/>
      <c r="Q1187" s="62" t="n"/>
      <c r="R1187" s="61" t="n"/>
    </row>
    <row r="1188" ht="15.75" customHeight="1" s="38">
      <c r="A1188" s="66" t="inlineStr">
        <is>
          <t>L &amp; M Industrial Radiator Inc.</t>
        </is>
      </c>
      <c r="B1188" s="66" t="inlineStr">
        <is>
          <t>Enfriadores para Aceite, Radiadores</t>
        </is>
      </c>
      <c r="C1188" s="66" t="inlineStr">
        <is>
          <t>Antofagasta</t>
        </is>
      </c>
      <c r="D1188" s="66" t="inlineStr">
        <is>
          <t>customerservice@mesabi.com</t>
        </is>
      </c>
      <c r="E1188" s="66" t="inlineStr">
        <is>
          <t>(56) 55 289 3231</t>
        </is>
      </c>
      <c r="F1188" s="66" t="n"/>
      <c r="G1188" s="66" t="n"/>
      <c r="H1188" s="66" t="n"/>
      <c r="I1188" s="66" t="inlineStr">
        <is>
          <t>76.074.729-7</t>
        </is>
      </c>
      <c r="J1188" s="66" t="n"/>
      <c r="K1188" s="66" t="inlineStr">
        <is>
          <t>Ventas: GRANDE 2 (200.000 - 600.000 UF) | Empleados: 21</t>
        </is>
      </c>
      <c r="L1188" s="61" t="n"/>
      <c r="M1188" s="61" t="n"/>
      <c r="N1188" s="61" t="n"/>
      <c r="O1188" s="61" t="n"/>
      <c r="P1188" s="61" t="n"/>
      <c r="Q1188" s="62" t="n"/>
      <c r="R1188" s="61" t="n"/>
    </row>
    <row r="1189" ht="15.75" customHeight="1" s="38">
      <c r="A1189" s="66" t="inlineStr">
        <is>
          <t>Laboratorio Kasem</t>
        </is>
      </c>
      <c r="B1189" s="66" t="inlineStr">
        <is>
          <t>Equipamiento de Limpieza para Minería</t>
        </is>
      </c>
      <c r="C1189" s="66" t="inlineStr">
        <is>
          <t>Santiago</t>
        </is>
      </c>
      <c r="D1189" s="66" t="inlineStr">
        <is>
          <t>info@anphoterol.com</t>
        </is>
      </c>
      <c r="E1189" s="66" t="inlineStr">
        <is>
          <t>(56) 9 4267 7640</t>
        </is>
      </c>
      <c r="F1189" s="66" t="n"/>
      <c r="G1189" s="66" t="n"/>
      <c r="H1189" s="66" t="n"/>
      <c r="I1189" s="66" t="inlineStr">
        <is>
          <t>76692183-3</t>
        </is>
      </c>
      <c r="J1189" s="66" t="n"/>
      <c r="K1189" s="66" t="inlineStr">
        <is>
          <t>Ventas: MEDIANA 2 (50.000 - 100.000 UF) | Empleados: 17</t>
        </is>
      </c>
      <c r="L1189" s="61" t="n"/>
      <c r="M1189" s="61" t="n"/>
      <c r="N1189" s="61" t="n"/>
      <c r="O1189" s="61" t="n"/>
      <c r="P1189" s="61" t="n"/>
      <c r="Q1189" s="62" t="n"/>
      <c r="R1189" s="61" t="n"/>
    </row>
    <row r="1190" ht="15.75" customHeight="1" s="38">
      <c r="A1190" s="66" t="inlineStr">
        <is>
          <t>Laborock</t>
        </is>
      </c>
      <c r="B1190" s="66" t="inlineStr">
        <is>
          <t>Ensayos no Destructivos, Servicios Geotécnicos</t>
        </is>
      </c>
      <c r="C1190" s="66" t="inlineStr">
        <is>
          <t>Calama</t>
        </is>
      </c>
      <c r="D1190" s="66" t="inlineStr">
        <is>
          <t>info@laborock.cl</t>
        </is>
      </c>
      <c r="E1190" s="66" t="inlineStr">
        <is>
          <t>(56) 52 244 6405</t>
        </is>
      </c>
      <c r="F1190" s="66" t="n"/>
      <c r="G1190" s="66" t="n"/>
      <c r="H1190" s="66" t="n"/>
      <c r="I1190" s="66" t="inlineStr">
        <is>
          <t>76.930.585-8</t>
        </is>
      </c>
      <c r="J1190" s="66" t="n"/>
      <c r="K1190" s="66" t="inlineStr">
        <is>
          <t>Ventas: MICRO 2 (200 - 600 UF) | Empleados: 0</t>
        </is>
      </c>
      <c r="L1190" s="61" t="n"/>
      <c r="M1190" s="61" t="n"/>
      <c r="N1190" s="61" t="n"/>
      <c r="O1190" s="61" t="n"/>
      <c r="P1190" s="61" t="n"/>
      <c r="Q1190" s="62" t="n"/>
      <c r="R1190" s="61" t="n"/>
    </row>
    <row r="1191" ht="15.75" customHeight="1" s="38">
      <c r="A1191" s="66" t="inlineStr">
        <is>
          <t>Labtech Hebro Ltda.</t>
        </is>
      </c>
      <c r="B1191" s="66" t="inlineStr">
        <is>
          <t>Chancadores de Mandíbula, Equipos para Laboratorios</t>
        </is>
      </c>
      <c r="C1191" s="66" t="inlineStr">
        <is>
          <t>Santiago</t>
        </is>
      </c>
      <c r="D1191" s="66" t="inlineStr">
        <is>
          <t>info@hebrolab.cl</t>
        </is>
      </c>
      <c r="E1191" s="66" t="inlineStr">
        <is>
          <t>(56) 2 2331 2000</t>
        </is>
      </c>
      <c r="F1191" s="66" t="n"/>
      <c r="G1191" s="66" t="n"/>
      <c r="H1191" s="66" t="n"/>
      <c r="I1191" s="66" t="inlineStr">
        <is>
          <t>77.352.250-2</t>
        </is>
      </c>
      <c r="J1191" s="66" t="n"/>
      <c r="K1191" s="66" t="inlineStr">
        <is>
          <t>Ventas: GRANDE 1 (100.000 - 200.000 UF) | Empleados: 30</t>
        </is>
      </c>
      <c r="L1191" s="61" t="n"/>
      <c r="M1191" s="61" t="n"/>
      <c r="N1191" s="61" t="n"/>
      <c r="O1191" s="61" t="n"/>
      <c r="P1191" s="61" t="n"/>
      <c r="Q1191" s="62" t="n"/>
      <c r="R1191" s="61" t="n"/>
    </row>
    <row r="1192" ht="15.75" customHeight="1" s="38">
      <c r="A1192" s="66" t="inlineStr">
        <is>
          <t>Lader Energy</t>
        </is>
      </c>
      <c r="B1192" s="66" t="inlineStr">
        <is>
          <t>Desarrollo de Proyectos de Energías Renovables</t>
        </is>
      </c>
      <c r="C1192" s="66" t="inlineStr">
        <is>
          <t>Santiago</t>
        </is>
      </c>
      <c r="D1192" s="66" t="inlineStr">
        <is>
          <t>info@laderenergy.com</t>
        </is>
      </c>
      <c r="E1192" s="66" t="inlineStr">
        <is>
          <t>(56) 9 6209 3377</t>
        </is>
      </c>
      <c r="F1192" s="66" t="n"/>
      <c r="G1192" s="66" t="n"/>
      <c r="H1192" s="66" t="n"/>
      <c r="I1192" s="66" t="inlineStr">
        <is>
          <t>76541243-9</t>
        </is>
      </c>
      <c r="J1192" s="66" t="n"/>
      <c r="K1192" s="66" t="inlineStr">
        <is>
          <t>Ventas: MEDIANA 2 (50.000 - 100.000 UF) | Empleados: 23</t>
        </is>
      </c>
      <c r="L1192" s="61" t="n"/>
      <c r="M1192" s="61" t="n"/>
      <c r="N1192" s="61" t="n"/>
      <c r="O1192" s="61" t="n"/>
      <c r="P1192" s="61" t="n"/>
      <c r="Q1192" s="62" t="n"/>
      <c r="R1192" s="61" t="n"/>
    </row>
    <row r="1193" ht="15.75" customHeight="1" s="38">
      <c r="A1193" s="66" t="inlineStr">
        <is>
          <t>Laffon Equipos contra Incendios</t>
        </is>
      </c>
      <c r="B1193" s="66" t="inlineStr">
        <is>
          <t>Artículos para Protección Personal, Equipos contra Incendios</t>
        </is>
      </c>
      <c r="C1193" s="66" t="inlineStr">
        <is>
          <t>Santiago</t>
        </is>
      </c>
      <c r="D1193" s="66" t="inlineStr">
        <is>
          <t>info@laffon.cl</t>
        </is>
      </c>
      <c r="E1193" s="66" t="inlineStr">
        <is>
          <t>(56) 2 2223 2827</t>
        </is>
      </c>
      <c r="F1193" s="66" t="n"/>
      <c r="G1193" s="66" t="n"/>
      <c r="H1193" s="66" t="n"/>
      <c r="I1193" s="66" t="inlineStr">
        <is>
          <t>3.976.438-5</t>
        </is>
      </c>
      <c r="J1193" s="66" t="n"/>
      <c r="K1193" s="66" t="inlineStr">
        <is>
          <t>Ventas: No en base SII | Empleados: S/I</t>
        </is>
      </c>
      <c r="L1193" s="61" t="n"/>
      <c r="M1193" s="61" t="n"/>
      <c r="N1193" s="61" t="n"/>
      <c r="O1193" s="61" t="n"/>
      <c r="P1193" s="61" t="n"/>
      <c r="Q1193" s="62" t="n"/>
      <c r="R1193" s="61" t="n"/>
    </row>
    <row r="1194" ht="15.75" customHeight="1" s="38">
      <c r="A1194" s="66" t="inlineStr">
        <is>
          <t>Lakeland Industries Chile Ltda.</t>
        </is>
      </c>
      <c r="B1194" s="66" t="inlineStr">
        <is>
          <t>Ropa para Seguridad</t>
        </is>
      </c>
      <c r="C1194" s="66" t="inlineStr">
        <is>
          <t>Santiago</t>
        </is>
      </c>
      <c r="D1194" s="66" t="inlineStr">
        <is>
          <t>latinoamerica@lakeland.com</t>
        </is>
      </c>
      <c r="E1194" s="66" t="inlineStr">
        <is>
          <t>(56) 2 2998 0545</t>
        </is>
      </c>
      <c r="F1194" s="66" t="n"/>
      <c r="G1194" s="66" t="n"/>
      <c r="H1194" s="66" t="n"/>
      <c r="I1194" s="66" t="inlineStr">
        <is>
          <t>76.206.794-3</t>
        </is>
      </c>
      <c r="J1194" s="66" t="n"/>
      <c r="K1194" s="66" t="inlineStr">
        <is>
          <t>Ventas: GRANDE 2 (200.000 - 600.000 UF) | Empleados: 11</t>
        </is>
      </c>
      <c r="L1194" s="61" t="n"/>
      <c r="M1194" s="61" t="n"/>
      <c r="N1194" s="61" t="n"/>
      <c r="O1194" s="61" t="n"/>
      <c r="P1194" s="61" t="n"/>
      <c r="Q1194" s="62" t="n"/>
      <c r="R1194" s="61" t="n"/>
    </row>
    <row r="1195" ht="15.75" customHeight="1" s="38">
      <c r="A1195" s="59" t="inlineStr">
        <is>
          <t>Lamaignere Chile S.A.</t>
        </is>
      </c>
      <c r="B1195" s="59" t="inlineStr">
        <is>
          <t>Servicios Logísticos</t>
        </is>
      </c>
      <c r="C1195" s="59" t="inlineStr">
        <is>
          <t>Santiago</t>
        </is>
      </c>
      <c r="D1195" s="59" t="inlineStr">
        <is>
          <t>chile@lamaignere.com</t>
        </is>
      </c>
      <c r="E1195" s="59" t="inlineStr">
        <is>
          <t>(56) 9 9299 6206</t>
        </is>
      </c>
      <c r="F1195" s="59" t="inlineStr">
        <is>
          <t>Alejandra Ayala (Country Manager)</t>
        </is>
      </c>
      <c r="G1195" s="59" t="n"/>
      <c r="H1195" s="59" t="n"/>
      <c r="I1195" s="59" t="inlineStr">
        <is>
          <t>76.679.760-1</t>
        </is>
      </c>
      <c r="J1195" s="59" t="inlineStr">
        <is>
          <t>Logística Innovadora &amp; Centros Almacenamiento</t>
        </is>
      </c>
      <c r="K1195" s="59" t="inlineStr">
        <is>
          <t>Ventas: GRANDE 2 (200.000 - 600.000 UF) | Empleados: 15</t>
        </is>
      </c>
      <c r="L1195" s="61" t="n"/>
      <c r="M1195" s="61" t="n"/>
      <c r="N1195" s="61" t="n"/>
      <c r="O1195" s="61" t="n"/>
      <c r="P1195" s="61" t="n"/>
      <c r="Q1195" s="62" t="n"/>
      <c r="R1195" s="61" t="n"/>
    </row>
    <row r="1196" ht="15.75" customHeight="1" s="38">
      <c r="A1196" s="66" t="inlineStr">
        <is>
          <t>Landeros e Hijos Ltda.</t>
        </is>
      </c>
      <c r="B1196" s="66" t="inlineStr">
        <is>
          <t>Repuestos para Maquinaria Minera, Repuestos para Motores Diesel</t>
        </is>
      </c>
      <c r="C1196" s="66" t="inlineStr">
        <is>
          <t>Santiago</t>
        </is>
      </c>
      <c r="D1196" s="66" t="inlineStr">
        <is>
          <t>contacto@landerosehijo.cl</t>
        </is>
      </c>
      <c r="E1196" s="66" t="inlineStr">
        <is>
          <t>(56) 2 2779 9189</t>
        </is>
      </c>
      <c r="F1196" s="66" t="n"/>
      <c r="G1196" s="66" t="n"/>
      <c r="H1196" s="66" t="n"/>
      <c r="I1196" s="66" t="inlineStr">
        <is>
          <t>85.799.700-K</t>
        </is>
      </c>
      <c r="J1196" s="66" t="n"/>
      <c r="K1196" s="66" t="inlineStr">
        <is>
          <t>Ventas: MEDIANA 1 (25.000 - 50.000 UF) | Empleados: 4</t>
        </is>
      </c>
      <c r="L1196" s="61" t="n"/>
      <c r="M1196" s="61" t="n"/>
      <c r="N1196" s="61" t="n"/>
      <c r="O1196" s="61" t="n"/>
      <c r="P1196" s="61" t="n"/>
      <c r="Q1196" s="62" t="n"/>
      <c r="R1196" s="61" t="n"/>
    </row>
    <row r="1197" ht="15.75" customHeight="1" s="38">
      <c r="A1197" s="66" t="inlineStr">
        <is>
          <t>Lanztec</t>
        </is>
      </c>
      <c r="B1197" s="66" t="inlineStr">
        <is>
          <t>Arriendo de Generadores, Equipos para la Minería</t>
        </is>
      </c>
      <c r="C1197" s="66" t="inlineStr">
        <is>
          <t>Santiago</t>
        </is>
      </c>
      <c r="D1197" s="66" t="inlineStr">
        <is>
          <t>lanztec@lanztec.cl</t>
        </is>
      </c>
      <c r="E1197" s="66" t="inlineStr">
        <is>
          <t>(56) 2 2435 5610</t>
        </is>
      </c>
      <c r="F1197" s="66" t="n"/>
      <c r="G1197" s="66" t="n"/>
      <c r="H1197" s="66" t="n"/>
      <c r="I1197" s="66" t="inlineStr">
        <is>
          <t>77298685-8</t>
        </is>
      </c>
      <c r="J1197" s="66" t="n"/>
      <c r="K1197" s="66" t="inlineStr">
        <is>
          <t>Ventas: PEQUEÑA 3 (10.000 - 25.000 UF) | Empleados: 7</t>
        </is>
      </c>
      <c r="L1197" s="61" t="n"/>
      <c r="M1197" s="61" t="n"/>
      <c r="N1197" s="61" t="n"/>
      <c r="O1197" s="61" t="n"/>
      <c r="P1197" s="61" t="n"/>
      <c r="Q1197" s="62" t="n"/>
      <c r="R1197" s="61" t="n"/>
    </row>
    <row r="1198" ht="15.75" customHeight="1" s="38">
      <c r="A1198" s="66" t="inlineStr">
        <is>
          <t>Larce Electric</t>
        </is>
      </c>
      <c r="B1198" s="66" t="inlineStr">
        <is>
          <t>Equipos Eléctricos de Baja y Media Tensión</t>
        </is>
      </c>
      <c r="C1198" s="66" t="inlineStr">
        <is>
          <t>Santiago</t>
        </is>
      </c>
      <c r="D1198" s="66" t="inlineStr">
        <is>
          <t>contacto@larce.cl</t>
        </is>
      </c>
      <c r="E1198" s="66" t="inlineStr">
        <is>
          <t>(56) 2 2651 3331</t>
        </is>
      </c>
      <c r="F1198" s="66" t="n"/>
      <c r="G1198" s="66" t="n"/>
      <c r="H1198" s="66" t="n"/>
      <c r="I1198" s="66" t="inlineStr">
        <is>
          <t>76.265.580-2</t>
        </is>
      </c>
      <c r="J1198" s="66" t="n"/>
      <c r="K1198" s="66" t="inlineStr">
        <is>
          <t>Ventas: GRANDE 2 (200.000 - 600.000 UF) | Empleados: 32</t>
        </is>
      </c>
      <c r="L1198" s="61" t="n"/>
      <c r="M1198" s="61" t="n"/>
      <c r="N1198" s="61" t="n"/>
      <c r="O1198" s="61" t="n"/>
      <c r="P1198" s="61" t="n"/>
      <c r="Q1198" s="62" t="n"/>
      <c r="R1198" s="61" t="n"/>
    </row>
    <row r="1199" ht="15.75" customHeight="1" s="38">
      <c r="A1199" s="59" t="inlineStr">
        <is>
          <t>Latam Airlines</t>
        </is>
      </c>
      <c r="B1199" s="59" t="inlineStr">
        <is>
          <t>Transporte Aéreo</t>
        </is>
      </c>
      <c r="C1199" s="59" t="inlineStr">
        <is>
          <t>Santiago</t>
        </is>
      </c>
      <c r="D1199" s="59" t="n"/>
      <c r="E1199" s="59" t="inlineStr">
        <is>
          <t>600 526 2000</t>
        </is>
      </c>
      <c r="F1199" s="59" t="inlineStr">
        <is>
          <t>Juliana Rios (VP IT &amp; Digital)</t>
        </is>
      </c>
      <c r="G1199" s="59" t="n"/>
      <c r="H1199" s="59" t="n"/>
      <c r="I1199" s="59" t="inlineStr">
        <is>
          <t>89.862.200-2</t>
        </is>
      </c>
      <c r="J1199" s="59" t="inlineStr">
        <is>
          <t>Estrategia Global Cloud &amp; Digital</t>
        </is>
      </c>
      <c r="K1199" s="59" t="inlineStr">
        <is>
          <t>Ventas: GRANDE (Estimado por Empleados) | Empleados: 7006</t>
        </is>
      </c>
      <c r="L1199" s="61" t="n"/>
      <c r="M1199" s="61" t="n"/>
      <c r="N1199" s="61" t="n"/>
      <c r="O1199" s="61" t="n"/>
      <c r="P1199" s="61" t="n"/>
      <c r="Q1199" s="62" t="n"/>
      <c r="R1199" s="61" t="n"/>
    </row>
    <row r="1200" ht="15.75" customHeight="1" s="38">
      <c r="A1200" s="59" t="inlineStr">
        <is>
          <t>Latam Trade Capital</t>
        </is>
      </c>
      <c r="B1200" s="59" t="inlineStr">
        <is>
          <t>Servicios Financieros</t>
        </is>
      </c>
      <c r="C1200" s="59" t="inlineStr">
        <is>
          <t>Santiago</t>
        </is>
      </c>
      <c r="D1200" s="59" t="inlineStr">
        <is>
          <t>contacto@nuevocapital.cl</t>
        </is>
      </c>
      <c r="E1200" s="59" t="inlineStr">
        <is>
          <t>(56) 2 2956 6000</t>
        </is>
      </c>
      <c r="F1200" s="59" t="inlineStr">
        <is>
          <t>Francisco Hormazabal (Gerente Ops &amp; Tecnología)</t>
        </is>
      </c>
      <c r="G1200" s="59" t="inlineStr">
        <is>
          <t>francisco.hormazabal@latamtradecapital.com</t>
        </is>
      </c>
      <c r="H1200" s="59" t="n"/>
      <c r="I1200" s="59" t="inlineStr">
        <is>
          <t>76.261.789-7</t>
        </is>
      </c>
      <c r="J1200" s="59" t="inlineStr">
        <is>
          <t>Investigación en Proceso</t>
        </is>
      </c>
      <c r="K1200" s="59" t="inlineStr">
        <is>
          <t>Ventas: GRANDE 3 (600.000 - 1.000.000 UF) | Empleados: 71</t>
        </is>
      </c>
      <c r="L1200" s="61" t="n"/>
      <c r="M1200" s="61" t="n"/>
      <c r="N1200" s="61" t="n"/>
      <c r="O1200" s="61" t="n"/>
      <c r="P1200" s="61" t="n"/>
      <c r="Q1200" s="62" t="n"/>
      <c r="R1200" s="61" t="n"/>
    </row>
    <row r="1201" ht="15.75" customHeight="1" s="38">
      <c r="A1201" s="66" t="inlineStr">
        <is>
          <t>Lathrop</t>
        </is>
      </c>
      <c r="B1201" s="66" t="inlineStr">
        <is>
          <t>Bolas de Acero Forjado para Molienda</t>
        </is>
      </c>
      <c r="C1201" s="66" t="inlineStr">
        <is>
          <t>Santiago</t>
        </is>
      </c>
      <c r="D1201" s="66" t="inlineStr">
        <is>
          <t>gerencia@lathrop.cl</t>
        </is>
      </c>
      <c r="E1201" s="66" t="inlineStr">
        <is>
          <t>(56) 2 2233 8133</t>
        </is>
      </c>
      <c r="F1201" s="66" t="n"/>
      <c r="G1201" s="66" t="n"/>
      <c r="H1201" s="66" t="n"/>
      <c r="I1201" s="66" t="inlineStr">
        <is>
          <t>77.817.230-5</t>
        </is>
      </c>
      <c r="J1201" s="66" t="n"/>
      <c r="K1201" s="66" t="inlineStr">
        <is>
          <t>Ventas: MEDIANA 1 (25.000 - 50.000 UF) | Empleados: 1</t>
        </is>
      </c>
      <c r="L1201" s="61" t="n"/>
      <c r="M1201" s="61" t="n"/>
      <c r="N1201" s="61" t="n"/>
      <c r="O1201" s="61" t="n"/>
      <c r="P1201" s="61" t="n"/>
      <c r="Q1201" s="62" t="n"/>
      <c r="R1201" s="61" t="n"/>
    </row>
    <row r="1202" ht="15.75" customHeight="1" s="38">
      <c r="A1202" s="59" t="inlineStr">
        <is>
          <t>Latin America Power S.A.</t>
        </is>
      </c>
      <c r="B1202" s="59" t="inlineStr">
        <is>
          <t>Energías Renovables</t>
        </is>
      </c>
      <c r="C1202" s="59" t="inlineStr">
        <is>
          <t>Santiago</t>
        </is>
      </c>
      <c r="D1202" s="59" t="inlineStr">
        <is>
          <t>contacto@latampower.com</t>
        </is>
      </c>
      <c r="E1202" s="59" t="inlineStr">
        <is>
          <t>(56) 2 2820 3200</t>
        </is>
      </c>
      <c r="F1202" s="59" t="inlineStr">
        <is>
          <t>Sebastian Mariman (Jefe de TI)</t>
        </is>
      </c>
      <c r="G1202" s="59" t="inlineStr">
        <is>
          <t>smariman@lapower.com</t>
        </is>
      </c>
      <c r="H1202" s="59" t="n"/>
      <c r="I1202" s="59" t="inlineStr">
        <is>
          <t>76.166.157-4</t>
        </is>
      </c>
      <c r="J1202" s="59" t="inlineStr">
        <is>
          <t>Investigación en Proceso</t>
        </is>
      </c>
      <c r="K1202" s="59" t="inlineStr">
        <is>
          <t>Ventas: GRANDE 3 (600.000 - 1.000.000 UF) | Empleados: 61</t>
        </is>
      </c>
      <c r="L1202" s="61" t="n"/>
      <c r="M1202" s="61" t="n"/>
      <c r="N1202" s="61" t="n"/>
      <c r="O1202" s="61" t="n"/>
      <c r="P1202" s="61" t="n"/>
      <c r="Q1202" s="62" t="n"/>
      <c r="R1202" s="61" t="n"/>
    </row>
    <row r="1203" ht="15.75" customHeight="1" s="38">
      <c r="A1203" s="66" t="inlineStr">
        <is>
          <t>Latin Seal Chile</t>
        </is>
      </c>
      <c r="B1203" s="66" t="inlineStr">
        <is>
          <t>Control de Polvo</t>
        </is>
      </c>
      <c r="C1203" s="66" t="inlineStr">
        <is>
          <t>Santiago</t>
        </is>
      </c>
      <c r="D1203" s="66" t="inlineStr">
        <is>
          <t>contacto@latinseal.cl</t>
        </is>
      </c>
      <c r="E1203" s="66" t="inlineStr">
        <is>
          <t>(56) 2 2440 5100</t>
        </is>
      </c>
      <c r="F1203" s="66" t="n"/>
      <c r="G1203" s="66" t="n"/>
      <c r="H1203" s="66" t="n"/>
      <c r="I1203" s="66" t="inlineStr">
        <is>
          <t>77041397-4</t>
        </is>
      </c>
      <c r="J1203" s="66" t="n"/>
      <c r="K1203" s="66" t="inlineStr">
        <is>
          <t>Ventas: PEQUEÑA 1 (2.400 - 5.000 UF) | Empleados: 0</t>
        </is>
      </c>
      <c r="L1203" s="61" t="n"/>
      <c r="M1203" s="61" t="n"/>
      <c r="N1203" s="61" t="n"/>
      <c r="O1203" s="61" t="n"/>
      <c r="P1203" s="61" t="n"/>
      <c r="Q1203" s="62" t="n"/>
      <c r="R1203" s="61" t="n"/>
    </row>
    <row r="1204" ht="15.75" customHeight="1" s="38">
      <c r="A1204" s="66" t="inlineStr">
        <is>
          <t>Latincom Telecomunicaciones Ltda.</t>
        </is>
      </c>
      <c r="B1204" s="66" t="inlineStr">
        <is>
          <t>Comunicaciones Satelitales, Telecomunicaciones</t>
        </is>
      </c>
      <c r="C1204" s="66" t="inlineStr">
        <is>
          <t>Santiago</t>
        </is>
      </c>
      <c r="D1204" s="66" t="inlineStr">
        <is>
          <t>contacto@latincom.cl</t>
        </is>
      </c>
      <c r="E1204" s="66" t="inlineStr">
        <is>
          <t>(56) 9 6835 7688</t>
        </is>
      </c>
      <c r="F1204" s="66" t="n"/>
      <c r="G1204" s="66" t="n"/>
      <c r="H1204" s="66" t="n"/>
      <c r="I1204" s="66" t="inlineStr">
        <is>
          <t>87.779.800-3</t>
        </is>
      </c>
      <c r="J1204" s="66" t="n"/>
      <c r="K1204" s="66" t="inlineStr">
        <is>
          <t>Ventas: MEDIANA 1 (25.000 - 50.000 UF) | Empleados: 6</t>
        </is>
      </c>
      <c r="L1204" s="61" t="n"/>
      <c r="M1204" s="61" t="n"/>
      <c r="N1204" s="61" t="n"/>
      <c r="O1204" s="61" t="n"/>
      <c r="P1204" s="61" t="n"/>
      <c r="Q1204" s="62" t="n"/>
      <c r="R1204" s="61" t="n"/>
    </row>
    <row r="1205" ht="15.75" customHeight="1" s="38">
      <c r="A1205" s="66" t="inlineStr">
        <is>
          <t>Latty Chile SpA</t>
        </is>
      </c>
      <c r="B1205" s="66" t="inlineStr">
        <is>
          <t>Sellado Industrial</t>
        </is>
      </c>
      <c r="C1205" s="66" t="inlineStr">
        <is>
          <t>Concepción</t>
        </is>
      </c>
      <c r="D1205" s="66" t="n"/>
      <c r="E1205" s="66" t="inlineStr">
        <is>
          <t>(56) 2 2933 4957</t>
        </is>
      </c>
      <c r="F1205" s="66" t="n"/>
      <c r="G1205" s="66" t="n"/>
      <c r="H1205" s="66" t="n"/>
      <c r="I1205" s="66" t="inlineStr">
        <is>
          <t>76541112-2</t>
        </is>
      </c>
      <c r="J1205" s="66" t="n"/>
      <c r="K1205" s="66" t="inlineStr">
        <is>
          <t>Ventas: GRANDE 1 (100.000 - 200.000 UF) | Empleados: 11</t>
        </is>
      </c>
      <c r="L1205" s="61" t="n"/>
      <c r="M1205" s="61" t="n"/>
      <c r="N1205" s="61" t="n"/>
      <c r="O1205" s="61" t="n"/>
      <c r="P1205" s="61" t="n"/>
      <c r="Q1205" s="62" t="n"/>
      <c r="R1205" s="61" t="n"/>
    </row>
    <row r="1206" ht="15.75" customHeight="1" s="38">
      <c r="A1206" s="66" t="inlineStr">
        <is>
          <t>Layher del Pacífico</t>
        </is>
      </c>
      <c r="B1206" s="66" t="inlineStr">
        <is>
          <t>Andamios, Encofrados</t>
        </is>
      </c>
      <c r="C1206" s="66" t="inlineStr">
        <is>
          <t>Santiago</t>
        </is>
      </c>
      <c r="D1206" s="66" t="n"/>
      <c r="E1206" s="66" t="inlineStr">
        <is>
          <t>(56) 2 2979 5700</t>
        </is>
      </c>
      <c r="F1206" s="66" t="inlineStr">
        <is>
          <t>Gerente de TI / CIO (Director de Tecnología)</t>
        </is>
      </c>
      <c r="G1206" s="66" t="n"/>
      <c r="H1206" s="66" t="n"/>
      <c r="I1206" s="66" t="inlineStr">
        <is>
          <t>99.551.260-2</t>
        </is>
      </c>
      <c r="J1206" s="66" t="n"/>
      <c r="K1206" s="66" t="inlineStr">
        <is>
          <t>Ventas: GRANDE 4 (Mas de 1.000.000 UF) | Empleados: 80</t>
        </is>
      </c>
      <c r="L1206" s="61" t="n"/>
      <c r="M1206" s="61" t="n"/>
      <c r="N1206" s="61" t="n"/>
      <c r="O1206" s="61" t="n"/>
      <c r="P1206" s="61" t="n"/>
      <c r="Q1206" s="62" t="n"/>
      <c r="R1206" s="61" t="n"/>
    </row>
    <row r="1207" ht="15.75" customHeight="1" s="38">
      <c r="A1207" s="66" t="inlineStr">
        <is>
          <t>Legacy</t>
        </is>
      </c>
      <c r="B1207" s="66" t="inlineStr">
        <is>
          <t>Construcciones de Tela con Estructura de Acero, Tiendas de Tela para Camiones Mineros</t>
        </is>
      </c>
      <c r="C1207" s="66" t="inlineStr">
        <is>
          <t>Santiago</t>
        </is>
      </c>
      <c r="D1207" s="66" t="inlineStr">
        <is>
          <t>legacy@legacybuildingsolutions.com</t>
        </is>
      </c>
      <c r="E1207" s="66" t="inlineStr">
        <is>
          <t>(56) 2 3276 4165</t>
        </is>
      </c>
      <c r="F1207" s="66" t="n"/>
      <c r="G1207" s="66" t="n"/>
      <c r="H1207" s="66" t="n"/>
      <c r="I1207" s="66" t="inlineStr">
        <is>
          <t>76.837.491-0</t>
        </is>
      </c>
      <c r="J1207" s="66" t="n"/>
      <c r="K1207" s="66" t="inlineStr">
        <is>
          <t>Ventas: MICRO 2 (200 - 600 UF) | Empleados: 1</t>
        </is>
      </c>
      <c r="L1207" s="61" t="n"/>
      <c r="M1207" s="61" t="n"/>
      <c r="N1207" s="61" t="n"/>
      <c r="O1207" s="61" t="n"/>
      <c r="P1207" s="61" t="n"/>
      <c r="Q1207" s="62" t="n"/>
      <c r="R1207" s="61" t="n"/>
    </row>
    <row r="1208" ht="15.75" customHeight="1" s="38">
      <c r="A1208" s="66" t="inlineStr">
        <is>
          <t>Legrand Chile</t>
        </is>
      </c>
      <c r="B1208" s="66" t="inlineStr">
        <is>
          <t>Artículos Eléctricos, Equipos Electrónicos</t>
        </is>
      </c>
      <c r="C1208" s="66" t="inlineStr">
        <is>
          <t>Santiago</t>
        </is>
      </c>
      <c r="D1208" s="66" t="inlineStr">
        <is>
          <t>gabriel.rocha@legrand.com</t>
        </is>
      </c>
      <c r="E1208" s="66" t="inlineStr">
        <is>
          <t>(56) 2 2550 5200</t>
        </is>
      </c>
      <c r="F1208" s="66" t="n"/>
      <c r="G1208" s="66" t="n"/>
      <c r="H1208" s="66" t="n"/>
      <c r="I1208" s="66" t="inlineStr">
        <is>
          <t>79.602.730-4</t>
        </is>
      </c>
      <c r="J1208" s="66" t="n"/>
      <c r="K1208" s="66" t="inlineStr">
        <is>
          <t>Ventas: MEDIANA (Estimado por Empleados) | Empleados: 154</t>
        </is>
      </c>
      <c r="L1208" s="61" t="n"/>
      <c r="M1208" s="61" t="n"/>
      <c r="N1208" s="61" t="n"/>
      <c r="O1208" s="61" t="n"/>
      <c r="P1208" s="61" t="n"/>
      <c r="Q1208" s="62" t="n"/>
      <c r="R1208" s="61" t="n"/>
    </row>
    <row r="1209" ht="15.75" customHeight="1" s="38">
      <c r="A1209" s="66" t="inlineStr">
        <is>
          <t>Lemaco SpA</t>
        </is>
      </c>
      <c r="B1209" s="66" t="inlineStr">
        <is>
          <t>Servicios de Fabricación por Corte Láser y Plegado</t>
        </is>
      </c>
      <c r="C1209" s="66" t="inlineStr">
        <is>
          <t>Santiago</t>
        </is>
      </c>
      <c r="D1209" s="66" t="inlineStr">
        <is>
          <t>contacto@lemaco.cl</t>
        </is>
      </c>
      <c r="E1209" s="66" t="inlineStr">
        <is>
          <t>(56) 2 2525 4112</t>
        </is>
      </c>
      <c r="F1209" s="66" t="n"/>
      <c r="G1209" s="66" t="n"/>
      <c r="H1209" s="66" t="n"/>
      <c r="I1209" s="66" t="inlineStr">
        <is>
          <t>89.802.500-4</t>
        </is>
      </c>
      <c r="J1209" s="66" t="n"/>
      <c r="K1209" s="66" t="inlineStr">
        <is>
          <t>Ventas: GRANDE 2 (200.000 - 600.000 UF) | Empleados: 68</t>
        </is>
      </c>
      <c r="L1209" s="61" t="n"/>
      <c r="M1209" s="61" t="n"/>
      <c r="N1209" s="61" t="n"/>
      <c r="O1209" s="61" t="n"/>
      <c r="P1209" s="61" t="n"/>
      <c r="Q1209" s="62" t="n"/>
      <c r="R1209" s="61" t="n"/>
    </row>
    <row r="1210" ht="15.75" customHeight="1" s="38">
      <c r="A1210" s="66" t="inlineStr">
        <is>
          <t>Leuca</t>
        </is>
      </c>
      <c r="B1210" s="66" t="inlineStr">
        <is>
          <t>Tuberías HDPE</t>
        </is>
      </c>
      <c r="C1210" s="66" t="inlineStr">
        <is>
          <t>Santiago</t>
        </is>
      </c>
      <c r="D1210" s="66" t="inlineStr">
        <is>
          <t>elarrain@leuca.cl</t>
        </is>
      </c>
      <c r="E1210" s="66" t="inlineStr">
        <is>
          <t>(56) 9 5012 5968</t>
        </is>
      </c>
      <c r="F1210" s="66" t="n"/>
      <c r="G1210" s="66" t="n"/>
      <c r="H1210" s="66" t="n"/>
      <c r="I1210" s="66" t="inlineStr">
        <is>
          <t>77.395.420-8</t>
        </is>
      </c>
      <c r="J1210" s="66" t="n"/>
      <c r="K1210" s="66" t="inlineStr">
        <is>
          <t>Ventas: PEQUEÑA 3 (10.000 - 25.000 UF) | Empleados: 11</t>
        </is>
      </c>
      <c r="L1210" s="61" t="n"/>
      <c r="M1210" s="61" t="n"/>
      <c r="N1210" s="61" t="n"/>
      <c r="O1210" s="61" t="n"/>
      <c r="P1210" s="61" t="n"/>
      <c r="Q1210" s="62" t="n"/>
      <c r="R1210" s="61" t="n"/>
    </row>
    <row r="1211" ht="15.75" customHeight="1" s="38">
      <c r="A1211" s="66" t="inlineStr">
        <is>
          <t>Levtec Chile Ltda.</t>
        </is>
      </c>
      <c r="B1211" s="66" t="inlineStr">
        <is>
          <t>Equipos para Izaje</t>
        </is>
      </c>
      <c r="C1211" s="66" t="inlineStr">
        <is>
          <t>Santiago</t>
        </is>
      </c>
      <c r="D1211" s="66" t="inlineStr">
        <is>
          <t>contacto@levtec.cl</t>
        </is>
      </c>
      <c r="E1211" s="66" t="inlineStr">
        <is>
          <t>(56) 2 2551 3871</t>
        </is>
      </c>
      <c r="F1211" s="66" t="n"/>
      <c r="G1211" s="66" t="n"/>
      <c r="H1211" s="66" t="n"/>
      <c r="I1211" s="66" t="inlineStr">
        <is>
          <t>78.202.710-7</t>
        </is>
      </c>
      <c r="J1211" s="66" t="n"/>
      <c r="K1211" s="66" t="inlineStr">
        <is>
          <t>Ventas: MEDIANA 2 (50.000 - 100.000 UF) | Empleados: 32</t>
        </is>
      </c>
      <c r="L1211" s="61" t="n"/>
      <c r="M1211" s="61" t="n"/>
      <c r="N1211" s="61" t="n"/>
      <c r="O1211" s="61" t="n"/>
      <c r="P1211" s="61" t="n"/>
      <c r="Q1211" s="62" t="n"/>
      <c r="R1211" s="61" t="n"/>
    </row>
    <row r="1212" ht="15.75" customHeight="1" s="38">
      <c r="A1212" s="66" t="inlineStr">
        <is>
          <t>Libus</t>
        </is>
      </c>
      <c r="B1212" s="66" t="inlineStr">
        <is>
          <t>Equipos de Protección Personal</t>
        </is>
      </c>
      <c r="C1212" s="66" t="inlineStr">
        <is>
          <t>Santiago</t>
        </is>
      </c>
      <c r="D1212" s="66" t="inlineStr">
        <is>
          <t>info@libus.com</t>
        </is>
      </c>
      <c r="E1212" s="66" t="inlineStr">
        <is>
          <t>(56) 9 9718 8242</t>
        </is>
      </c>
      <c r="F1212" s="66" t="n"/>
      <c r="G1212" s="66" t="n"/>
      <c r="H1212" s="66" t="n"/>
      <c r="I1212" s="66" t="inlineStr">
        <is>
          <t>83553400-6</t>
        </is>
      </c>
      <c r="J1212" s="66" t="n"/>
      <c r="K1212" s="66" t="inlineStr">
        <is>
          <t>Ventas: GRANDE 2 (200.000 - 600.000 UF) | Empleados: 61</t>
        </is>
      </c>
      <c r="L1212" s="61" t="n"/>
      <c r="M1212" s="61" t="n"/>
      <c r="N1212" s="61" t="n"/>
      <c r="O1212" s="61" t="n"/>
      <c r="P1212" s="61" t="n"/>
      <c r="Q1212" s="62" t="n"/>
      <c r="R1212" s="61" t="n"/>
    </row>
    <row r="1213" ht="15.75" customHeight="1" s="38">
      <c r="A1213" s="66" t="inlineStr">
        <is>
          <t>Licitamas</t>
        </is>
      </c>
      <c r="B1213" s="66" t="inlineStr">
        <is>
          <t>Proveedor Destacado, Asesorías Registros de Proveedores y Plataformas de Licitaciones, Capacitación Registros de Proveedores y Plataformas de Licitaciones</t>
        </is>
      </c>
      <c r="C1213" s="66" t="inlineStr">
        <is>
          <t>Santiago</t>
        </is>
      </c>
      <c r="D1213" s="66" t="inlineStr">
        <is>
          <t>acasas@licitamas.cl</t>
        </is>
      </c>
      <c r="E1213" s="66" t="inlineStr">
        <is>
          <t>(56) 9 4243 9438</t>
        </is>
      </c>
      <c r="F1213" s="66" t="n"/>
      <c r="G1213" s="66" t="n"/>
      <c r="H1213" s="66" t="inlineStr">
        <is>
          <t>http://www.licitamas.cl</t>
        </is>
      </c>
      <c r="I1213" s="66" t="inlineStr">
        <is>
          <t>76.464.728-9</t>
        </is>
      </c>
      <c r="J1213" s="66" t="n"/>
      <c r="K1213" s="66" t="inlineStr">
        <is>
          <t>Ventas: PEQUEÑA 1 (2.400 - 5.000 UF) | Empleados: 1</t>
        </is>
      </c>
      <c r="L1213" s="61" t="n"/>
      <c r="M1213" s="61" t="n"/>
      <c r="N1213" s="61" t="n"/>
      <c r="O1213" s="61" t="n"/>
      <c r="P1213" s="61" t="n"/>
      <c r="Q1213" s="62" t="n"/>
      <c r="R1213" s="61" t="n"/>
    </row>
    <row r="1214" ht="15.75" customHeight="1" s="38">
      <c r="A1214" s="66" t="inlineStr">
        <is>
          <t>Liebherr Chile SpA</t>
        </is>
      </c>
      <c r="B1214" s="66" t="inlineStr">
        <is>
          <t>Equipos para la Minería</t>
        </is>
      </c>
      <c r="C1214" s="66" t="inlineStr">
        <is>
          <t>Santiago</t>
        </is>
      </c>
      <c r="D1214" s="66" t="inlineStr">
        <is>
          <t>info.lmc@liebherr.com</t>
        </is>
      </c>
      <c r="E1214" s="66" t="inlineStr">
        <is>
          <t>(56) 2 2571 0300</t>
        </is>
      </c>
      <c r="F1214" s="66" t="n"/>
      <c r="G1214" s="66" t="n"/>
      <c r="H1214" s="66" t="n"/>
      <c r="I1214" s="66" t="inlineStr">
        <is>
          <t>77.461.750-7</t>
        </is>
      </c>
      <c r="J1214" s="66" t="n"/>
      <c r="K1214" s="66" t="inlineStr">
        <is>
          <t>Ventas: GRANDE (Estimado por Empleados) | Empleados: 301</t>
        </is>
      </c>
      <c r="L1214" s="61" t="n"/>
      <c r="M1214" s="61" t="n"/>
      <c r="N1214" s="61" t="n"/>
      <c r="O1214" s="61" t="n"/>
      <c r="P1214" s="61" t="n"/>
      <c r="Q1214" s="62" t="n"/>
      <c r="R1214" s="61" t="n"/>
    </row>
    <row r="1215" ht="15.75" customHeight="1" s="38">
      <c r="A1215" s="59" t="inlineStr">
        <is>
          <t>Limfosep S.A.</t>
        </is>
      </c>
      <c r="B1215" s="59" t="inlineStr">
        <is>
          <t>Residuos y Soluciones Ambientales, Tratamiento de Aguas Residuales</t>
        </is>
      </c>
      <c r="C1215" s="59" t="inlineStr">
        <is>
          <t>Antofagasta</t>
        </is>
      </c>
      <c r="D1215" s="59" t="inlineStr">
        <is>
          <t>servicios@limfosep.cl</t>
        </is>
      </c>
      <c r="E1215" s="59" t="inlineStr">
        <is>
          <t>(56) 9 6677 0095</t>
        </is>
      </c>
      <c r="F1215" s="59" t="inlineStr">
        <is>
          <t>Pablo Leiva (Gerente General)</t>
        </is>
      </c>
      <c r="G1215" s="59" t="inlineStr">
        <is>
          <t>pleiva@limfosep.cl</t>
        </is>
      </c>
      <c r="H1215" s="59" t="n"/>
      <c r="I1215" s="59" t="inlineStr">
        <is>
          <t>76556530-8</t>
        </is>
      </c>
      <c r="J1215" s="59" t="inlineStr">
        <is>
          <t>Investigación en Proceso</t>
        </is>
      </c>
      <c r="K1215" s="59" t="inlineStr">
        <is>
          <t>Ventas: GRANDE 3 (600.000 - 1.000.000 UF) | Empleados: 253</t>
        </is>
      </c>
      <c r="L1215" s="61" t="n"/>
      <c r="M1215" s="61" t="n"/>
      <c r="N1215" s="61" t="n"/>
      <c r="O1215" s="61" t="n"/>
      <c r="P1215" s="61" t="n"/>
      <c r="Q1215" s="62" t="n"/>
      <c r="R1215" s="61" t="n"/>
    </row>
    <row r="1216" ht="15.75" customHeight="1" s="38">
      <c r="A1216" s="66" t="inlineStr">
        <is>
          <t>Lioi y Cía. Ltda.</t>
        </is>
      </c>
      <c r="B1216" s="66" t="inlineStr">
        <is>
          <t>Productos para la Construcción, Ropa de Seguridad</t>
        </is>
      </c>
      <c r="C1216" s="66" t="inlineStr">
        <is>
          <t>Santiago</t>
        </is>
      </c>
      <c r="D1216" s="66" t="inlineStr">
        <is>
          <t>contactoweb@lioi.cl</t>
        </is>
      </c>
      <c r="E1216" s="66" t="inlineStr">
        <is>
          <t>(56) 2 2599 2000</t>
        </is>
      </c>
      <c r="F1216" s="66" t="n"/>
      <c r="G1216" s="66" t="n"/>
      <c r="H1216" s="66" t="n"/>
      <c r="I1216" s="66" t="inlineStr">
        <is>
          <t>83.574.800-6</t>
        </is>
      </c>
      <c r="J1216" s="66" t="n"/>
      <c r="K1216" s="66" t="inlineStr">
        <is>
          <t>Ventas: GRANDE (Estimado por Empleados) | Empleados: 484</t>
        </is>
      </c>
      <c r="L1216" s="61" t="n"/>
      <c r="M1216" s="61" t="n"/>
      <c r="N1216" s="61" t="n"/>
      <c r="O1216" s="61" t="n"/>
      <c r="P1216" s="61" t="n"/>
      <c r="Q1216" s="62" t="n"/>
      <c r="R1216" s="61" t="n"/>
    </row>
    <row r="1217" ht="15.75" customHeight="1" s="38">
      <c r="A1217" s="66" t="inlineStr">
        <is>
          <t>Liplata Ltda.</t>
        </is>
      </c>
      <c r="B1217" s="66" t="inlineStr">
        <is>
          <t>Acido Bórico, Sulfato de Potasio</t>
        </is>
      </c>
      <c r="C1217" s="66" t="inlineStr">
        <is>
          <t>Santiago</t>
        </is>
      </c>
      <c r="D1217" s="66" t="inlineStr">
        <is>
          <t>cotizaciones@liplata.com</t>
        </is>
      </c>
      <c r="E1217" s="66" t="inlineStr">
        <is>
          <t>(56) 2 2449 1420</t>
        </is>
      </c>
      <c r="F1217" s="66" t="n"/>
      <c r="G1217" s="66" t="n"/>
      <c r="H1217" s="66" t="n"/>
      <c r="I1217" s="66" t="inlineStr">
        <is>
          <t>89.962.800-4</t>
        </is>
      </c>
      <c r="J1217" s="66" t="n"/>
      <c r="K1217" s="66" t="inlineStr">
        <is>
          <t>Ventas: GRANDE 2 (200.000 - 600.000 UF) | Empleados: 35</t>
        </is>
      </c>
      <c r="L1217" s="61" t="n"/>
      <c r="M1217" s="61" t="n"/>
      <c r="N1217" s="61" t="n"/>
      <c r="O1217" s="61" t="n"/>
      <c r="P1217" s="61" t="n"/>
      <c r="Q1217" s="62" t="n"/>
      <c r="R1217" s="61" t="n"/>
    </row>
    <row r="1218" ht="15.75" customHeight="1" s="38">
      <c r="A1218" s="66" t="inlineStr">
        <is>
          <t>Liqui Moly Chile S.A.</t>
        </is>
      </c>
      <c r="B1218" s="66" t="inlineStr">
        <is>
          <t>Productos para la Minería</t>
        </is>
      </c>
      <c r="C1218" s="66" t="inlineStr">
        <is>
          <t>Santiago</t>
        </is>
      </c>
      <c r="D1218" s="66" t="inlineStr">
        <is>
          <t>ventas@liqui-moly.cl</t>
        </is>
      </c>
      <c r="E1218" s="66" t="inlineStr">
        <is>
          <t>(56) 2 2332 2100</t>
        </is>
      </c>
      <c r="F1218" s="66" t="inlineStr">
        <is>
          <t>Gerente de TI / CIO (Director de Tecnología)</t>
        </is>
      </c>
      <c r="G1218" s="66" t="n"/>
      <c r="H1218" s="66" t="n"/>
      <c r="I1218" s="66" t="inlineStr">
        <is>
          <t>86.868.900-5</t>
        </is>
      </c>
      <c r="J1218" s="66" t="n"/>
      <c r="K1218" s="66" t="inlineStr">
        <is>
          <t>Ventas: GRANDE 3 (600.000 - 1.000.000 UF) | Empleados: 112</t>
        </is>
      </c>
      <c r="L1218" s="61" t="n"/>
      <c r="M1218" s="61" t="n"/>
      <c r="N1218" s="61" t="n"/>
      <c r="O1218" s="61" t="n"/>
      <c r="P1218" s="61" t="n"/>
      <c r="Q1218" s="62" t="n"/>
      <c r="R1218" s="61" t="n"/>
    </row>
    <row r="1219" ht="15.75" customHeight="1" s="38">
      <c r="A1219" s="66" t="inlineStr">
        <is>
          <t>LocalSupply</t>
        </is>
      </c>
      <c r="B1219" s="66" t="inlineStr">
        <is>
          <t>Proveedor Destacado, Plataforma de Compras</t>
        </is>
      </c>
      <c r="C1219" s="66" t="inlineStr">
        <is>
          <t>Santiago</t>
        </is>
      </c>
      <c r="D1219" s="66" t="inlineStr">
        <is>
          <t>info@localsupply.cl</t>
        </is>
      </c>
      <c r="E1219" s="66" t="inlineStr">
        <is>
          <t>(56) 2 2869 3373</t>
        </is>
      </c>
      <c r="F1219" s="66" t="inlineStr">
        <is>
          <t>Gerente de TI / CIO (Director de Tecnología)</t>
        </is>
      </c>
      <c r="G1219" s="66" t="n"/>
      <c r="H1219" s="66" t="n"/>
      <c r="I1219" s="66" t="inlineStr">
        <is>
          <t>77.851.489-3</t>
        </is>
      </c>
      <c r="J1219" s="66" t="n"/>
      <c r="K1219" s="66" t="inlineStr">
        <is>
          <t>Ventas: GRANDE 3 (600.000 - 1.000.000 UF) | Empleados: 9</t>
        </is>
      </c>
      <c r="L1219" s="61" t="n"/>
      <c r="M1219" s="61" t="n"/>
      <c r="N1219" s="61" t="n"/>
      <c r="O1219" s="61" t="n"/>
      <c r="P1219" s="61" t="n"/>
      <c r="Q1219" s="62" t="n"/>
      <c r="R1219" s="61" t="n"/>
    </row>
    <row r="1220" ht="15.75" customHeight="1" s="38">
      <c r="A1220" s="66" t="inlineStr">
        <is>
          <t>Lockerplus</t>
        </is>
      </c>
      <c r="B1220" s="66" t="inlineStr">
        <is>
          <t>Equipamiento Minero</t>
        </is>
      </c>
      <c r="C1220" s="66" t="inlineStr">
        <is>
          <t>Santiago</t>
        </is>
      </c>
      <c r="D1220" s="66" t="inlineStr">
        <is>
          <t>contacto@lockerplus.cl</t>
        </is>
      </c>
      <c r="E1220" s="66" t="inlineStr">
        <is>
          <t>(56) 9 9445 7668</t>
        </is>
      </c>
      <c r="F1220" s="66" t="n"/>
      <c r="G1220" s="66" t="n"/>
      <c r="H1220" s="66" t="n"/>
      <c r="I1220" s="66" t="inlineStr">
        <is>
          <t>76574927-1</t>
        </is>
      </c>
      <c r="J1220" s="66" t="n"/>
      <c r="K1220" s="66" t="inlineStr">
        <is>
          <t>Ventas: GRANDE 1 (100.000 - 200.000 UF) | Empleados: 8</t>
        </is>
      </c>
      <c r="L1220" s="61" t="n"/>
      <c r="M1220" s="61" t="n"/>
      <c r="N1220" s="61" t="n"/>
      <c r="O1220" s="61" t="n"/>
      <c r="P1220" s="61" t="n"/>
      <c r="Q1220" s="62" t="n"/>
      <c r="R1220" s="61" t="n"/>
    </row>
    <row r="1221" ht="15.75" customHeight="1" s="38">
      <c r="A1221" s="66" t="inlineStr">
        <is>
          <t>Loe Electricidad</t>
        </is>
      </c>
      <c r="B1221" s="66" t="inlineStr">
        <is>
          <t>Electricidad</t>
        </is>
      </c>
      <c r="C1221" s="66" t="inlineStr">
        <is>
          <t>Santiago</t>
        </is>
      </c>
      <c r="D1221" s="66" t="inlineStr">
        <is>
          <t>contacto@loelectricidad.com</t>
        </is>
      </c>
      <c r="E1221" s="66" t="inlineStr">
        <is>
          <t>(56) 9 5225 8980</t>
        </is>
      </c>
      <c r="F1221" s="66" t="n"/>
      <c r="G1221" s="66" t="n"/>
      <c r="H1221" s="66" t="n"/>
      <c r="I1221" s="66" t="inlineStr">
        <is>
          <t>76418625-7</t>
        </is>
      </c>
      <c r="J1221" s="66" t="n"/>
      <c r="K1221" s="66" t="inlineStr">
        <is>
          <t>Ventas: MEDIANA 1 (25.000 - 50.000 UF) | Empleados: 7</t>
        </is>
      </c>
      <c r="L1221" s="61" t="n"/>
      <c r="M1221" s="61" t="n"/>
      <c r="N1221" s="61" t="n"/>
      <c r="O1221" s="61" t="n"/>
      <c r="P1221" s="61" t="n"/>
      <c r="Q1221" s="62" t="n"/>
      <c r="R1221" s="61" t="n"/>
    </row>
    <row r="1222" ht="15.75" customHeight="1" s="38">
      <c r="A1222" s="66" t="inlineStr">
        <is>
          <t>Logística y Transportes Schneider SpA</t>
        </is>
      </c>
      <c r="B1222" s="66" t="inlineStr">
        <is>
          <t>Transporte de Carga Pesada</t>
        </is>
      </c>
      <c r="C1222" s="66" t="inlineStr">
        <is>
          <t>Quillota</t>
        </is>
      </c>
      <c r="D1222" s="66" t="inlineStr">
        <is>
          <t>contacto@logisticaschneider.cl</t>
        </is>
      </c>
      <c r="E1222" s="66" t="inlineStr">
        <is>
          <t>(56) 9 4011 2626</t>
        </is>
      </c>
      <c r="F1222" s="66" t="n"/>
      <c r="G1222" s="66" t="n"/>
      <c r="H1222" s="66" t="n"/>
      <c r="I1222" s="66" t="inlineStr">
        <is>
          <t>76.702.022-8</t>
        </is>
      </c>
      <c r="J1222" s="66" t="n"/>
      <c r="K1222" s="66" t="inlineStr">
        <is>
          <t>Ventas: PEQUEÑA 3 (10.000 - 25.000 UF) | Empleados: 2</t>
        </is>
      </c>
      <c r="L1222" s="61" t="n"/>
      <c r="M1222" s="61" t="n"/>
      <c r="N1222" s="61" t="n"/>
      <c r="O1222" s="61" t="n"/>
      <c r="P1222" s="61" t="n"/>
      <c r="Q1222" s="62" t="n"/>
      <c r="R1222" s="61" t="n"/>
    </row>
    <row r="1223" ht="15.75" customHeight="1" s="38">
      <c r="A1223" s="66" t="inlineStr">
        <is>
          <t>Longyan Chile</t>
        </is>
      </c>
      <c r="B1223" s="66" t="inlineStr">
        <is>
          <t>Cargadores Frontales, Retroexcavadoras</t>
        </is>
      </c>
      <c r="C1223" s="66" t="inlineStr">
        <is>
          <t>Antofagasta</t>
        </is>
      </c>
      <c r="D1223" s="66" t="inlineStr">
        <is>
          <t>javier@lonking.cl</t>
        </is>
      </c>
      <c r="E1223" s="66" t="inlineStr">
        <is>
          <t>(56) 9 4920 5037</t>
        </is>
      </c>
      <c r="F1223" s="66" t="n"/>
      <c r="G1223" s="66" t="n"/>
      <c r="H1223" s="66" t="n"/>
      <c r="I1223" s="66" t="inlineStr">
        <is>
          <t>77095608-0</t>
        </is>
      </c>
      <c r="J1223" s="66" t="n"/>
      <c r="K1223" s="66" t="inlineStr">
        <is>
          <t>Ventas: MICRO 1 (0.01 - 200 UF) | Empleados: 0</t>
        </is>
      </c>
      <c r="L1223" s="61" t="n"/>
      <c r="M1223" s="61" t="n"/>
      <c r="N1223" s="61" t="n"/>
      <c r="O1223" s="61" t="n"/>
      <c r="P1223" s="61" t="n"/>
      <c r="Q1223" s="62" t="n"/>
      <c r="R1223" s="61" t="n"/>
    </row>
    <row r="1224" ht="15.75" customHeight="1" s="38">
      <c r="A1224" s="59" t="inlineStr">
        <is>
          <t>Lorbrand S.A.</t>
        </is>
      </c>
      <c r="B1224" s="59" t="inlineStr">
        <is>
          <t>Componentes para Correas Transportadoras, Polines Centradores para Correas Transportadoras</t>
        </is>
      </c>
      <c r="C1224" s="59" t="inlineStr">
        <is>
          <t>Antofagasta</t>
        </is>
      </c>
      <c r="D1224" s="59" t="inlineStr">
        <is>
          <t>info@lorbrand.cl</t>
        </is>
      </c>
      <c r="E1224" s="59" t="inlineStr">
        <is>
          <t>(56) 55 249 2116</t>
        </is>
      </c>
      <c r="F1224" s="59" t="inlineStr">
        <is>
          <t>Felipe Alvial Navarrete (Gerente General)</t>
        </is>
      </c>
      <c r="G1224" s="59" t="n"/>
      <c r="H1224" s="59" t="n"/>
      <c r="I1224" s="59" t="inlineStr">
        <is>
          <t>76.009.735-7</t>
        </is>
      </c>
      <c r="J1224" s="59" t="inlineStr">
        <is>
          <t>Fabricación Componentes Transportadoras Pesadas</t>
        </is>
      </c>
      <c r="K1224" s="59" t="inlineStr">
        <is>
          <t>Ventas: GRANDE 2 (200.000 - 600.000 UF) | Empleados: 58</t>
        </is>
      </c>
      <c r="L1224" s="61" t="n"/>
      <c r="M1224" s="61" t="n"/>
      <c r="N1224" s="61" t="n"/>
      <c r="O1224" s="61" t="n"/>
      <c r="P1224" s="61" t="n"/>
      <c r="Q1224" s="62" t="n"/>
      <c r="R1224" s="61" t="n"/>
    </row>
    <row r="1225" ht="15.75" customHeight="1" s="38">
      <c r="A1225" s="66" t="inlineStr">
        <is>
          <t>LTI Cargo</t>
        </is>
      </c>
      <c r="B1225" s="66" t="inlineStr">
        <is>
          <t>Transporte Multimodal</t>
        </is>
      </c>
      <c r="C1225" s="66" t="inlineStr">
        <is>
          <t>Santiago</t>
        </is>
      </c>
      <c r="D1225" s="66" t="inlineStr">
        <is>
          <t>recepcion@lticargo.cl</t>
        </is>
      </c>
      <c r="E1225" s="66" t="inlineStr">
        <is>
          <t>(56) 9 8785 8110</t>
        </is>
      </c>
      <c r="F1225" s="66" t="n"/>
      <c r="G1225" s="66" t="n"/>
      <c r="H1225" s="66" t="n"/>
      <c r="I1225" s="66" t="inlineStr">
        <is>
          <t>77.375.226-5</t>
        </is>
      </c>
      <c r="J1225" s="66" t="n"/>
      <c r="K1225" s="66" t="inlineStr">
        <is>
          <t>Ventas: PEQUEÑA 1 (2.400 - 5.000 UF) | Empleados: 0</t>
        </is>
      </c>
      <c r="L1225" s="61" t="n"/>
      <c r="M1225" s="61" t="n"/>
      <c r="N1225" s="61" t="n"/>
      <c r="O1225" s="61" t="n"/>
      <c r="P1225" s="61" t="n"/>
      <c r="Q1225" s="62" t="n"/>
      <c r="R1225" s="61" t="n"/>
    </row>
    <row r="1226" ht="15.75" customHeight="1" s="38">
      <c r="A1226" s="66" t="inlineStr">
        <is>
          <t>Luagher Ltda.</t>
        </is>
      </c>
      <c r="B1226" s="66" t="inlineStr">
        <is>
          <t>Tecles</t>
        </is>
      </c>
      <c r="C1226" s="66" t="inlineStr">
        <is>
          <t>Santiago</t>
        </is>
      </c>
      <c r="D1226" s="66" t="inlineStr">
        <is>
          <t>elizabeth.lund@luagher.cl</t>
        </is>
      </c>
      <c r="E1226" s="66" t="inlineStr">
        <is>
          <t>(56) 2 2538 4017</t>
        </is>
      </c>
      <c r="F1226" s="66" t="inlineStr">
        <is>
          <t>Gerente de TI / CIO (Director de Tecnología)</t>
        </is>
      </c>
      <c r="G1226" s="66" t="n"/>
      <c r="H1226" s="66" t="n"/>
      <c r="I1226" s="66" t="inlineStr">
        <is>
          <t>78.745.040-7</t>
        </is>
      </c>
      <c r="J1226" s="66" t="n"/>
      <c r="K1226" s="66" t="inlineStr">
        <is>
          <t>Ventas: GRANDE 3 (600.000 - 1.000.000 UF) | Empleados: 344</t>
        </is>
      </c>
      <c r="L1226" s="61" t="n"/>
      <c r="M1226" s="61" t="n"/>
      <c r="N1226" s="61" t="n"/>
      <c r="O1226" s="61" t="n"/>
      <c r="P1226" s="61" t="n"/>
      <c r="Q1226" s="62" t="n"/>
      <c r="R1226" s="61" t="n"/>
    </row>
    <row r="1227" ht="15.75" customHeight="1" s="38">
      <c r="A1227" s="66" t="inlineStr">
        <is>
          <t>Lubricantes Industriales</t>
        </is>
      </c>
      <c r="B1227" s="66" t="inlineStr">
        <is>
          <t>Equipos de Lubricación</t>
        </is>
      </c>
      <c r="C1227" s="66" t="inlineStr">
        <is>
          <t>Santiago</t>
        </is>
      </c>
      <c r="D1227" s="66" t="inlineStr">
        <is>
          <t>contacto@lubricantesindustriales.cl</t>
        </is>
      </c>
      <c r="E1227" s="66" t="inlineStr">
        <is>
          <t>(56) 2 2635 2641</t>
        </is>
      </c>
      <c r="F1227" s="66" t="n"/>
      <c r="G1227" s="66" t="n"/>
      <c r="H1227" s="66" t="n"/>
      <c r="I1227" s="66" t="inlineStr">
        <is>
          <t>76575992-7</t>
        </is>
      </c>
      <c r="J1227" s="66" t="n"/>
      <c r="K1227" s="66" t="inlineStr">
        <is>
          <t>Ventas: PEQUEÑA 1 (2.400 - 5.000 UF) | Empleados: 0</t>
        </is>
      </c>
      <c r="L1227" s="61" t="n"/>
      <c r="M1227" s="61" t="n"/>
      <c r="N1227" s="61" t="n"/>
      <c r="O1227" s="61" t="n"/>
      <c r="P1227" s="61" t="n"/>
      <c r="Q1227" s="62" t="n"/>
      <c r="R1227" s="61" t="n"/>
    </row>
    <row r="1228" ht="15.75" customHeight="1" s="38">
      <c r="A1228" s="66" t="inlineStr">
        <is>
          <t>Lubrisider Chile S.A.</t>
        </is>
      </c>
      <c r="B1228" s="66" t="inlineStr">
        <is>
          <t>Análisis de Lubricantes, Regeneración de Aceite para Transformadores</t>
        </is>
      </c>
      <c r="C1228" s="66" t="inlineStr">
        <is>
          <t>Santiago</t>
        </is>
      </c>
      <c r="D1228" s="66" t="n"/>
      <c r="E1228" s="66" t="inlineStr">
        <is>
          <t>(56) 2 2596 7521</t>
        </is>
      </c>
      <c r="F1228" s="66" t="inlineStr">
        <is>
          <t>Gerente de TI / CIO (Director de Tecnología)</t>
        </is>
      </c>
      <c r="G1228" s="66" t="n"/>
      <c r="H1228" s="66" t="n"/>
      <c r="I1228" s="66" t="inlineStr">
        <is>
          <t>96.836.320-4</t>
        </is>
      </c>
      <c r="J1228" s="66" t="n"/>
      <c r="K1228" s="66" t="inlineStr">
        <is>
          <t>Ventas: GRANDE 3 (600.000 - 1.000.000 UF) | Empleados: 174</t>
        </is>
      </c>
      <c r="L1228" s="61" t="n"/>
      <c r="M1228" s="61" t="n"/>
      <c r="N1228" s="61" t="n"/>
      <c r="O1228" s="61" t="n"/>
      <c r="P1228" s="61" t="n"/>
      <c r="Q1228" s="62" t="n"/>
      <c r="R1228" s="61" t="n"/>
    </row>
    <row r="1229" ht="15.75" customHeight="1" s="38">
      <c r="A1229" s="59" t="inlineStr">
        <is>
          <t>Luksic Zuanic S.A.</t>
        </is>
      </c>
      <c r="B1229" s="59" t="inlineStr">
        <is>
          <t>Transmisión de Potencia</t>
        </is>
      </c>
      <c r="C1229" s="59" t="inlineStr">
        <is>
          <t>Santiago</t>
        </is>
      </c>
      <c r="D1229" s="59" t="inlineStr">
        <is>
          <t>luksic@luksiczuanic.cl</t>
        </is>
      </c>
      <c r="E1229" s="59" t="inlineStr">
        <is>
          <t>(56) 2 2347 6600</t>
        </is>
      </c>
      <c r="F1229" s="59" t="inlineStr">
        <is>
          <t>Yerko Zuanic (Gerente Comercial (Decision Maker))</t>
        </is>
      </c>
      <c r="G1229" s="59" t="inlineStr">
        <is>
          <t>yzuanic@luksiczuanic.cl</t>
        </is>
      </c>
      <c r="H1229" s="59" t="n"/>
      <c r="I1229" s="59" t="inlineStr">
        <is>
          <t>80.570.200-1</t>
        </is>
      </c>
      <c r="J1229" s="59" t="inlineStr">
        <is>
          <t>Investigación en Proceso</t>
        </is>
      </c>
      <c r="K1229" s="59" t="inlineStr">
        <is>
          <t>Ventas: GRANDE 3 (600.000 - 1.000.000 UF) | Empleados: 132</t>
        </is>
      </c>
      <c r="L1229" s="61" t="n"/>
      <c r="M1229" s="61" t="n"/>
      <c r="N1229" s="61" t="n"/>
      <c r="O1229" s="61" t="n"/>
      <c r="P1229" s="61" t="n"/>
      <c r="Q1229" s="62" t="n"/>
      <c r="R1229" s="61" t="n"/>
    </row>
    <row r="1230" ht="15.75" customHeight="1" s="38">
      <c r="A1230" s="66" t="inlineStr">
        <is>
          <t>Lumisolar Ltda.</t>
        </is>
      </c>
      <c r="B1230" s="66" t="inlineStr">
        <is>
          <t>Energía Eólica, Energía Solar</t>
        </is>
      </c>
      <c r="C1230" s="66" t="inlineStr">
        <is>
          <t>Santiago</t>
        </is>
      </c>
      <c r="D1230" s="66" t="inlineStr">
        <is>
          <t>ventas@lumisolar.cl</t>
        </is>
      </c>
      <c r="E1230" s="66" t="inlineStr">
        <is>
          <t>(56) 2 2415 2773</t>
        </is>
      </c>
      <c r="F1230" s="66" t="n"/>
      <c r="G1230" s="66" t="n"/>
      <c r="H1230" s="66" t="n"/>
      <c r="I1230" s="66" t="inlineStr">
        <is>
          <t>76.201.640-0</t>
        </is>
      </c>
      <c r="J1230" s="66" t="n"/>
      <c r="K1230" s="66" t="inlineStr">
        <is>
          <t>Ventas: PEQUEÑA 1 (2.400 - 5.000 UF) | Empleados: 1</t>
        </is>
      </c>
      <c r="L1230" s="61" t="n"/>
      <c r="M1230" s="61" t="n"/>
      <c r="N1230" s="61" t="n"/>
      <c r="O1230" s="61" t="n"/>
      <c r="P1230" s="61" t="n"/>
      <c r="Q1230" s="62" t="n"/>
      <c r="R1230" s="61" t="n"/>
    </row>
    <row r="1231" ht="15.75" customHeight="1" s="38">
      <c r="A1231" s="59" t="inlineStr">
        <is>
          <t>Lundin Mining</t>
        </is>
      </c>
      <c r="B1231" s="59" t="inlineStr">
        <is>
          <t>Cobre, Plomo</t>
        </is>
      </c>
      <c r="C1231" s="59" t="inlineStr">
        <is>
          <t>Santiago</t>
        </is>
      </c>
      <c r="D1231" s="59" t="inlineStr">
        <is>
          <t>info@lundinmining.com</t>
        </is>
      </c>
      <c r="E1231" s="59" t="inlineStr">
        <is>
          <t>(56) 52 246 1617</t>
        </is>
      </c>
      <c r="F1231" s="59" t="inlineStr">
        <is>
          <t>Sergio Retamal (Regional IT Manager)</t>
        </is>
      </c>
      <c r="G1231" s="59" t="n"/>
      <c r="H1231" s="59" t="n"/>
      <c r="I1231" s="59" t="inlineStr">
        <is>
          <t>76.263.093-1</t>
        </is>
      </c>
      <c r="J1231" s="59" t="inlineStr">
        <is>
          <t>Sistemas Mineros Avanzados</t>
        </is>
      </c>
      <c r="K1231" s="59" t="inlineStr">
        <is>
          <t>Ventas: GRANDE 3 (600.000 - 1.000.000 UF) | Empleados: 20</t>
        </is>
      </c>
      <c r="L1231" s="61" t="n"/>
      <c r="M1231" s="61" t="n"/>
      <c r="N1231" s="61" t="n"/>
      <c r="O1231" s="61" t="n"/>
      <c r="P1231" s="61" t="n"/>
      <c r="Q1231" s="62" t="n"/>
      <c r="R1231" s="61" t="n"/>
    </row>
    <row r="1232" ht="15.75" customHeight="1" s="38">
      <c r="A1232" s="66" t="inlineStr">
        <is>
          <t>Lymflex Ltda.</t>
        </is>
      </c>
      <c r="B1232" s="66" t="inlineStr">
        <is>
          <t>Carpas y Toldos</t>
        </is>
      </c>
      <c r="C1232" s="66" t="inlineStr">
        <is>
          <t>Concepción</t>
        </is>
      </c>
      <c r="D1232" s="66" t="inlineStr">
        <is>
          <t>contacto@lymflex.cl</t>
        </is>
      </c>
      <c r="E1232" s="66" t="inlineStr">
        <is>
          <t>(56) 41 252 0050</t>
        </is>
      </c>
      <c r="F1232" s="66" t="n"/>
      <c r="G1232" s="66" t="n"/>
      <c r="H1232" s="66" t="n"/>
      <c r="I1232" s="66" t="inlineStr">
        <is>
          <t>77.915.270-7</t>
        </is>
      </c>
      <c r="J1232" s="66" t="n"/>
      <c r="K1232" s="66" t="inlineStr">
        <is>
          <t>Ventas: MEDIANA 1 (25.000 - 50.000 UF) | Empleados: 29</t>
        </is>
      </c>
      <c r="L1232" s="61" t="n"/>
      <c r="M1232" s="61" t="n"/>
      <c r="N1232" s="61" t="n"/>
      <c r="O1232" s="61" t="n"/>
      <c r="P1232" s="61" t="n"/>
      <c r="Q1232" s="62" t="n"/>
      <c r="R1232" s="61" t="n"/>
    </row>
    <row r="1233" ht="15.75" customHeight="1" s="38">
      <c r="A1233" s="66" t="inlineStr">
        <is>
          <t>M4TS Mining Support</t>
        </is>
      </c>
      <c r="B1233" s="66" t="inlineStr">
        <is>
          <t>Alimentadores para Correas Transportadoras, Polines, Rodillos para Correas Transportadoras</t>
        </is>
      </c>
      <c r="C1233" s="66" t="inlineStr">
        <is>
          <t>Santiago</t>
        </is>
      </c>
      <c r="D1233" s="66" t="inlineStr">
        <is>
          <t>info@m4ts.cl</t>
        </is>
      </c>
      <c r="E1233" s="66" t="inlineStr">
        <is>
          <t>(56) 2 2234 4418</t>
        </is>
      </c>
      <c r="F1233" s="66" t="n"/>
      <c r="G1233" s="66" t="n"/>
      <c r="H1233" s="66" t="n"/>
      <c r="I1233" s="66" t="inlineStr">
        <is>
          <t>76.450.608-1</t>
        </is>
      </c>
      <c r="J1233" s="66" t="n"/>
      <c r="K1233" s="66" t="inlineStr">
        <is>
          <t>Ventas: GRANDE 1 (100.000 - 200.000 UF) | Empleados: 15</t>
        </is>
      </c>
      <c r="L1233" s="61" t="n"/>
      <c r="M1233" s="61" t="n"/>
      <c r="N1233" s="61" t="n"/>
      <c r="O1233" s="61" t="n"/>
      <c r="P1233" s="61" t="n"/>
      <c r="Q1233" s="62" t="n"/>
      <c r="R1233" s="61" t="n"/>
    </row>
    <row r="1234" ht="15.75" customHeight="1" s="38">
      <c r="A1234" s="66" t="inlineStr">
        <is>
          <t>Mabest</t>
        </is>
      </c>
      <c r="B1234" s="66" t="inlineStr">
        <is>
          <t>Consultoría en Recursos Humanos</t>
        </is>
      </c>
      <c r="C1234" s="66" t="inlineStr">
        <is>
          <t>Santiago</t>
        </is>
      </c>
      <c r="D1234" s="66" t="inlineStr">
        <is>
          <t>contacto@mabest.cl</t>
        </is>
      </c>
      <c r="E1234" s="66" t="inlineStr">
        <is>
          <t>(56) 9 5879 9166</t>
        </is>
      </c>
      <c r="F1234" s="66" t="n"/>
      <c r="G1234" s="66" t="n"/>
      <c r="H1234" s="66" t="n"/>
      <c r="I1234" s="66" t="inlineStr">
        <is>
          <t>76.430.173-0</t>
        </is>
      </c>
      <c r="J1234" s="66" t="n"/>
      <c r="K1234" s="66" t="inlineStr">
        <is>
          <t>Ventas: PEQUEÑA 1 (2.400 - 5.000 UF) | Empleados: 1</t>
        </is>
      </c>
      <c r="L1234" s="61" t="n"/>
      <c r="M1234" s="61" t="n"/>
      <c r="N1234" s="61" t="n"/>
      <c r="O1234" s="61" t="n"/>
      <c r="P1234" s="61" t="n"/>
      <c r="Q1234" s="62" t="n"/>
      <c r="R1234" s="61" t="n"/>
    </row>
    <row r="1235" ht="15.75" customHeight="1" s="38">
      <c r="A1235" s="66" t="inlineStr">
        <is>
          <t>Macaya</t>
        </is>
      </c>
      <c r="B1235" s="66" t="inlineStr">
        <is>
          <t>Accesorios para Seguridad, Artículos para la Minería</t>
        </is>
      </c>
      <c r="C1235" s="66" t="inlineStr">
        <is>
          <t>Santiago</t>
        </is>
      </c>
      <c r="D1235" s="66" t="inlineStr">
        <is>
          <t>contacto@macayasafety.cl</t>
        </is>
      </c>
      <c r="E1235" s="66" t="inlineStr">
        <is>
          <t>(56) 2 2964 7940</t>
        </is>
      </c>
      <c r="F1235" s="66" t="n"/>
      <c r="G1235" s="66" t="n"/>
      <c r="H1235" s="66" t="n"/>
      <c r="I1235" s="66" t="inlineStr">
        <is>
          <t>76.013.474-0</t>
        </is>
      </c>
      <c r="J1235" s="66" t="n"/>
      <c r="K1235" s="66" t="inlineStr">
        <is>
          <t>Ventas: GRANDE 2 (200.000 - 600.000 UF) | Empleados: 43</t>
        </is>
      </c>
      <c r="L1235" s="61" t="n"/>
      <c r="M1235" s="61" t="n"/>
      <c r="N1235" s="61" t="n"/>
      <c r="O1235" s="61" t="n"/>
      <c r="P1235" s="61" t="n"/>
      <c r="Q1235" s="62" t="n"/>
      <c r="R1235" s="61" t="n"/>
    </row>
    <row r="1236" ht="15.75" customHeight="1" s="38">
      <c r="A1236" s="66" t="inlineStr">
        <is>
          <t>Maco Tattersall</t>
        </is>
      </c>
      <c r="B1236" s="66" t="inlineStr">
        <is>
          <t>Camiones, Camiones Pesados para la Construcción</t>
        </is>
      </c>
      <c r="C1236" s="66" t="inlineStr">
        <is>
          <t>Santiago</t>
        </is>
      </c>
      <c r="D1236" s="66" t="inlineStr">
        <is>
          <t>contacto@maco.cl</t>
        </is>
      </c>
      <c r="E1236" s="66" t="inlineStr">
        <is>
          <t>800 362 001</t>
        </is>
      </c>
      <c r="F1236" s="66" t="n"/>
      <c r="G1236" s="66" t="n"/>
      <c r="H1236" s="66" t="n"/>
      <c r="I1236" s="66" t="inlineStr">
        <is>
          <t>76.257.513-2</t>
        </is>
      </c>
      <c r="J1236" s="66" t="n"/>
      <c r="K1236" s="66" t="inlineStr">
        <is>
          <t>Ventas: PEQUEÑA 3 (10.000 - 25.000 UF) | Empleados: 0</t>
        </is>
      </c>
      <c r="L1236" s="61" t="n"/>
      <c r="M1236" s="61" t="n"/>
      <c r="N1236" s="61" t="n"/>
      <c r="O1236" s="61" t="n"/>
      <c r="P1236" s="61" t="n"/>
      <c r="Q1236" s="62" t="n"/>
      <c r="R1236" s="61" t="n"/>
    </row>
    <row r="1237" ht="15.75" customHeight="1" s="38">
      <c r="A1237" s="66" t="inlineStr">
        <is>
          <t>MacroFer</t>
        </is>
      </c>
      <c r="B1237" s="66" t="inlineStr">
        <is>
          <t>Equipos de Filtración</t>
        </is>
      </c>
      <c r="C1237" s="66" t="inlineStr">
        <is>
          <t>Antofagasta</t>
        </is>
      </c>
      <c r="D1237" s="66" t="inlineStr">
        <is>
          <t>contacto@macrofer.cl</t>
        </is>
      </c>
      <c r="E1237" s="66" t="inlineStr">
        <is>
          <t>(56) 9 7667 2345</t>
        </is>
      </c>
      <c r="F1237" s="66" t="n"/>
      <c r="G1237" s="66" t="n"/>
      <c r="H1237" s="66" t="n"/>
      <c r="I1237" s="66" t="inlineStr">
        <is>
          <t>77.325.653-5</t>
        </is>
      </c>
      <c r="J1237" s="66" t="n"/>
      <c r="K1237" s="66" t="inlineStr">
        <is>
          <t>Ventas: GRANDE 1 (100.000 - 200.000 UF) | Empleados: 5</t>
        </is>
      </c>
      <c r="L1237" s="61" t="n"/>
      <c r="M1237" s="61" t="n"/>
      <c r="N1237" s="61" t="n"/>
      <c r="O1237" s="61" t="n"/>
      <c r="P1237" s="61" t="n"/>
      <c r="Q1237" s="62" t="n"/>
      <c r="R1237" s="61" t="n"/>
    </row>
    <row r="1238" ht="15.75" customHeight="1" s="38">
      <c r="A1238" s="66" t="inlineStr">
        <is>
          <t>Maestranza Diesel S.A.</t>
        </is>
      </c>
      <c r="B1238" s="66" t="inlineStr">
        <is>
          <t>Bombas</t>
        </is>
      </c>
      <c r="C1238" s="66" t="inlineStr">
        <is>
          <t>Santiago</t>
        </is>
      </c>
      <c r="D1238" s="66" t="inlineStr">
        <is>
          <t>ventas@md.cl</t>
        </is>
      </c>
      <c r="E1238" s="66" t="inlineStr">
        <is>
          <t>(56) 2 2550 2000</t>
        </is>
      </c>
      <c r="F1238" s="66" t="n"/>
      <c r="G1238" s="66" t="n"/>
      <c r="H1238" s="66" t="n"/>
      <c r="I1238" s="66" t="inlineStr">
        <is>
          <t>92.730.000-1</t>
        </is>
      </c>
      <c r="J1238" s="66" t="n"/>
      <c r="K1238" s="66" t="inlineStr">
        <is>
          <t>Ventas: GRANDE (Estimado por Empleados) | Empleados: 356</t>
        </is>
      </c>
      <c r="L1238" s="61" t="n"/>
      <c r="M1238" s="61" t="n"/>
      <c r="N1238" s="61" t="n"/>
      <c r="O1238" s="61" t="n"/>
      <c r="P1238" s="61" t="n"/>
      <c r="Q1238" s="62" t="n"/>
      <c r="R1238" s="61" t="n"/>
    </row>
    <row r="1239" ht="15.75" customHeight="1" s="38">
      <c r="A1239" s="59" t="inlineStr">
        <is>
          <t>Maestranza e Ingeniería Lo Espejo S.A.</t>
        </is>
      </c>
      <c r="B1239" s="59" t="inlineStr">
        <is>
          <t>Calderería</t>
        </is>
      </c>
      <c r="C1239" s="59" t="inlineStr">
        <is>
          <t>Santiago</t>
        </is>
      </c>
      <c r="D1239" s="59" t="inlineStr">
        <is>
          <t>mle@mle.cl</t>
        </is>
      </c>
      <c r="E1239" s="59" t="inlineStr">
        <is>
          <t>(56) 9 8829 7892</t>
        </is>
      </c>
      <c r="F1239" s="59" t="inlineStr">
        <is>
          <t>Marcos Sarzoza (IT Manager)</t>
        </is>
      </c>
      <c r="G1239" s="59" t="n"/>
      <c r="H1239" s="59" t="n"/>
      <c r="I1239" s="59" t="inlineStr">
        <is>
          <t>89.321.800-9</t>
        </is>
      </c>
      <c r="J1239" s="59" t="inlineStr">
        <is>
          <t>Digitalización Infraestructura Minera</t>
        </is>
      </c>
      <c r="K1239" s="59" t="inlineStr">
        <is>
          <t>Ventas: GRANDE 2 (200.000 - 600.000 UF) | Empleados: 7</t>
        </is>
      </c>
      <c r="L1239" s="61" t="n"/>
      <c r="M1239" s="61" t="n"/>
      <c r="N1239" s="61" t="n"/>
      <c r="O1239" s="61" t="n"/>
      <c r="P1239" s="61" t="n"/>
      <c r="Q1239" s="62" t="n"/>
      <c r="R1239" s="61" t="n"/>
    </row>
    <row r="1240" ht="15.75" customHeight="1" s="38">
      <c r="A1240" s="66" t="inlineStr">
        <is>
          <t>Maestranza Faremin Ltda.</t>
        </is>
      </c>
      <c r="B1240" s="66" t="inlineStr">
        <is>
          <t>Reparación de Equipos Mineros e Industriales, Revestimientos Industriales en Caucho con Vulcanización en Autoclave</t>
        </is>
      </c>
      <c r="C1240" s="66" t="inlineStr">
        <is>
          <t>Coquimbo</t>
        </is>
      </c>
      <c r="D1240" s="66" t="inlineStr">
        <is>
          <t>info@faremin.cl</t>
        </is>
      </c>
      <c r="E1240" s="66" t="inlineStr">
        <is>
          <t>(56) 51 260 5035</t>
        </is>
      </c>
      <c r="F1240" s="66" t="n"/>
      <c r="G1240" s="66" t="n"/>
      <c r="H1240" s="66" t="n"/>
      <c r="I1240" s="66" t="inlineStr">
        <is>
          <t>77573120-6</t>
        </is>
      </c>
      <c r="J1240" s="66" t="n"/>
      <c r="K1240" s="66" t="inlineStr">
        <is>
          <t>Ventas: GRANDE 3 (600.000 - 1.000.000 UF) | Empleados: 16</t>
        </is>
      </c>
      <c r="L1240" s="61" t="n"/>
      <c r="M1240" s="61" t="n"/>
      <c r="N1240" s="61" t="n"/>
      <c r="O1240" s="61" t="n"/>
      <c r="P1240" s="61" t="n"/>
      <c r="Q1240" s="62" t="n"/>
      <c r="R1240" s="61" t="n"/>
    </row>
    <row r="1241" ht="15.75" customHeight="1" s="38">
      <c r="A1241" s="66" t="inlineStr">
        <is>
          <t>Maestranza Gordillo SAC</t>
        </is>
      </c>
      <c r="B1241" s="66" t="inlineStr">
        <is>
          <t>Reparación de Válvulas</t>
        </is>
      </c>
      <c r="C1241" s="66" t="inlineStr">
        <is>
          <t>Antofagasta</t>
        </is>
      </c>
      <c r="D1241" s="66" t="inlineStr">
        <is>
          <t>contacto@gordillo.cl</t>
        </is>
      </c>
      <c r="E1241" s="66" t="inlineStr">
        <is>
          <t>(56) 55 220 5901</t>
        </is>
      </c>
      <c r="F1241" s="66" t="n"/>
      <c r="G1241" s="66" t="n"/>
      <c r="H1241" s="66" t="n"/>
      <c r="I1241" s="66" t="inlineStr">
        <is>
          <t>76.048.217-K</t>
        </is>
      </c>
      <c r="J1241" s="66" t="n"/>
      <c r="K1241" s="66" t="inlineStr">
        <is>
          <t>Ventas: GRANDE 3 (600.000 - 1.000.000 UF) | Empleados: 99</t>
        </is>
      </c>
      <c r="L1241" s="61" t="n"/>
      <c r="M1241" s="61" t="n"/>
      <c r="N1241" s="61" t="n"/>
      <c r="O1241" s="61" t="n"/>
      <c r="P1241" s="61" t="n"/>
      <c r="Q1241" s="62" t="n"/>
      <c r="R1241" s="61" t="n"/>
    </row>
    <row r="1242" ht="15.75" customHeight="1" s="38">
      <c r="A1242" s="66" t="inlineStr">
        <is>
          <t>Maestranza Italia / Mitalia Equipos</t>
        </is>
      </c>
      <c r="B1242" s="66" t="inlineStr">
        <is>
          <t>Arriendo de Compresores</t>
        </is>
      </c>
      <c r="C1242" s="66" t="inlineStr">
        <is>
          <t>Santiago</t>
        </is>
      </c>
      <c r="D1242" s="66" t="inlineStr">
        <is>
          <t>ventas@mitalia.cl</t>
        </is>
      </c>
      <c r="E1242" s="66" t="inlineStr">
        <is>
          <t>(56) 2 2641 2678</t>
        </is>
      </c>
      <c r="F1242" s="66" t="n"/>
      <c r="G1242" s="66" t="n"/>
      <c r="H1242" s="66" t="n"/>
      <c r="I1242" s="66" t="inlineStr">
        <is>
          <t>79.592.610-0</t>
        </is>
      </c>
      <c r="J1242" s="66" t="n"/>
      <c r="K1242" s="66" t="inlineStr">
        <is>
          <t>Ventas: MICRO 1 (0.01 - 200 UF) | Empleados: 0</t>
        </is>
      </c>
      <c r="L1242" s="61" t="n"/>
      <c r="M1242" s="61" t="n"/>
      <c r="N1242" s="61" t="n"/>
      <c r="O1242" s="61" t="n"/>
      <c r="P1242" s="61" t="n"/>
      <c r="Q1242" s="62" t="n"/>
      <c r="R1242" s="61" t="n"/>
    </row>
    <row r="1243" ht="15.75" customHeight="1" s="38">
      <c r="A1243" s="66" t="inlineStr">
        <is>
          <t>Maestranza Nacional Ltda.</t>
        </is>
      </c>
      <c r="B1243" s="66" t="inlineStr">
        <is>
          <t>Aceros Inoxidables, Planchas de Acero</t>
        </is>
      </c>
      <c r="C1243" s="66" t="inlineStr">
        <is>
          <t>Santiago</t>
        </is>
      </c>
      <c r="D1243" s="66" t="inlineStr">
        <is>
          <t>asistente@maestranzanacional.cl</t>
        </is>
      </c>
      <c r="E1243" s="66" t="inlineStr">
        <is>
          <t>(56) 2 2886 5714</t>
        </is>
      </c>
      <c r="F1243" s="66" t="n"/>
      <c r="G1243" s="66" t="n"/>
      <c r="H1243" s="66" t="n"/>
      <c r="I1243" s="66" t="inlineStr">
        <is>
          <t>77.595.580-5</t>
        </is>
      </c>
      <c r="J1243" s="66" t="n"/>
      <c r="K1243" s="66" t="inlineStr">
        <is>
          <t>Ventas: PEQUEÑA 3 (10.000 - 25.000 UF) | Empleados: 11</t>
        </is>
      </c>
      <c r="L1243" s="61" t="n"/>
      <c r="M1243" s="61" t="n"/>
      <c r="N1243" s="61" t="n"/>
      <c r="O1243" s="61" t="n"/>
      <c r="P1243" s="61" t="n"/>
      <c r="Q1243" s="62" t="n"/>
      <c r="R1243" s="61" t="n"/>
    </row>
    <row r="1244" ht="15.75" customHeight="1" s="38">
      <c r="A1244" s="66" t="inlineStr">
        <is>
          <t>Maestranza San Marco</t>
        </is>
      </c>
      <c r="B1244" s="66" t="inlineStr">
        <is>
          <t>Ductos para Ventilación</t>
        </is>
      </c>
      <c r="C1244" s="66" t="inlineStr">
        <is>
          <t>Santiago</t>
        </is>
      </c>
      <c r="D1244" s="66" t="inlineStr">
        <is>
          <t>ventas@msanmarco.cl</t>
        </is>
      </c>
      <c r="E1244" s="66" t="inlineStr">
        <is>
          <t>(56) 2 2751 9400</t>
        </is>
      </c>
      <c r="F1244" s="66" t="n"/>
      <c r="G1244" s="66" t="n"/>
      <c r="H1244" s="66" t="n"/>
      <c r="I1244" s="66" t="inlineStr">
        <is>
          <t>77.589.820-8</t>
        </is>
      </c>
      <c r="J1244" s="66" t="n"/>
      <c r="K1244" s="66" t="inlineStr">
        <is>
          <t>Ventas: GRANDE 2 (200.000 - 600.000 UF) | Empleados: 68</t>
        </is>
      </c>
      <c r="L1244" s="61" t="n"/>
      <c r="M1244" s="61" t="n"/>
      <c r="N1244" s="61" t="n"/>
      <c r="O1244" s="61" t="n"/>
      <c r="P1244" s="61" t="n"/>
      <c r="Q1244" s="62" t="n"/>
      <c r="R1244" s="61" t="n"/>
    </row>
    <row r="1245" ht="15.75" customHeight="1" s="38">
      <c r="A1245" s="66" t="inlineStr">
        <is>
          <t>Maestranza Veas Ltda.</t>
        </is>
      </c>
      <c r="B1245" s="66" t="inlineStr">
        <is>
          <t>Tornerías en Metal</t>
        </is>
      </c>
      <c r="C1245" s="66" t="inlineStr">
        <is>
          <t>Antofagasta</t>
        </is>
      </c>
      <c r="D1245" s="66" t="inlineStr">
        <is>
          <t>ventas@empresasveas.cl</t>
        </is>
      </c>
      <c r="E1245" s="66" t="inlineStr">
        <is>
          <t>(56) 55 225 1013</t>
        </is>
      </c>
      <c r="F1245" s="66" t="n"/>
      <c r="G1245" s="66" t="n"/>
      <c r="H1245" s="66" t="n"/>
      <c r="I1245" s="66" t="inlineStr">
        <is>
          <t>77.012.300-3</t>
        </is>
      </c>
      <c r="J1245" s="66" t="n"/>
      <c r="K1245" s="66" t="inlineStr">
        <is>
          <t>Ventas: MICRO 1 (0.01 - 200 UF) | Empleados: 0</t>
        </is>
      </c>
      <c r="L1245" s="61" t="n"/>
      <c r="M1245" s="61" t="n"/>
      <c r="N1245" s="61" t="n"/>
      <c r="O1245" s="61" t="n"/>
      <c r="P1245" s="61" t="n"/>
      <c r="Q1245" s="62" t="n"/>
      <c r="R1245" s="61" t="n"/>
    </row>
    <row r="1246" ht="15.75" customHeight="1" s="38">
      <c r="A1246" s="66" t="inlineStr">
        <is>
          <t>Maestranza y Constructora Pacífico Ltda.</t>
        </is>
      </c>
      <c r="B1246" s="66" t="inlineStr">
        <is>
          <t>Constructoras</t>
        </is>
      </c>
      <c r="C1246" s="66" t="inlineStr">
        <is>
          <t>Santiago</t>
        </is>
      </c>
      <c r="D1246" s="66" t="inlineStr">
        <is>
          <t>ventas@mpcchile.cl</t>
        </is>
      </c>
      <c r="E1246" s="66" t="inlineStr">
        <is>
          <t>(56) 2 2857 3019</t>
        </is>
      </c>
      <c r="F1246" s="66" t="n"/>
      <c r="G1246" s="66" t="n"/>
      <c r="H1246" s="66" t="n"/>
      <c r="I1246" s="66" t="inlineStr">
        <is>
          <t>76.221.200-5</t>
        </is>
      </c>
      <c r="J1246" s="66" t="n"/>
      <c r="K1246" s="66" t="inlineStr">
        <is>
          <t>Ventas: PEQUEÑA 2 (5.000 - 10.000 UF) | Empleados: 10</t>
        </is>
      </c>
      <c r="L1246" s="61" t="n"/>
      <c r="M1246" s="61" t="n"/>
      <c r="N1246" s="61" t="n"/>
      <c r="O1246" s="61" t="n"/>
      <c r="P1246" s="61" t="n"/>
      <c r="Q1246" s="62" t="n"/>
      <c r="R1246" s="61" t="n"/>
    </row>
    <row r="1247" ht="15.75" customHeight="1" s="38">
      <c r="A1247" s="66" t="inlineStr">
        <is>
          <t>Mageva Ltda.</t>
        </is>
      </c>
      <c r="B1247" s="66" t="inlineStr">
        <is>
          <t>Embalaje Industrial</t>
        </is>
      </c>
      <c r="C1247" s="66" t="inlineStr">
        <is>
          <t>Santiago</t>
        </is>
      </c>
      <c r="D1247" s="66" t="inlineStr">
        <is>
          <t>contacto@maestranzapyp.cl</t>
        </is>
      </c>
      <c r="E1247" s="66" t="inlineStr">
        <is>
          <t>(56) 2 2669 5544</t>
        </is>
      </c>
      <c r="F1247" s="66" t="n"/>
      <c r="G1247" s="66" t="n"/>
      <c r="H1247" s="66" t="n"/>
      <c r="I1247" s="66" t="inlineStr">
        <is>
          <t>77.602.970-K</t>
        </is>
      </c>
      <c r="J1247" s="66" t="n"/>
      <c r="K1247" s="66" t="inlineStr">
        <is>
          <t>Ventas: GRANDE 2 (200.000 - 600.000 UF) | Empleados: 13</t>
        </is>
      </c>
      <c r="L1247" s="61" t="n"/>
      <c r="M1247" s="61" t="n"/>
      <c r="N1247" s="61" t="n"/>
      <c r="O1247" s="61" t="n"/>
      <c r="P1247" s="61" t="n"/>
      <c r="Q1247" s="62" t="n"/>
      <c r="R1247" s="61" t="n"/>
    </row>
    <row r="1248" ht="15.75" customHeight="1" s="38">
      <c r="A1248" s="66" t="inlineStr">
        <is>
          <t>Magin Ingeniería Ltda.</t>
        </is>
      </c>
      <c r="B1248" s="66" t="inlineStr">
        <is>
          <t>Cilindros Hidráulicos, Sellos Hidráulicos</t>
        </is>
      </c>
      <c r="C1248" s="66" t="inlineStr">
        <is>
          <t>Santiago</t>
        </is>
      </c>
      <c r="D1248" s="66" t="inlineStr">
        <is>
          <t>magin@magin.cl</t>
        </is>
      </c>
      <c r="E1248" s="66" t="inlineStr">
        <is>
          <t>(56) 2 2646 8019</t>
        </is>
      </c>
      <c r="F1248" s="66" t="n"/>
      <c r="G1248" s="66" t="n"/>
      <c r="H1248" s="66" t="n"/>
      <c r="I1248" s="66" t="inlineStr">
        <is>
          <t>78.985.120-4</t>
        </is>
      </c>
      <c r="J1248" s="66" t="n"/>
      <c r="K1248" s="66" t="inlineStr">
        <is>
          <t>Ventas: MEDIANA 2 (50.000 - 100.000 UF) | Empleados: 29</t>
        </is>
      </c>
      <c r="L1248" s="61" t="n"/>
      <c r="M1248" s="61" t="n"/>
      <c r="N1248" s="61" t="n"/>
      <c r="O1248" s="61" t="n"/>
      <c r="P1248" s="61" t="n"/>
      <c r="Q1248" s="62" t="n"/>
      <c r="R1248" s="61" t="n"/>
    </row>
    <row r="1249" ht="15.75" customHeight="1" s="38">
      <c r="A1249" s="66" t="inlineStr">
        <is>
          <t>Magna Industrial</t>
        </is>
      </c>
      <c r="B1249" s="66" t="inlineStr">
        <is>
          <t>Soldaduras para Mantenimiento</t>
        </is>
      </c>
      <c r="C1249" s="66" t="inlineStr">
        <is>
          <t>Santiago</t>
        </is>
      </c>
      <c r="D1249" s="66" t="inlineStr">
        <is>
          <t>ventas@magnaindustrial.cl</t>
        </is>
      </c>
      <c r="E1249" s="66" t="inlineStr">
        <is>
          <t>(56) 2 2294 2203</t>
        </is>
      </c>
      <c r="F1249" s="66" t="n"/>
      <c r="G1249" s="66" t="n"/>
      <c r="H1249" s="66" t="n"/>
      <c r="I1249" s="66" t="inlineStr">
        <is>
          <t>76.071.329-5</t>
        </is>
      </c>
      <c r="J1249" s="66" t="n"/>
      <c r="K1249" s="66" t="inlineStr">
        <is>
          <t>Ventas: PEQUEÑA 3 (10.000 - 25.000 UF) | Empleados: 5</t>
        </is>
      </c>
      <c r="L1249" s="61" t="n"/>
      <c r="M1249" s="61" t="n"/>
      <c r="N1249" s="61" t="n"/>
      <c r="O1249" s="61" t="n"/>
      <c r="P1249" s="61" t="n"/>
      <c r="Q1249" s="62" t="n"/>
      <c r="R1249" s="61" t="n"/>
    </row>
    <row r="1250" ht="15.75" customHeight="1" s="38">
      <c r="A1250" s="66" t="inlineStr">
        <is>
          <t>Magnum Llaima SpA</t>
        </is>
      </c>
      <c r="B1250" s="66" t="inlineStr">
        <is>
          <t>Cartuchos Industriales Deflagrantes No Contaminantes Terrestres y Submarinos, Servicios de Fragmentación de Rocas y Hormigón</t>
        </is>
      </c>
      <c r="C1250" s="66" t="inlineStr">
        <is>
          <t>Viña del Mar</t>
        </is>
      </c>
      <c r="D1250" s="66" t="inlineStr">
        <is>
          <t>info@magnum-llaima.cl</t>
        </is>
      </c>
      <c r="E1250" s="66" t="inlineStr">
        <is>
          <t>(56) 32 314 3631</t>
        </is>
      </c>
      <c r="F1250" s="66" t="n"/>
      <c r="G1250" s="66" t="n"/>
      <c r="H1250" s="66" t="n"/>
      <c r="I1250" s="66" t="inlineStr">
        <is>
          <t>76.461.764-9</t>
        </is>
      </c>
      <c r="J1250" s="66" t="n"/>
      <c r="K1250" s="66" t="inlineStr">
        <is>
          <t>Ventas: MICRO 2 (200 - 600 UF) | Empleados: 0</t>
        </is>
      </c>
      <c r="L1250" s="61" t="n"/>
      <c r="M1250" s="61" t="n"/>
      <c r="N1250" s="61" t="n"/>
      <c r="O1250" s="61" t="n"/>
      <c r="P1250" s="61" t="n"/>
      <c r="Q1250" s="62" t="n"/>
      <c r="R1250" s="61" t="n"/>
    </row>
    <row r="1251" ht="15.75" customHeight="1" s="38">
      <c r="A1251" s="66" t="inlineStr">
        <is>
          <t>Magotteaux Andino</t>
        </is>
      </c>
      <c r="B1251" s="66" t="inlineStr">
        <is>
          <t>Bolas de Acero Forjado para Molienda</t>
        </is>
      </c>
      <c r="C1251" s="66" t="inlineStr">
        <is>
          <t>Til Til</t>
        </is>
      </c>
      <c r="D1251" s="66" t="inlineStr">
        <is>
          <t>ventas@magotteaux.com</t>
        </is>
      </c>
      <c r="E1251" s="66" t="inlineStr">
        <is>
          <t>(56) 2 2876 5100</t>
        </is>
      </c>
      <c r="F1251" s="66" t="n"/>
      <c r="G1251" s="66" t="n"/>
      <c r="H1251" s="66" t="n"/>
      <c r="I1251" s="66" t="inlineStr">
        <is>
          <t>96.610.060-5</t>
        </is>
      </c>
      <c r="J1251" s="66" t="n"/>
      <c r="K1251" s="66" t="inlineStr">
        <is>
          <t>Ventas: No en base SII | Empleados: S/I</t>
        </is>
      </c>
      <c r="L1251" s="61" t="n"/>
      <c r="M1251" s="61" t="n"/>
      <c r="N1251" s="61" t="n"/>
      <c r="O1251" s="61" t="n"/>
      <c r="P1251" s="61" t="n"/>
      <c r="Q1251" s="62" t="n"/>
      <c r="R1251" s="61" t="n"/>
    </row>
    <row r="1252" ht="15.75" customHeight="1" s="38">
      <c r="A1252" s="66" t="inlineStr">
        <is>
          <t>Mainsk Minerals SpA</t>
        </is>
      </c>
      <c r="B1252" s="66" t="inlineStr">
        <is>
          <t>Empalmes para Correas Transportadoras</t>
        </is>
      </c>
      <c r="C1252" s="66" t="inlineStr">
        <is>
          <t>Antofagasta</t>
        </is>
      </c>
      <c r="D1252" s="66" t="inlineStr">
        <is>
          <t>sales@mainsk.com</t>
        </is>
      </c>
      <c r="E1252" s="66" t="inlineStr">
        <is>
          <t>(56) 9 9187 6072</t>
        </is>
      </c>
      <c r="F1252" s="66" t="n"/>
      <c r="G1252" s="66" t="n"/>
      <c r="H1252" s="66" t="n"/>
      <c r="I1252" s="66" t="inlineStr">
        <is>
          <t>77.682.654-5</t>
        </is>
      </c>
      <c r="J1252" s="66" t="n"/>
      <c r="K1252" s="66" t="inlineStr">
        <is>
          <t>Ventas: PEQUEÑA 1 (2.400 - 5.000 UF) | Empleados: 1</t>
        </is>
      </c>
      <c r="L1252" s="61" t="n"/>
      <c r="M1252" s="61" t="n"/>
      <c r="N1252" s="61" t="n"/>
      <c r="O1252" s="61" t="n"/>
      <c r="P1252" s="61" t="n"/>
      <c r="Q1252" s="62" t="n"/>
      <c r="R1252" s="61" t="n"/>
    </row>
    <row r="1253" ht="15.75" customHeight="1" s="38">
      <c r="A1253" s="66" t="inlineStr">
        <is>
          <t>Mainstream Renewable Power</t>
        </is>
      </c>
      <c r="B1253" s="66" t="inlineStr">
        <is>
          <t>Energías Renovables</t>
        </is>
      </c>
      <c r="C1253" s="66" t="inlineStr">
        <is>
          <t>Santiago</t>
        </is>
      </c>
      <c r="D1253" s="66" t="inlineStr">
        <is>
          <t>info-chile@mainstreamrp.com</t>
        </is>
      </c>
      <c r="E1253" s="66" t="inlineStr">
        <is>
          <t>(56) 2 2592 3100</t>
        </is>
      </c>
      <c r="F1253" s="66" t="n"/>
      <c r="G1253" s="66" t="n"/>
      <c r="H1253" s="66" t="n"/>
      <c r="I1253" s="66" t="inlineStr">
        <is>
          <t>76.037.037-1</t>
        </is>
      </c>
      <c r="J1253" s="66" t="n"/>
      <c r="K1253" s="66" t="inlineStr">
        <is>
          <t>Ventas: GRANDE 3 (600.000 - 1.000.000 UF) | Empleados: 156</t>
        </is>
      </c>
      <c r="L1253" s="61" t="n"/>
      <c r="M1253" s="61" t="n"/>
      <c r="N1253" s="61" t="n"/>
      <c r="O1253" s="61" t="n"/>
      <c r="P1253" s="61" t="n"/>
      <c r="Q1253" s="62" t="n"/>
      <c r="R1253" s="61" t="n"/>
    </row>
    <row r="1254" ht="15.75" customHeight="1" s="38">
      <c r="A1254" s="66" t="inlineStr">
        <is>
          <t>Makita Chile Comercial</t>
        </is>
      </c>
      <c r="B1254" s="66" t="inlineStr">
        <is>
          <t>Aspiradoras Inalámbricas</t>
        </is>
      </c>
      <c r="C1254" s="66" t="inlineStr">
        <is>
          <t>Santiago</t>
        </is>
      </c>
      <c r="D1254" s="66" t="inlineStr">
        <is>
          <t>administrador@makita.cl</t>
        </is>
      </c>
      <c r="E1254" s="66" t="inlineStr">
        <is>
          <t>(56) 2 2540 0400</t>
        </is>
      </c>
      <c r="F1254" s="66" t="n"/>
      <c r="G1254" s="66" t="n"/>
      <c r="H1254" s="66" t="n"/>
      <c r="I1254" s="66" t="inlineStr">
        <is>
          <t>77.248.430-5</t>
        </is>
      </c>
      <c r="J1254" s="66" t="n"/>
      <c r="K1254" s="66" t="inlineStr">
        <is>
          <t>Ventas: MEDIANA (Estimado por Empleados) | Empleados: 131</t>
        </is>
      </c>
      <c r="L1254" s="61" t="n"/>
      <c r="M1254" s="61" t="n"/>
      <c r="N1254" s="61" t="n"/>
      <c r="O1254" s="61" t="n"/>
      <c r="P1254" s="61" t="n"/>
      <c r="Q1254" s="62" t="n"/>
      <c r="R1254" s="61" t="n"/>
    </row>
    <row r="1255" ht="15.75" customHeight="1" s="38">
      <c r="A1255" s="66" t="inlineStr">
        <is>
          <t>Mammoet Chile</t>
        </is>
      </c>
      <c r="B1255" s="66" t="inlineStr">
        <is>
          <t>Proveedor Destacado, Equipos Especiales de Izaje para Grandes Estructuras, Sistemas de Gateo y Deslizamiento, Megalifts o Gantry, Strandjacks, Sistemas de Torre y Grúas Estructurales de Anillo, Transporte de Carga Especial, con Equipos Autopropulsados (SPMT/SPT), Traslado y Montaje de Cargas Completamente Armadas: Chancadores, Silos, Correas Transportadoras, Shiploader, y Molinos</t>
        </is>
      </c>
      <c r="C1255" s="66" t="inlineStr">
        <is>
          <t>Santiago</t>
        </is>
      </c>
      <c r="D1255" s="66" t="inlineStr">
        <is>
          <t>sales.chile@mammoet.com</t>
        </is>
      </c>
      <c r="E1255" s="66" t="inlineStr">
        <is>
          <t>(56) 9 3441 1238</t>
        </is>
      </c>
      <c r="F1255" s="66" t="n"/>
      <c r="G1255" s="66" t="n"/>
      <c r="H1255" s="66" t="inlineStr">
        <is>
          <t>http://www.mammoet.com</t>
        </is>
      </c>
      <c r="I1255" s="66" t="inlineStr">
        <is>
          <t>76.201.275-8</t>
        </is>
      </c>
      <c r="J1255" s="66" t="n"/>
      <c r="K1255" s="66" t="inlineStr">
        <is>
          <t>Ventas: GRANDE 3 (600.000 - 1.000.000 UF) | Empleados: 30</t>
        </is>
      </c>
      <c r="L1255" s="61" t="n"/>
      <c r="M1255" s="61" t="n"/>
      <c r="N1255" s="61" t="n"/>
      <c r="O1255" s="61" t="n"/>
      <c r="P1255" s="61" t="n"/>
      <c r="Q1255" s="62" t="n"/>
      <c r="R1255" s="61" t="n"/>
    </row>
    <row r="1256" ht="15.75" customHeight="1" s="38">
      <c r="A1256" s="66" t="inlineStr">
        <is>
          <t>Man Energy Solution Chile Ltda.</t>
        </is>
      </c>
      <c r="B1256" s="66" t="inlineStr">
        <is>
          <t>Reparación de Motores Eléctricos</t>
        </is>
      </c>
      <c r="C1256" s="66" t="inlineStr">
        <is>
          <t>Valparaíso</t>
        </is>
      </c>
      <c r="D1256" s="66" t="inlineStr">
        <is>
          <t>gerardo.schneeberger@man-es.com</t>
        </is>
      </c>
      <c r="E1256" s="66" t="inlineStr">
        <is>
          <t>(56) 32 235 1500</t>
        </is>
      </c>
      <c r="F1256" s="66" t="n"/>
      <c r="G1256" s="66" t="n"/>
      <c r="H1256" s="66" t="n"/>
      <c r="I1256" s="66" t="inlineStr">
        <is>
          <t>76.059.324-9</t>
        </is>
      </c>
      <c r="J1256" s="66" t="n"/>
      <c r="K1256" s="66" t="inlineStr">
        <is>
          <t>Ventas: GRANDE 3 (600.000 - 1.000.000 UF) | Empleados: 29</t>
        </is>
      </c>
      <c r="L1256" s="61" t="n"/>
      <c r="M1256" s="61" t="n"/>
      <c r="N1256" s="61" t="n"/>
      <c r="O1256" s="61" t="n"/>
      <c r="P1256" s="61" t="n"/>
      <c r="Q1256" s="62" t="n"/>
      <c r="R1256" s="61" t="n"/>
    </row>
    <row r="1257" ht="15.75" customHeight="1" s="38">
      <c r="A1257" s="66" t="inlineStr">
        <is>
          <t>Manex Ltda.</t>
        </is>
      </c>
      <c r="B1257" s="66" t="inlineStr">
        <is>
          <t>Ropa para Protección contra Fuego, Ropa para Seguridad</t>
        </is>
      </c>
      <c r="C1257" s="66" t="inlineStr">
        <is>
          <t>Santiago</t>
        </is>
      </c>
      <c r="D1257" s="66" t="inlineStr">
        <is>
          <t>manex@manex.cl</t>
        </is>
      </c>
      <c r="E1257" s="66" t="inlineStr">
        <is>
          <t>(56) 2 2776 4098</t>
        </is>
      </c>
      <c r="F1257" s="66" t="n"/>
      <c r="G1257" s="66" t="n"/>
      <c r="H1257" s="66" t="n"/>
      <c r="I1257" s="66" t="inlineStr">
        <is>
          <t>85.991.300-8</t>
        </is>
      </c>
      <c r="J1257" s="66" t="n"/>
      <c r="K1257" s="66" t="inlineStr">
        <is>
          <t>Ventas: MEDIANA 2 (50.000 - 100.000 UF) | Empleados: 32</t>
        </is>
      </c>
      <c r="L1257" s="61" t="n"/>
      <c r="M1257" s="61" t="n"/>
      <c r="N1257" s="61" t="n"/>
      <c r="O1257" s="61" t="n"/>
      <c r="P1257" s="61" t="n"/>
      <c r="Q1257" s="62" t="n"/>
      <c r="R1257" s="61" t="n"/>
    </row>
    <row r="1258" ht="15.75" customHeight="1" s="38">
      <c r="A1258" s="66" t="inlineStr">
        <is>
          <t>Manlim Servicios Integrales SpA</t>
        </is>
      </c>
      <c r="B1258" s="66" t="inlineStr">
        <is>
          <t>Energía Solar</t>
        </is>
      </c>
      <c r="C1258" s="66" t="inlineStr">
        <is>
          <t>Antofagasta</t>
        </is>
      </c>
      <c r="D1258" s="66" t="inlineStr">
        <is>
          <t>dfigueroa@manlimspa.com</t>
        </is>
      </c>
      <c r="E1258" s="66" t="inlineStr">
        <is>
          <t>(56) 9 9910 1220</t>
        </is>
      </c>
      <c r="F1258" s="66" t="n"/>
      <c r="G1258" s="66" t="n"/>
      <c r="H1258" s="66" t="n"/>
      <c r="I1258" s="66" t="inlineStr">
        <is>
          <t>77174954-2</t>
        </is>
      </c>
      <c r="J1258" s="66" t="n"/>
      <c r="K1258" s="66" t="inlineStr">
        <is>
          <t>Ventas: PEQUEÑA 2 (5.000 - 10.000 UF) | Empleados: 16</t>
        </is>
      </c>
      <c r="L1258" s="61" t="n"/>
      <c r="M1258" s="61" t="n"/>
      <c r="N1258" s="61" t="n"/>
      <c r="O1258" s="61" t="n"/>
      <c r="P1258" s="61" t="n"/>
      <c r="Q1258" s="62" t="n"/>
      <c r="R1258" s="61" t="n"/>
    </row>
    <row r="1259" ht="15.75" customHeight="1" s="38">
      <c r="A1259" s="66" t="inlineStr">
        <is>
          <t>Mantención Plantas Mineras</t>
        </is>
      </c>
      <c r="B1259" s="66" t="inlineStr">
        <is>
          <t>Camiones con Grúas Pluma, Retroexcavadoras</t>
        </is>
      </c>
      <c r="C1259" s="66" t="inlineStr">
        <is>
          <t>Santiago</t>
        </is>
      </c>
      <c r="D1259" s="66" t="inlineStr">
        <is>
          <t>dvega@mpm.cl</t>
        </is>
      </c>
      <c r="E1259" s="66" t="inlineStr">
        <is>
          <t>(56) 2 2954 9700</t>
        </is>
      </c>
      <c r="F1259" s="66" t="n"/>
      <c r="G1259" s="66" t="n"/>
      <c r="H1259" s="66" t="n"/>
      <c r="I1259" s="66" t="inlineStr">
        <is>
          <t>76.009.541-9</t>
        </is>
      </c>
      <c r="J1259" s="66" t="n"/>
      <c r="K1259" s="66" t="inlineStr">
        <is>
          <t>Ventas: GRANDE (Estimado por Empleados) | Empleados: 3819</t>
        </is>
      </c>
      <c r="L1259" s="61" t="n"/>
      <c r="M1259" s="61" t="n"/>
      <c r="N1259" s="61" t="n"/>
      <c r="O1259" s="61" t="n"/>
      <c r="P1259" s="61" t="n"/>
      <c r="Q1259" s="62" t="n"/>
      <c r="R1259" s="61" t="n"/>
    </row>
    <row r="1260" ht="15.75" customHeight="1" s="38">
      <c r="A1260" s="66" t="inlineStr">
        <is>
          <t>Mantex S.A.</t>
        </is>
      </c>
      <c r="B1260" s="66" t="inlineStr">
        <is>
          <t>Equipos para la Minería</t>
        </is>
      </c>
      <c r="C1260" s="66" t="inlineStr">
        <is>
          <t>Santiago</t>
        </is>
      </c>
      <c r="D1260" s="66" t="inlineStr">
        <is>
          <t>info@mantex.cl</t>
        </is>
      </c>
      <c r="E1260" s="66" t="inlineStr">
        <is>
          <t>(56) 2 2212 9480</t>
        </is>
      </c>
      <c r="F1260" s="66" t="n"/>
      <c r="G1260" s="66" t="n"/>
      <c r="H1260" s="66" t="n"/>
      <c r="I1260" s="66" t="inlineStr">
        <is>
          <t>96.125.000-5</t>
        </is>
      </c>
      <c r="J1260" s="66" t="n"/>
      <c r="K1260" s="66" t="inlineStr">
        <is>
          <t>Ventas: MEDIANA 1 (25.000 - 50.000 UF) | Empleados: 3</t>
        </is>
      </c>
      <c r="L1260" s="61" t="n"/>
      <c r="M1260" s="61" t="n"/>
      <c r="N1260" s="61" t="n"/>
      <c r="O1260" s="61" t="n"/>
      <c r="P1260" s="61" t="n"/>
      <c r="Q1260" s="62" t="n"/>
      <c r="R1260" s="61" t="n"/>
    </row>
    <row r="1261" ht="15.75" customHeight="1" s="38">
      <c r="A1261" s="66" t="inlineStr">
        <is>
          <t>Manufactura RAC Ltda.</t>
        </is>
      </c>
      <c r="B1261" s="66" t="inlineStr">
        <is>
          <t>Artículos para Seguridad, Calzado para Seguridad, Ropa para Trabajo</t>
        </is>
      </c>
      <c r="C1261" s="66" t="inlineStr">
        <is>
          <t>Santiago</t>
        </is>
      </c>
      <c r="D1261" s="66" t="inlineStr">
        <is>
          <t>rac@rac.cl</t>
        </is>
      </c>
      <c r="E1261" s="66" t="inlineStr">
        <is>
          <t>(56) 2 2862 0500</t>
        </is>
      </c>
      <c r="F1261" s="66" t="n"/>
      <c r="G1261" s="66" t="n"/>
      <c r="H1261" s="66" t="n"/>
      <c r="I1261" s="66" t="inlineStr">
        <is>
          <t>77.676.860-K</t>
        </is>
      </c>
      <c r="J1261" s="66" t="n"/>
      <c r="K1261" s="66" t="inlineStr">
        <is>
          <t>Ventas: GRANDE 2 (200.000 - 600.000 UF) | Empleados: 41</t>
        </is>
      </c>
      <c r="L1261" s="61" t="n"/>
      <c r="M1261" s="61" t="n"/>
      <c r="N1261" s="61" t="n"/>
      <c r="O1261" s="61" t="n"/>
      <c r="P1261" s="61" t="n"/>
      <c r="Q1261" s="62" t="n"/>
      <c r="R1261" s="61" t="n"/>
    </row>
    <row r="1262" ht="15.75" customHeight="1" s="38">
      <c r="A1262" s="66" t="inlineStr">
        <is>
          <t>Maptek Computación Chile Ltda.</t>
        </is>
      </c>
      <c r="B1262" s="66" t="inlineStr">
        <is>
          <t>Consultoría en Minería, Software para la Minería</t>
        </is>
      </c>
      <c r="C1262" s="66" t="inlineStr">
        <is>
          <t>Viña del Mar</t>
        </is>
      </c>
      <c r="D1262" s="66" t="inlineStr">
        <is>
          <t>info@maptek.cl</t>
        </is>
      </c>
      <c r="E1262" s="66" t="inlineStr">
        <is>
          <t>(56) 32 269 0683</t>
        </is>
      </c>
      <c r="F1262" s="66" t="inlineStr">
        <is>
          <t>Gerente de TI / CIO (Director de Tecnología)</t>
        </is>
      </c>
      <c r="G1262" s="66" t="n"/>
      <c r="H1262" s="66" t="n"/>
      <c r="I1262" s="66" t="inlineStr">
        <is>
          <t>78.482.290-7</t>
        </is>
      </c>
      <c r="J1262" s="66" t="n"/>
      <c r="K1262" s="66" t="inlineStr">
        <is>
          <t>Ventas: GRANDE 3 (600.000 - 1.000.000 UF) | Empleados: 75</t>
        </is>
      </c>
      <c r="L1262" s="61" t="n"/>
      <c r="M1262" s="61" t="n"/>
      <c r="N1262" s="61" t="n"/>
      <c r="O1262" s="61" t="n"/>
      <c r="P1262" s="61" t="n"/>
      <c r="Q1262" s="62" t="n"/>
      <c r="R1262" s="61" t="n"/>
    </row>
    <row r="1263" ht="15.75" customHeight="1" s="38">
      <c r="A1263" s="59" t="inlineStr">
        <is>
          <t>Maqsur Ltda.</t>
        </is>
      </c>
      <c r="B1263" s="59" t="inlineStr">
        <is>
          <t>Plataformas Elevadoras</t>
        </is>
      </c>
      <c r="C1263" s="59" t="inlineStr">
        <is>
          <t>Puerto Varas</t>
        </is>
      </c>
      <c r="D1263" s="59" t="inlineStr">
        <is>
          <t>empresasmaqsur@maqsur.com</t>
        </is>
      </c>
      <c r="E1263" s="59" t="inlineStr">
        <is>
          <t>(56) 2 2857 4384</t>
        </is>
      </c>
      <c r="F1263" s="59" t="inlineStr">
        <is>
          <t>Guillermo Cruz (Gerente General)</t>
        </is>
      </c>
      <c r="G1263" s="59" t="n"/>
      <c r="H1263" s="59" t="n"/>
      <c r="I1263" s="59" t="inlineStr">
        <is>
          <t>76.142.787-3</t>
        </is>
      </c>
      <c r="J1263" s="59" t="inlineStr">
        <is>
          <t>Telemática Maquinaria Agrícola</t>
        </is>
      </c>
      <c r="K1263" s="59" t="inlineStr">
        <is>
          <t>Ventas: GRANDE 2 (200.000 - 600.000 UF) | Empleados: 35</t>
        </is>
      </c>
      <c r="L1263" s="61" t="n"/>
      <c r="M1263" s="61" t="n"/>
      <c r="N1263" s="61" t="n"/>
      <c r="O1263" s="61" t="n"/>
      <c r="P1263" s="61" t="n"/>
      <c r="Q1263" s="62" t="n"/>
      <c r="R1263" s="61" t="n"/>
    </row>
    <row r="1264" ht="15.75" customHeight="1" s="38">
      <c r="A1264" s="66" t="inlineStr">
        <is>
          <t>Maquimetal Ltda.</t>
        </is>
      </c>
      <c r="B1264" s="66" t="inlineStr">
        <is>
          <t>Alambre de Cobre, Bobinas de Acero Inoxidable</t>
        </is>
      </c>
      <c r="C1264" s="66" t="inlineStr">
        <is>
          <t>Santiago</t>
        </is>
      </c>
      <c r="D1264" s="66" t="inlineStr">
        <is>
          <t>gerenciaventas@maquimetal.cl</t>
        </is>
      </c>
      <c r="E1264" s="66" t="inlineStr">
        <is>
          <t>(56) 2 2782 0100</t>
        </is>
      </c>
      <c r="F1264" s="66" t="n"/>
      <c r="G1264" s="66" t="n"/>
      <c r="H1264" s="66" t="n"/>
      <c r="I1264" s="66" t="inlineStr">
        <is>
          <t>80.585.900-8</t>
        </is>
      </c>
      <c r="J1264" s="66" t="n"/>
      <c r="K1264" s="66" t="inlineStr">
        <is>
          <t>Ventas: MICRO 1 (0.01 - 200 UF) | Empleados: 0</t>
        </is>
      </c>
      <c r="L1264" s="61" t="n"/>
      <c r="M1264" s="61" t="n"/>
      <c r="N1264" s="61" t="n"/>
      <c r="O1264" s="61" t="n"/>
      <c r="P1264" s="61" t="n"/>
      <c r="Q1264" s="62" t="n"/>
      <c r="R1264" s="61" t="n"/>
    </row>
    <row r="1265" ht="15.75" customHeight="1" s="38">
      <c r="A1265" s="66" t="inlineStr">
        <is>
          <t>Maquinarias Industriales Santiago Ltda.</t>
        </is>
      </c>
      <c r="B1265" s="66" t="inlineStr">
        <is>
          <t>Compresores</t>
        </is>
      </c>
      <c r="C1265" s="66" t="inlineStr">
        <is>
          <t>Santiago</t>
        </is>
      </c>
      <c r="D1265" s="66" t="inlineStr">
        <is>
          <t>contacto@maquinariassantiago.cl</t>
        </is>
      </c>
      <c r="E1265" s="66" t="inlineStr">
        <is>
          <t>(56) 2 2558 2428</t>
        </is>
      </c>
      <c r="F1265" s="66" t="n"/>
      <c r="G1265" s="66" t="n"/>
      <c r="H1265" s="66" t="n"/>
      <c r="I1265" s="66" t="inlineStr">
        <is>
          <t>79.855.600-2</t>
        </is>
      </c>
      <c r="J1265" s="66" t="n"/>
      <c r="K1265" s="66" t="inlineStr">
        <is>
          <t>Ventas: MEDIANA 1 (25.000 - 50.000 UF) | Empleados: 10</t>
        </is>
      </c>
      <c r="L1265" s="61" t="n"/>
      <c r="M1265" s="61" t="n"/>
      <c r="N1265" s="61" t="n"/>
      <c r="O1265" s="61" t="n"/>
      <c r="P1265" s="61" t="n"/>
      <c r="Q1265" s="62" t="n"/>
      <c r="R1265" s="61" t="n"/>
    </row>
    <row r="1266" ht="15.75" customHeight="1" s="38">
      <c r="A1266" s="66" t="inlineStr">
        <is>
          <t>Maquinarias Invercas Ltda.</t>
        </is>
      </c>
      <c r="B1266" s="66" t="inlineStr">
        <is>
          <t>Chancadores, Diseño de Plantas para Molienda</t>
        </is>
      </c>
      <c r="C1266" s="66" t="inlineStr">
        <is>
          <t>Paine</t>
        </is>
      </c>
      <c r="D1266" s="66" t="inlineStr">
        <is>
          <t>ventas@invercas.cl</t>
        </is>
      </c>
      <c r="E1266" s="66" t="inlineStr">
        <is>
          <t>(56) 2 2824 2117</t>
        </is>
      </c>
      <c r="F1266" s="66" t="n"/>
      <c r="G1266" s="66" t="n"/>
      <c r="H1266" s="66" t="n"/>
      <c r="I1266" s="66" t="inlineStr">
        <is>
          <t>78.807.900-1</t>
        </is>
      </c>
      <c r="J1266" s="66" t="n"/>
      <c r="K1266" s="66" t="inlineStr">
        <is>
          <t>Ventas: MICRO 2 (200 - 600 UF) | Empleados: 0</t>
        </is>
      </c>
      <c r="L1266" s="61" t="n"/>
      <c r="M1266" s="61" t="n"/>
      <c r="N1266" s="61" t="n"/>
      <c r="O1266" s="61" t="n"/>
      <c r="P1266" s="61" t="n"/>
      <c r="Q1266" s="62" t="n"/>
      <c r="R1266" s="61" t="n"/>
    </row>
    <row r="1267" ht="15.75" customHeight="1" s="38">
      <c r="A1267" s="66" t="inlineStr">
        <is>
          <t>Maquinarias y Obras MAQ SpA</t>
        </is>
      </c>
      <c r="B1267" s="66" t="inlineStr">
        <is>
          <t>Servicio de Curvado en Frío de Cañerías</t>
        </is>
      </c>
      <c r="C1267" s="66" t="inlineStr">
        <is>
          <t>Santiago</t>
        </is>
      </c>
      <c r="D1267" s="66" t="inlineStr">
        <is>
          <t>ccolguin@mcmaq.cl</t>
        </is>
      </c>
      <c r="E1267" s="66" t="inlineStr">
        <is>
          <t>(56) 9 9727 4761</t>
        </is>
      </c>
      <c r="F1267" s="66" t="n"/>
      <c r="G1267" s="66" t="n"/>
      <c r="H1267" s="66" t="n"/>
      <c r="I1267" s="66" t="inlineStr">
        <is>
          <t>76.309.897-4</t>
        </is>
      </c>
      <c r="J1267" s="66" t="n"/>
      <c r="K1267" s="66" t="inlineStr">
        <is>
          <t>Ventas: PEQUEÑA 3 (10.000 - 25.000 UF) | Empleados: 3</t>
        </is>
      </c>
      <c r="L1267" s="61" t="n"/>
      <c r="M1267" s="61" t="n"/>
      <c r="N1267" s="61" t="n"/>
      <c r="O1267" s="61" t="n"/>
      <c r="P1267" s="61" t="n"/>
      <c r="Q1267" s="62" t="n"/>
      <c r="R1267" s="61" t="n"/>
    </row>
    <row r="1268" ht="15.75" customHeight="1" s="38">
      <c r="A1268" s="66" t="inlineStr">
        <is>
          <t>Maquintel SpA</t>
        </is>
      </c>
      <c r="B1268" s="66" t="inlineStr">
        <is>
          <t>Ductos Mineros, Robots para Inspección de Ductos</t>
        </is>
      </c>
      <c r="C1268" s="66" t="inlineStr">
        <is>
          <t>Santiago</t>
        </is>
      </c>
      <c r="D1268" s="66" t="inlineStr">
        <is>
          <t>contacto@maquintel.com</t>
        </is>
      </c>
      <c r="E1268" s="66" t="inlineStr">
        <is>
          <t>(56) 2 2671 7032</t>
        </is>
      </c>
      <c r="F1268" s="66" t="n"/>
      <c r="G1268" s="66" t="n"/>
      <c r="H1268" s="66" t="n"/>
      <c r="I1268" s="66" t="inlineStr">
        <is>
          <t>76.196.131-4</t>
        </is>
      </c>
      <c r="J1268" s="66" t="n"/>
      <c r="K1268" s="66" t="inlineStr">
        <is>
          <t>Ventas: MEDIANA 2 (50.000 - 100.000 UF) | Empleados: 17</t>
        </is>
      </c>
      <c r="L1268" s="61" t="n"/>
      <c r="M1268" s="61" t="n"/>
      <c r="N1268" s="61" t="n"/>
      <c r="O1268" s="61" t="n"/>
      <c r="P1268" s="61" t="n"/>
      <c r="Q1268" s="62" t="n"/>
      <c r="R1268" s="61" t="n"/>
    </row>
    <row r="1269" ht="15.75" customHeight="1" s="38">
      <c r="A1269" s="66" t="inlineStr">
        <is>
          <t>Marco Industrial Chile</t>
        </is>
      </c>
      <c r="B1269" s="66" t="inlineStr">
        <is>
          <t>Sellado Industrial, Transmisión de Potencia</t>
        </is>
      </c>
      <c r="C1269" s="66" t="inlineStr">
        <is>
          <t>Santiago</t>
        </is>
      </c>
      <c r="D1269" s="66" t="inlineStr">
        <is>
          <t>consultas@fluitekmarco.cl</t>
        </is>
      </c>
      <c r="E1269" s="66" t="inlineStr">
        <is>
          <t>(56) 2 2782 4400</t>
        </is>
      </c>
      <c r="F1269" s="66" t="n"/>
      <c r="G1269" s="66" t="n"/>
      <c r="H1269" s="66" t="n"/>
      <c r="I1269" s="66" t="inlineStr">
        <is>
          <t>77.860.930-4</t>
        </is>
      </c>
      <c r="J1269" s="66" t="n"/>
      <c r="K1269" s="66" t="inlineStr">
        <is>
          <t>Ventas: GRANDE (Estimado por Empleados) | Empleados: 492</t>
        </is>
      </c>
      <c r="L1269" s="61" t="n"/>
      <c r="M1269" s="61" t="n"/>
      <c r="N1269" s="61" t="n"/>
      <c r="O1269" s="61" t="n"/>
      <c r="P1269" s="61" t="n"/>
      <c r="Q1269" s="62" t="n"/>
      <c r="R1269" s="61" t="n"/>
    </row>
    <row r="1270" ht="15.75" customHeight="1" s="38">
      <c r="A1270" s="66" t="inlineStr">
        <is>
          <t>Marsa</t>
        </is>
      </c>
      <c r="B1270" s="66" t="inlineStr">
        <is>
          <t>Contratos EPC</t>
        </is>
      </c>
      <c r="C1270" s="66" t="inlineStr">
        <is>
          <t>Santiago</t>
        </is>
      </c>
      <c r="D1270" s="66" t="inlineStr">
        <is>
          <t>contacto@marsa.cl</t>
        </is>
      </c>
      <c r="E1270" s="66" t="inlineStr">
        <is>
          <t>(56) 2 4367 0117</t>
        </is>
      </c>
      <c r="F1270" s="66" t="n"/>
      <c r="G1270" s="66" t="n"/>
      <c r="H1270" s="66" t="n"/>
      <c r="I1270" s="66" t="inlineStr">
        <is>
          <t>76335790-2</t>
        </is>
      </c>
      <c r="J1270" s="66" t="n"/>
      <c r="K1270" s="66" t="inlineStr">
        <is>
          <t>Ventas: PEQUEÑA 1 (2.400 - 5.000 UF) | Empleados: 1</t>
        </is>
      </c>
      <c r="L1270" s="61" t="n"/>
      <c r="M1270" s="61" t="n"/>
      <c r="N1270" s="61" t="n"/>
      <c r="O1270" s="61" t="n"/>
      <c r="P1270" s="61" t="n"/>
      <c r="Q1270" s="62" t="n"/>
      <c r="R1270" s="61" t="n"/>
    </row>
    <row r="1271" ht="15.75" customHeight="1" s="38">
      <c r="A1271" s="66" t="inlineStr">
        <is>
          <t>Marsol S.A.</t>
        </is>
      </c>
      <c r="B1271" s="66" t="inlineStr">
        <is>
          <t>Soluciones para Entrega de Alimentos, Soluciones para Pesaje</t>
        </is>
      </c>
      <c r="C1271" s="66" t="inlineStr">
        <is>
          <t>Santiago</t>
        </is>
      </c>
      <c r="D1271" s="66" t="inlineStr">
        <is>
          <t>ventas@marsol.cl</t>
        </is>
      </c>
      <c r="E1271" s="66" t="inlineStr">
        <is>
          <t>(56) 2 2729 2000</t>
        </is>
      </c>
      <c r="F1271" s="66" t="n"/>
      <c r="G1271" s="66" t="n"/>
      <c r="H1271" s="66" t="n"/>
      <c r="I1271" s="66" t="inlineStr">
        <is>
          <t>91.443.000-3</t>
        </is>
      </c>
      <c r="J1271" s="66" t="n"/>
      <c r="K1271" s="66" t="inlineStr">
        <is>
          <t>Ventas: GRANDE (Estimado por Empleados) | Empleados: 536</t>
        </is>
      </c>
      <c r="L1271" s="61" t="n"/>
      <c r="M1271" s="61" t="n"/>
      <c r="N1271" s="61" t="n"/>
      <c r="O1271" s="61" t="n"/>
      <c r="P1271" s="61" t="n"/>
      <c r="Q1271" s="62" t="n"/>
      <c r="R1271" s="61" t="n"/>
    </row>
    <row r="1272" ht="15.75" customHeight="1" s="38">
      <c r="A1272" s="66" t="inlineStr">
        <is>
          <t>Marti OSSA Spa.</t>
        </is>
      </c>
      <c r="B1272" s="66" t="inlineStr">
        <is>
          <t>Chimeneas Verticales, Construcción de Obras para Minería Subterránea, Túneles</t>
        </is>
      </c>
      <c r="C1272" s="66" t="inlineStr">
        <is>
          <t>Santiago</t>
        </is>
      </c>
      <c r="D1272" s="66" t="inlineStr">
        <is>
          <t>info@ossaint.com</t>
        </is>
      </c>
      <c r="E1272" s="66" t="inlineStr">
        <is>
          <t>(56) 3203 3840</t>
        </is>
      </c>
      <c r="F1272" s="66" t="n"/>
      <c r="G1272" s="66" t="n"/>
      <c r="H1272" s="66" t="inlineStr">
        <is>
          <t>http://www.marti.com</t>
        </is>
      </c>
      <c r="I1272" s="66" t="inlineStr">
        <is>
          <t>78.075.461-3</t>
        </is>
      </c>
      <c r="J1272" s="66" t="n"/>
      <c r="K1272" s="66" t="inlineStr">
        <is>
          <t>Ventas: No en base SII | Empleados: S/I</t>
        </is>
      </c>
      <c r="L1272" s="61" t="n"/>
      <c r="M1272" s="61" t="n"/>
      <c r="N1272" s="61" t="n"/>
      <c r="O1272" s="61" t="n"/>
      <c r="P1272" s="61" t="n"/>
      <c r="Q1272" s="62" t="n"/>
      <c r="R1272" s="61" t="n"/>
    </row>
    <row r="1273" ht="15.75" customHeight="1" s="38">
      <c r="A1273" s="66" t="inlineStr">
        <is>
          <t>Marti SpA</t>
        </is>
      </c>
      <c r="B1273" s="66" t="inlineStr">
        <is>
          <t>Chimeneas Verticales, Construcción de Túneles</t>
        </is>
      </c>
      <c r="C1273" s="66" t="inlineStr">
        <is>
          <t>Santiago</t>
        </is>
      </c>
      <c r="D1273" s="66" t="inlineStr">
        <is>
          <t>info-latam@marti.com</t>
        </is>
      </c>
      <c r="E1273" s="66" t="inlineStr">
        <is>
          <t>(56) 2 2957 4253</t>
        </is>
      </c>
      <c r="F1273" s="66" t="n"/>
      <c r="G1273" s="66" t="n"/>
      <c r="H1273" s="66" t="n"/>
      <c r="I1273" s="66" t="inlineStr">
        <is>
          <t>76.211.542-5</t>
        </is>
      </c>
      <c r="J1273" s="66" t="n"/>
      <c r="K1273" s="66" t="inlineStr">
        <is>
          <t>Ventas: MEDIANA 2 (50.000 - 100.000 UF) | Empleados: 18</t>
        </is>
      </c>
      <c r="L1273" s="61" t="n"/>
      <c r="M1273" s="61" t="n"/>
      <c r="N1273" s="61" t="n"/>
      <c r="O1273" s="61" t="n"/>
      <c r="P1273" s="61" t="n"/>
      <c r="Q1273" s="62" t="n"/>
      <c r="R1273" s="61" t="n"/>
    </row>
    <row r="1274" ht="15.75" customHeight="1" s="38">
      <c r="A1274" s="66" t="inlineStr">
        <is>
          <t>Martin-G</t>
        </is>
      </c>
      <c r="B1274" s="66" t="inlineStr">
        <is>
          <t>Calzado para Seguridad, Ropa para Seguridad</t>
        </is>
      </c>
      <c r="C1274" s="66" t="inlineStr">
        <is>
          <t>Santiago</t>
        </is>
      </c>
      <c r="D1274" s="66" t="inlineStr">
        <is>
          <t>contacto@martin-g.cl</t>
        </is>
      </c>
      <c r="E1274" s="66" t="inlineStr">
        <is>
          <t>(56) 2 2925 0100</t>
        </is>
      </c>
      <c r="F1274" s="66" t="n"/>
      <c r="G1274" s="66" t="n"/>
      <c r="H1274" s="66" t="n"/>
      <c r="I1274" s="66" t="inlineStr">
        <is>
          <t>79.889.910-4</t>
        </is>
      </c>
      <c r="J1274" s="66" t="n"/>
      <c r="K1274" s="66" t="inlineStr">
        <is>
          <t>Ventas: MEDIANA 2 (50.000 - 100.000 UF) | Empleados: 64</t>
        </is>
      </c>
      <c r="L1274" s="61" t="n"/>
      <c r="M1274" s="61" t="n"/>
      <c r="N1274" s="61" t="n"/>
      <c r="O1274" s="61" t="n"/>
      <c r="P1274" s="61" t="n"/>
      <c r="Q1274" s="62" t="n"/>
      <c r="R1274" s="61" t="n"/>
    </row>
    <row r="1275" ht="15.75" customHeight="1" s="38">
      <c r="A1275" s="66" t="inlineStr">
        <is>
          <t>Marval, Marítima Valparaíso Chile S.A.</t>
        </is>
      </c>
      <c r="B1275" s="66" t="inlineStr">
        <is>
          <t>Transporte Marítimo</t>
        </is>
      </c>
      <c r="C1275" s="66" t="inlineStr">
        <is>
          <t>Valparaíso</t>
        </is>
      </c>
      <c r="D1275" s="66" t="n"/>
      <c r="E1275" s="66" t="inlineStr">
        <is>
          <t>(56) 32 260 7000</t>
        </is>
      </c>
      <c r="F1275" s="66" t="n"/>
      <c r="G1275" s="66" t="n"/>
      <c r="H1275" s="66" t="n"/>
      <c r="I1275" s="66" t="inlineStr">
        <is>
          <t>96.591.730-6</t>
        </is>
      </c>
      <c r="J1275" s="66" t="n"/>
      <c r="K1275" s="66" t="inlineStr">
        <is>
          <t>Ventas: GRANDE (Estimado por Empleados) | Empleados: 310</t>
        </is>
      </c>
      <c r="L1275" s="61" t="n"/>
      <c r="M1275" s="61" t="n"/>
      <c r="N1275" s="61" t="n"/>
      <c r="O1275" s="61" t="n"/>
      <c r="P1275" s="61" t="n"/>
      <c r="Q1275" s="62" t="n"/>
      <c r="R1275" s="61" t="n"/>
    </row>
    <row r="1276" ht="15.75" customHeight="1" s="38">
      <c r="A1276" s="66" t="inlineStr">
        <is>
          <t>Marvel Panalytical</t>
        </is>
      </c>
      <c r="B1276" s="66" t="inlineStr">
        <is>
          <t>Equipos de Laboratorio</t>
        </is>
      </c>
      <c r="C1276" s="66" t="inlineStr">
        <is>
          <t>Santiago</t>
        </is>
      </c>
      <c r="D1276" s="66" t="n"/>
      <c r="E1276" s="66" t="inlineStr">
        <is>
          <t>(56) 2 2556 2665</t>
        </is>
      </c>
      <c r="F1276" s="66" t="n"/>
      <c r="G1276" s="66" t="n"/>
      <c r="H1276" s="66" t="n"/>
      <c r="I1276" s="66" t="inlineStr">
        <is>
          <t>78.634.770-K</t>
        </is>
      </c>
      <c r="J1276" s="66" t="n"/>
      <c r="K1276" s="66" t="inlineStr">
        <is>
          <t>Ventas: PEQUEÑA 3 (10.000 - 25.000 UF) | Empleados: 7</t>
        </is>
      </c>
      <c r="L1276" s="61" t="n"/>
      <c r="M1276" s="61" t="n"/>
      <c r="N1276" s="61" t="n"/>
      <c r="O1276" s="61" t="n"/>
      <c r="P1276" s="61" t="n"/>
      <c r="Q1276" s="62" t="n"/>
      <c r="R1276" s="61" t="n"/>
    </row>
    <row r="1277" ht="15.75" customHeight="1" s="38">
      <c r="A1277" s="66" t="inlineStr">
        <is>
          <t>Marvelkleen</t>
        </is>
      </c>
      <c r="B1277" s="66" t="inlineStr">
        <is>
          <t>Desengrasantes, Productos Químicos para la Minería</t>
        </is>
      </c>
      <c r="C1277" s="66" t="inlineStr">
        <is>
          <t>Santiago</t>
        </is>
      </c>
      <c r="D1277" s="66" t="inlineStr">
        <is>
          <t>ventasweb@marvelkleen.cl</t>
        </is>
      </c>
      <c r="E1277" s="66" t="inlineStr">
        <is>
          <t>(56) 2 2730 1200</t>
        </is>
      </c>
      <c r="F1277" s="66" t="n"/>
      <c r="G1277" s="66" t="n"/>
      <c r="H1277" s="66" t="n"/>
      <c r="I1277" s="66" t="inlineStr">
        <is>
          <t>76.109.556-0</t>
        </is>
      </c>
      <c r="J1277" s="66" t="n"/>
      <c r="K1277" s="66" t="inlineStr">
        <is>
          <t>Ventas: MEDIANA 2 (50.000 - 100.000 UF) | Empleados: 17</t>
        </is>
      </c>
      <c r="L1277" s="61" t="n"/>
      <c r="M1277" s="61" t="n"/>
      <c r="N1277" s="61" t="n"/>
      <c r="O1277" s="61" t="n"/>
      <c r="P1277" s="61" t="n"/>
      <c r="Q1277" s="62" t="n"/>
      <c r="R1277" s="61" t="n"/>
    </row>
    <row r="1278" ht="15.75" customHeight="1" s="38">
      <c r="A1278" s="66" t="inlineStr">
        <is>
          <t>Mas Errázuriz</t>
        </is>
      </c>
      <c r="B1278" s="66" t="inlineStr">
        <is>
          <t>Construcción de Obras de Infraestructura</t>
        </is>
      </c>
      <c r="C1278" s="66" t="inlineStr">
        <is>
          <t>Santiago</t>
        </is>
      </c>
      <c r="D1278" s="66" t="inlineStr">
        <is>
          <t>contacto@maserrazuriz.cl</t>
        </is>
      </c>
      <c r="E1278" s="66" t="inlineStr">
        <is>
          <t>(56) 2 2473 1000</t>
        </is>
      </c>
      <c r="F1278" s="66" t="n"/>
      <c r="G1278" s="66" t="n"/>
      <c r="H1278" s="66" t="n"/>
      <c r="I1278" s="66" t="inlineStr">
        <is>
          <t>87.996.400-8</t>
        </is>
      </c>
      <c r="J1278" s="66" t="n"/>
      <c r="K1278" s="66" t="inlineStr">
        <is>
          <t>Ventas: GRANDE (Estimado por Empleados) | Empleados: 2830</t>
        </is>
      </c>
      <c r="L1278" s="61" t="n"/>
      <c r="M1278" s="61" t="n"/>
      <c r="N1278" s="61" t="n"/>
      <c r="O1278" s="61" t="n"/>
      <c r="P1278" s="61" t="n"/>
      <c r="Q1278" s="62" t="n"/>
      <c r="R1278" s="61" t="n"/>
    </row>
    <row r="1279" ht="15.75" customHeight="1" s="38">
      <c r="A1279" s="66" t="inlineStr">
        <is>
          <t>Maservi S.A.</t>
        </is>
      </c>
      <c r="B1279" s="66" t="inlineStr">
        <is>
          <t>Abrasivos, Sulfato de Cobre</t>
        </is>
      </c>
      <c r="C1279" s="66" t="inlineStr">
        <is>
          <t>Ovalle</t>
        </is>
      </c>
      <c r="D1279" s="66" t="inlineStr">
        <is>
          <t>gerencia@maservi.cl</t>
        </is>
      </c>
      <c r="E1279" s="66" t="inlineStr">
        <is>
          <t>(56) 51 222 1875</t>
        </is>
      </c>
      <c r="F1279" s="66" t="n"/>
      <c r="G1279" s="66" t="n"/>
      <c r="H1279" s="66" t="n"/>
      <c r="I1279" s="66" t="inlineStr">
        <is>
          <t>99.544.190-K</t>
        </is>
      </c>
      <c r="J1279" s="66" t="n"/>
      <c r="K1279" s="66" t="inlineStr">
        <is>
          <t>Ventas: MEDIANA 2 (50.000 - 100.000 UF) | Empleados: 12</t>
        </is>
      </c>
      <c r="L1279" s="61" t="n"/>
      <c r="M1279" s="61" t="n"/>
      <c r="N1279" s="61" t="n"/>
      <c r="O1279" s="61" t="n"/>
      <c r="P1279" s="61" t="n"/>
      <c r="Q1279" s="62" t="n"/>
      <c r="R1279" s="61" t="n"/>
    </row>
    <row r="1280" ht="15.75" customHeight="1" s="38">
      <c r="A1280" s="66" t="inlineStr">
        <is>
          <t>Masprot</t>
        </is>
      </c>
      <c r="B1280" s="66" t="inlineStr">
        <is>
          <t>Artículos para Seguridad, Calzado para Seguridad</t>
        </is>
      </c>
      <c r="C1280" s="66" t="inlineStr">
        <is>
          <t>Santiago</t>
        </is>
      </c>
      <c r="D1280" s="66" t="n"/>
      <c r="E1280" s="66" t="inlineStr">
        <is>
          <t>(56) 2 2498 9000</t>
        </is>
      </c>
      <c r="F1280" s="66" t="n"/>
      <c r="G1280" s="66" t="n"/>
      <c r="H1280" s="66" t="n"/>
      <c r="I1280" s="66" t="inlineStr">
        <is>
          <t>83.210.600-3</t>
        </is>
      </c>
      <c r="J1280" s="66" t="n"/>
      <c r="K1280" s="66" t="inlineStr">
        <is>
          <t>Ventas: GRANDE 1 (100.000 - 200.000 UF) | Empleados: 95</t>
        </is>
      </c>
      <c r="L1280" s="61" t="n"/>
      <c r="M1280" s="61" t="n"/>
      <c r="N1280" s="61" t="n"/>
      <c r="O1280" s="61" t="n"/>
      <c r="P1280" s="61" t="n"/>
      <c r="Q1280" s="62" t="n"/>
      <c r="R1280" s="61" t="n"/>
    </row>
    <row r="1281" ht="15.75" customHeight="1" s="38">
      <c r="A1281" s="66" t="inlineStr">
        <is>
          <t>Master Builders Solutions Chile</t>
        </is>
      </c>
      <c r="B1281" s="66" t="inlineStr">
        <is>
          <t>Reparación Estructural del Hormigón</t>
        </is>
      </c>
      <c r="C1281" s="66" t="inlineStr">
        <is>
          <t>Santiago</t>
        </is>
      </c>
      <c r="D1281" s="66" t="n"/>
      <c r="E1281" s="66" t="inlineStr">
        <is>
          <t>(56) 2 2799 4300</t>
        </is>
      </c>
      <c r="F1281" s="66" t="n"/>
      <c r="G1281" s="66" t="n"/>
      <c r="H1281" s="66" t="n"/>
      <c r="I1281" s="66" t="inlineStr">
        <is>
          <t>96.899.010-1</t>
        </is>
      </c>
      <c r="J1281" s="66" t="n"/>
      <c r="K1281" s="66" t="inlineStr">
        <is>
          <t>Ventas: GRANDE 3 (600.000 - 1.000.000 UF) | Empleados: 60</t>
        </is>
      </c>
      <c r="L1281" s="61" t="n"/>
      <c r="M1281" s="61" t="n"/>
      <c r="N1281" s="61" t="n"/>
      <c r="O1281" s="61" t="n"/>
      <c r="P1281" s="61" t="n"/>
      <c r="Q1281" s="62" t="n"/>
      <c r="R1281" s="61" t="n"/>
    </row>
    <row r="1282" ht="15.75" customHeight="1" s="38">
      <c r="A1282" s="66" t="inlineStr">
        <is>
          <t>Masterfibra</t>
        </is>
      </c>
      <c r="B1282" s="66" t="inlineStr">
        <is>
          <t>Proveedor Destacado, Diseño, Ingenieria y Fabricación de Soluciones en Plásticos Reforzados en Fibra de Vidrio (FRP)</t>
        </is>
      </c>
      <c r="C1282" s="66" t="inlineStr">
        <is>
          <t>Santiago</t>
        </is>
      </c>
      <c r="D1282" s="66" t="inlineStr">
        <is>
          <t>contacto@masterfibra.cl</t>
        </is>
      </c>
      <c r="E1282" s="66" t="inlineStr">
        <is>
          <t>(56) 2 2745 0000</t>
        </is>
      </c>
      <c r="F1282" s="66" t="n"/>
      <c r="G1282" s="66" t="n"/>
      <c r="H1282" s="66" t="inlineStr">
        <is>
          <t>http://www.masterfibra.cl</t>
        </is>
      </c>
      <c r="I1282" s="66" t="inlineStr">
        <is>
          <t>76.526.927-K</t>
        </is>
      </c>
      <c r="J1282" s="66" t="n"/>
      <c r="K1282" s="66" t="inlineStr">
        <is>
          <t>Ventas: GRANDE 2 (200.000 - 600.000 UF) | Empleados: 101</t>
        </is>
      </c>
      <c r="L1282" s="61" t="n"/>
      <c r="M1282" s="61" t="n"/>
      <c r="N1282" s="61" t="n"/>
      <c r="O1282" s="61" t="n"/>
      <c r="P1282" s="61" t="n"/>
      <c r="Q1282" s="62" t="n"/>
      <c r="R1282" s="61" t="n"/>
    </row>
    <row r="1283" ht="15.75" customHeight="1" s="38">
      <c r="A1283" s="66" t="inlineStr">
        <is>
          <t>Matcom</t>
        </is>
      </c>
      <c r="B1283" s="66" t="inlineStr">
        <is>
          <t>Seguridad Minera e Industrial, Soluciones Tecnológicas</t>
        </is>
      </c>
      <c r="C1283" s="66" t="inlineStr">
        <is>
          <t>Antofagasta</t>
        </is>
      </c>
      <c r="D1283" s="66" t="inlineStr">
        <is>
          <t>contacto@matcom.cl</t>
        </is>
      </c>
      <c r="E1283" s="66" t="inlineStr">
        <is>
          <t>(56) 9 9251 7171</t>
        </is>
      </c>
      <c r="F1283" s="66" t="n"/>
      <c r="G1283" s="66" t="n"/>
      <c r="H1283" s="66" t="n"/>
      <c r="I1283" s="66" t="inlineStr">
        <is>
          <t>76392295-2</t>
        </is>
      </c>
      <c r="J1283" s="66" t="n"/>
      <c r="K1283" s="66" t="inlineStr">
        <is>
          <t>Ventas: MICRO 1 (0.01 - 200 UF) | Empleados: 0</t>
        </is>
      </c>
      <c r="L1283" s="61" t="n"/>
      <c r="M1283" s="61" t="n"/>
      <c r="N1283" s="61" t="n"/>
      <c r="O1283" s="61" t="n"/>
      <c r="P1283" s="61" t="n"/>
      <c r="Q1283" s="62" t="n"/>
      <c r="R1283" s="61" t="n"/>
    </row>
    <row r="1284" ht="15.75" customHeight="1" s="38">
      <c r="A1284" s="66" t="inlineStr">
        <is>
          <t>Matec</t>
        </is>
      </c>
      <c r="B1284" s="66" t="inlineStr">
        <is>
          <t>Ductos y Spools</t>
        </is>
      </c>
      <c r="C1284" s="66" t="inlineStr">
        <is>
          <t>Santiago</t>
        </is>
      </c>
      <c r="D1284" s="66" t="inlineStr">
        <is>
          <t>info@maestranzatecnica.cl</t>
        </is>
      </c>
      <c r="E1284" s="66" t="inlineStr">
        <is>
          <t>(56) 2 2240 9311</t>
        </is>
      </c>
      <c r="F1284" s="66" t="n"/>
      <c r="G1284" s="66" t="n"/>
      <c r="H1284" s="66" t="n"/>
      <c r="I1284" s="66" t="inlineStr">
        <is>
          <t>77.695.380-6</t>
        </is>
      </c>
      <c r="J1284" s="66" t="n"/>
      <c r="K1284" s="66" t="inlineStr">
        <is>
          <t>Ventas: GRANDE 1 (100.000 - 200.000 UF) | Empleados: 32</t>
        </is>
      </c>
      <c r="L1284" s="61" t="n"/>
      <c r="M1284" s="61" t="n"/>
      <c r="N1284" s="61" t="n"/>
      <c r="O1284" s="61" t="n"/>
      <c r="P1284" s="61" t="n"/>
      <c r="Q1284" s="62" t="n"/>
      <c r="R1284" s="61" t="n"/>
    </row>
    <row r="1285" ht="15.75" customHeight="1" s="38">
      <c r="A1285" s="59" t="inlineStr">
        <is>
          <t>Mateco Chile</t>
        </is>
      </c>
      <c r="B1285" s="59" t="inlineStr">
        <is>
          <t>Brazos Articulados Telescópicos</t>
        </is>
      </c>
      <c r="C1285" s="59" t="inlineStr">
        <is>
          <t>Santiago</t>
        </is>
      </c>
      <c r="D1285" s="59" t="n"/>
      <c r="E1285" s="59" t="inlineStr">
        <is>
          <t>(56) 2 3328 2331</t>
        </is>
      </c>
      <c r="F1285" s="59" t="inlineStr">
        <is>
          <t>Andres Rojas (Responsable de IT)</t>
        </is>
      </c>
      <c r="G1285" s="59" t="inlineStr">
        <is>
          <t>a.rojas@mateco.cl</t>
        </is>
      </c>
      <c r="H1285" s="59" t="n"/>
      <c r="I1285" s="59" t="inlineStr">
        <is>
          <t>76282059-5</t>
        </is>
      </c>
      <c r="J1285" s="59" t="inlineStr">
        <is>
          <t>Investigación en Proceso</t>
        </is>
      </c>
      <c r="K1285" s="59" t="inlineStr">
        <is>
          <t>Ventas: GRANDE 3 (600.000 - 1.000.000 UF) | Empleados: 49</t>
        </is>
      </c>
      <c r="L1285" s="61" t="n"/>
      <c r="M1285" s="61" t="n"/>
      <c r="N1285" s="61" t="n"/>
      <c r="O1285" s="61" t="n"/>
      <c r="P1285" s="61" t="n"/>
      <c r="Q1285" s="62" t="n"/>
      <c r="R1285" s="61" t="n"/>
    </row>
    <row r="1286" ht="15.75" customHeight="1" s="38">
      <c r="A1286" s="66" t="inlineStr">
        <is>
          <t>Mathiesen S.A.C.</t>
        </is>
      </c>
      <c r="B1286" s="66" t="inlineStr">
        <is>
          <t>Productos Químicos</t>
        </is>
      </c>
      <c r="C1286" s="66" t="inlineStr">
        <is>
          <t>Santiago</t>
        </is>
      </c>
      <c r="D1286" s="66" t="n"/>
      <c r="E1286" s="66" t="inlineStr">
        <is>
          <t>(56) 2 2640 5600</t>
        </is>
      </c>
      <c r="F1286" s="66" t="n"/>
      <c r="G1286" s="66" t="n"/>
      <c r="H1286" s="66" t="n"/>
      <c r="I1286" s="66" t="inlineStr">
        <is>
          <t>92.207.000-8</t>
        </is>
      </c>
      <c r="J1286" s="66" t="n"/>
      <c r="K1286" s="66" t="inlineStr">
        <is>
          <t>Ventas: MEDIANA (Estimado por Empleados) | Empleados: 116</t>
        </is>
      </c>
      <c r="L1286" s="61" t="n"/>
      <c r="M1286" s="61" t="n"/>
      <c r="N1286" s="61" t="n"/>
      <c r="O1286" s="61" t="n"/>
      <c r="P1286" s="61" t="n"/>
      <c r="Q1286" s="62" t="n"/>
      <c r="R1286" s="61" t="n"/>
    </row>
    <row r="1287" ht="15.75" customHeight="1" s="38">
      <c r="A1287" s="59" t="inlineStr">
        <is>
          <t>Mauricio Hochschild Ingeniería y Servicios</t>
        </is>
      </c>
      <c r="B1287" s="59" t="inlineStr">
        <is>
          <t>Bombas, Compresores, Soldaduras</t>
        </is>
      </c>
      <c r="C1287" s="59" t="inlineStr">
        <is>
          <t>Santiago</t>
        </is>
      </c>
      <c r="D1287" s="59" t="inlineStr">
        <is>
          <t>ventas@mhis.cl</t>
        </is>
      </c>
      <c r="E1287" s="59" t="inlineStr">
        <is>
          <t>(56) 2 2578 2600</t>
        </is>
      </c>
      <c r="F1287" s="59" t="inlineStr">
        <is>
          <t>Eduardo Lagos (Jefe de Sistemas)</t>
        </is>
      </c>
      <c r="G1287" s="59" t="inlineStr">
        <is>
          <t>e.lagos@hochschild.cl</t>
        </is>
      </c>
      <c r="H1287" s="59" t="n"/>
      <c r="I1287" s="59" t="inlineStr">
        <is>
          <t>96.885.630-8</t>
        </is>
      </c>
      <c r="J1287" s="59" t="inlineStr">
        <is>
          <t>Optimización CRM Regional</t>
        </is>
      </c>
      <c r="K1287" s="59" t="inlineStr">
        <is>
          <t>Ventas: GRANDE 3 (600.000 - 1.000.000 UF) | Empleados: 108</t>
        </is>
      </c>
      <c r="L1287" s="61" t="n"/>
      <c r="M1287" s="61" t="n"/>
      <c r="N1287" s="61" t="n"/>
      <c r="O1287" s="61" t="n"/>
      <c r="P1287" s="61" t="n"/>
      <c r="Q1287" s="62" t="n"/>
      <c r="R1287" s="61" t="n"/>
    </row>
    <row r="1288" ht="15.75" customHeight="1" s="38">
      <c r="A1288" s="66" t="inlineStr">
        <is>
          <t>Max Service</t>
        </is>
      </c>
      <c r="B1288" s="66" t="inlineStr">
        <is>
          <t>Calzado Industrial, Ropa de Seguridad</t>
        </is>
      </c>
      <c r="C1288" s="66" t="inlineStr">
        <is>
          <t>Antofagasta</t>
        </is>
      </c>
      <c r="D1288" s="66" t="inlineStr">
        <is>
          <t>info@maxservice.cl</t>
        </is>
      </c>
      <c r="E1288" s="66" t="inlineStr">
        <is>
          <t>(56) 9 8136 3367</t>
        </is>
      </c>
      <c r="F1288" s="66" t="n"/>
      <c r="G1288" s="66" t="n"/>
      <c r="H1288" s="66" t="n"/>
      <c r="I1288" s="66" t="inlineStr">
        <is>
          <t>76.756.768-5</t>
        </is>
      </c>
      <c r="J1288" s="66" t="n"/>
      <c r="K1288" s="66" t="inlineStr">
        <is>
          <t>Ventas: GRANDE (Estimado por Empleados) | Empleados: 400</t>
        </is>
      </c>
      <c r="L1288" s="61" t="n"/>
      <c r="M1288" s="61" t="n"/>
      <c r="N1288" s="61" t="n"/>
      <c r="O1288" s="61" t="n"/>
      <c r="P1288" s="61" t="n"/>
      <c r="Q1288" s="62" t="n"/>
      <c r="R1288" s="61" t="n"/>
    </row>
    <row r="1289" ht="15.75" customHeight="1" s="38">
      <c r="A1289" s="66" t="inlineStr">
        <is>
          <t>Maxam Chile S.A.</t>
        </is>
      </c>
      <c r="B1289" s="66" t="inlineStr">
        <is>
          <t>Tronaduras</t>
        </is>
      </c>
      <c r="C1289" s="66" t="inlineStr">
        <is>
          <t>Santiago</t>
        </is>
      </c>
      <c r="D1289" s="66" t="inlineStr">
        <is>
          <t>cpozo@maxamcorp.com</t>
        </is>
      </c>
      <c r="E1289" s="66" t="inlineStr">
        <is>
          <t>(56) 2 2520 2400</t>
        </is>
      </c>
      <c r="F1289" s="66" t="n"/>
      <c r="G1289" s="66" t="n"/>
      <c r="H1289" s="66" t="n"/>
      <c r="I1289" s="66" t="inlineStr">
        <is>
          <t>77.870.140-5</t>
        </is>
      </c>
      <c r="J1289" s="66" t="n"/>
      <c r="K1289" s="66" t="inlineStr">
        <is>
          <t>Ventas: GRANDE (Estimado por Empleados) | Empleados: 469</t>
        </is>
      </c>
      <c r="L1289" s="61" t="n"/>
      <c r="M1289" s="61" t="n"/>
      <c r="N1289" s="61" t="n"/>
      <c r="O1289" s="61" t="n"/>
      <c r="P1289" s="61" t="n"/>
      <c r="Q1289" s="62" t="n"/>
      <c r="R1289" s="61" t="n"/>
    </row>
    <row r="1290" ht="15.75" customHeight="1" s="38">
      <c r="A1290" s="66" t="inlineStr">
        <is>
          <t>Maxtec</t>
        </is>
      </c>
      <c r="B1290" s="66" t="inlineStr">
        <is>
          <t>Arriendo de Excavadoras</t>
        </is>
      </c>
      <c r="C1290" s="66" t="inlineStr">
        <is>
          <t>Santiago</t>
        </is>
      </c>
      <c r="D1290" s="66" t="inlineStr">
        <is>
          <t>contacto@maxtec.cl</t>
        </is>
      </c>
      <c r="E1290" s="66" t="inlineStr">
        <is>
          <t>(56) 9 6669 0132</t>
        </is>
      </c>
      <c r="F1290" s="66" t="n"/>
      <c r="G1290" s="66" t="n"/>
      <c r="H1290" s="66" t="n"/>
      <c r="I1290" s="66" t="inlineStr">
        <is>
          <t>77646495-3</t>
        </is>
      </c>
      <c r="J1290" s="66" t="n"/>
      <c r="K1290" s="66" t="inlineStr">
        <is>
          <t>Ventas: MICRO 1 (0.01 - 200 UF) | Empleados: 0</t>
        </is>
      </c>
      <c r="L1290" s="61" t="n"/>
      <c r="M1290" s="61" t="n"/>
      <c r="N1290" s="61" t="n"/>
      <c r="O1290" s="61" t="n"/>
      <c r="P1290" s="61" t="n"/>
      <c r="Q1290" s="62" t="n"/>
      <c r="R1290" s="61" t="n"/>
    </row>
    <row r="1291" ht="15.75" customHeight="1" s="38">
      <c r="A1291" s="66" t="inlineStr">
        <is>
          <t>MC Energy Chile</t>
        </is>
      </c>
      <c r="B1291" s="66" t="inlineStr">
        <is>
          <t>Aire Acondicionado, Electrónica Industrial</t>
        </is>
      </c>
      <c r="C1291" s="66" t="inlineStr">
        <is>
          <t>Antofagasta</t>
        </is>
      </c>
      <c r="D1291" s="66" t="inlineStr">
        <is>
          <t>miguel.candia@mcenergy.cl</t>
        </is>
      </c>
      <c r="E1291" s="66" t="inlineStr">
        <is>
          <t>(56) 9 5901 2688</t>
        </is>
      </c>
      <c r="F1291" s="66" t="n"/>
      <c r="G1291" s="66" t="n"/>
      <c r="H1291" s="66" t="n"/>
      <c r="I1291" s="66" t="inlineStr">
        <is>
          <t>76517187-3</t>
        </is>
      </c>
      <c r="J1291" s="66" t="n"/>
      <c r="K1291" s="66" t="inlineStr">
        <is>
          <t>Ventas: MEDIANA 2 (50.000 - 100.000 UF) | Empleados: 19</t>
        </is>
      </c>
      <c r="L1291" s="61" t="n"/>
      <c r="M1291" s="61" t="n"/>
      <c r="N1291" s="61" t="n"/>
      <c r="O1291" s="61" t="n"/>
      <c r="P1291" s="61" t="n"/>
      <c r="Q1291" s="62" t="n"/>
      <c r="R1291" s="61" t="n"/>
    </row>
    <row r="1292" ht="15.75" customHeight="1" s="38">
      <c r="A1292" s="66" t="inlineStr">
        <is>
          <t>MC Hidráulica</t>
        </is>
      </c>
      <c r="B1292" s="66" t="inlineStr">
        <is>
          <t>Equipos de Vacío</t>
        </is>
      </c>
      <c r="C1292" s="66" t="inlineStr">
        <is>
          <t>Coquimbo</t>
        </is>
      </c>
      <c r="D1292" s="66" t="inlineStr">
        <is>
          <t>contacto@hidraulicamc.cl</t>
        </is>
      </c>
      <c r="E1292" s="66" t="inlineStr">
        <is>
          <t>(56) 9 8314 0860</t>
        </is>
      </c>
      <c r="F1292" s="66" t="n"/>
      <c r="G1292" s="66" t="n"/>
      <c r="H1292" s="66" t="n"/>
      <c r="I1292" s="66" t="inlineStr">
        <is>
          <t>76.757.366-9</t>
        </is>
      </c>
      <c r="J1292" s="66" t="n"/>
      <c r="K1292" s="66" t="inlineStr">
        <is>
          <t>Ventas: PEQUEÑA 2 (5.000 - 10.000 UF) | Empleados: 4</t>
        </is>
      </c>
      <c r="L1292" s="61" t="n"/>
      <c r="M1292" s="61" t="n"/>
      <c r="N1292" s="61" t="n"/>
      <c r="O1292" s="61" t="n"/>
      <c r="P1292" s="61" t="n"/>
      <c r="Q1292" s="62" t="n"/>
      <c r="R1292" s="61" t="n"/>
    </row>
    <row r="1293" ht="15.75" customHeight="1" s="38">
      <c r="A1293" s="66" t="inlineStr">
        <is>
          <t>MC Suite</t>
        </is>
      </c>
      <c r="B1293" s="66" t="inlineStr">
        <is>
          <t>Arriendo de Departamentos Amoblados</t>
        </is>
      </c>
      <c r="C1293" s="66" t="inlineStr">
        <is>
          <t>Antofagasta</t>
        </is>
      </c>
      <c r="D1293" s="66" t="inlineStr">
        <is>
          <t>contacto@mcsuite.cl</t>
        </is>
      </c>
      <c r="E1293" s="66" t="inlineStr">
        <is>
          <t>(56) 9 4424 4987</t>
        </is>
      </c>
      <c r="F1293" s="66" t="n"/>
      <c r="G1293" s="66" t="n"/>
      <c r="H1293" s="66" t="n"/>
      <c r="I1293" s="66" t="inlineStr">
        <is>
          <t>15.505.869-2</t>
        </is>
      </c>
      <c r="J1293" s="66" t="n"/>
      <c r="K1293" s="66" t="inlineStr">
        <is>
          <t>Ventas: No en base SII | Empleados: S/I</t>
        </is>
      </c>
      <c r="L1293" s="61" t="n"/>
      <c r="M1293" s="61" t="n"/>
      <c r="N1293" s="61" t="n"/>
      <c r="O1293" s="61" t="n"/>
      <c r="P1293" s="61" t="n"/>
      <c r="Q1293" s="62" t="n"/>
      <c r="R1293" s="61" t="n"/>
    </row>
    <row r="1294" ht="15.75" customHeight="1" s="38">
      <c r="A1294" s="66" t="inlineStr">
        <is>
          <t>MCI Termofusión</t>
        </is>
      </c>
      <c r="B1294" s="66" t="inlineStr">
        <is>
          <t>Servicio de Termofusión, Tuberías</t>
        </is>
      </c>
      <c r="C1294" s="66" t="inlineStr">
        <is>
          <t>Santiago</t>
        </is>
      </c>
      <c r="D1294" s="66" t="inlineStr">
        <is>
          <t>servicioalcliente@mci-termofusion.cl</t>
        </is>
      </c>
      <c r="E1294" s="66" t="inlineStr">
        <is>
          <t>(56) 9 3054 8929</t>
        </is>
      </c>
      <c r="F1294" s="66" t="n"/>
      <c r="G1294" s="66" t="n"/>
      <c r="H1294" s="66" t="n"/>
      <c r="I1294" s="66" t="inlineStr">
        <is>
          <t>76.839.767-8</t>
        </is>
      </c>
      <c r="J1294" s="66" t="n"/>
      <c r="K1294" s="66" t="inlineStr">
        <is>
          <t>Ventas: GRANDE 2 (200.000 - 600.000 UF) | Empleados: 18</t>
        </is>
      </c>
      <c r="L1294" s="61" t="n"/>
      <c r="M1294" s="61" t="n"/>
      <c r="N1294" s="61" t="n"/>
      <c r="O1294" s="61" t="n"/>
      <c r="P1294" s="61" t="n"/>
      <c r="Q1294" s="62" t="n"/>
      <c r="R1294" s="61" t="n"/>
    </row>
    <row r="1295" ht="15.75" customHeight="1" s="38">
      <c r="A1295" s="66" t="inlineStr">
        <is>
          <t>McLanahan Latin America SpA</t>
        </is>
      </c>
      <c r="B1295" s="66" t="inlineStr">
        <is>
          <t>Equipos de Procesamiento de Minerales</t>
        </is>
      </c>
      <c r="C1295" s="66" t="inlineStr">
        <is>
          <t>Santiago</t>
        </is>
      </c>
      <c r="D1295" s="66" t="inlineStr">
        <is>
          <t>latamsales@mclanahan.com</t>
        </is>
      </c>
      <c r="E1295" s="66" t="inlineStr">
        <is>
          <t>(56) 9 4287 3479</t>
        </is>
      </c>
      <c r="F1295" s="66" t="n"/>
      <c r="G1295" s="66" t="n"/>
      <c r="H1295" s="66" t="n"/>
      <c r="I1295" s="66" t="inlineStr">
        <is>
          <t>76429914-0</t>
        </is>
      </c>
      <c r="J1295" s="66" t="n"/>
      <c r="K1295" s="66" t="inlineStr">
        <is>
          <t>Ventas: GRANDE 1 (100.000 - 200.000 UF) | Empleados: 12</t>
        </is>
      </c>
      <c r="L1295" s="61" t="n"/>
      <c r="M1295" s="61" t="n"/>
      <c r="N1295" s="61" t="n"/>
      <c r="O1295" s="61" t="n"/>
      <c r="P1295" s="61" t="n"/>
      <c r="Q1295" s="62" t="n"/>
      <c r="R1295" s="61" t="n"/>
    </row>
    <row r="1296" ht="15.75" customHeight="1" s="38">
      <c r="A1296" s="66" t="inlineStr">
        <is>
          <t>MCM Ltda.</t>
        </is>
      </c>
      <c r="B1296" s="66" t="inlineStr">
        <is>
          <t>Productos para la Minería</t>
        </is>
      </c>
      <c r="C1296" s="66" t="inlineStr">
        <is>
          <t>Copiapó</t>
        </is>
      </c>
      <c r="D1296" s="66" t="inlineStr">
        <is>
          <t>mcmventas@mcmltda.cl</t>
        </is>
      </c>
      <c r="E1296" s="66" t="inlineStr">
        <is>
          <t>(56) 52 236 1035</t>
        </is>
      </c>
      <c r="F1296" s="66" t="n"/>
      <c r="G1296" s="66" t="n"/>
      <c r="H1296" s="66" t="n"/>
      <c r="I1296" s="66" t="inlineStr">
        <is>
          <t>77.984.300-9</t>
        </is>
      </c>
      <c r="J1296" s="66" t="n"/>
      <c r="K1296" s="66" t="inlineStr">
        <is>
          <t>Ventas: GRANDE 2 (200.000 - 600.000 UF) | Empleados: 130</t>
        </is>
      </c>
      <c r="L1296" s="61" t="n"/>
      <c r="M1296" s="61" t="n"/>
      <c r="N1296" s="61" t="n"/>
      <c r="O1296" s="61" t="n"/>
      <c r="P1296" s="61" t="n"/>
      <c r="Q1296" s="62" t="n"/>
      <c r="R1296" s="61" t="n"/>
    </row>
    <row r="1297" ht="15.75" customHeight="1" s="38">
      <c r="A1297" s="66" t="inlineStr">
        <is>
          <t>MCP Industrial</t>
        </is>
      </c>
      <c r="B1297" s="66" t="inlineStr">
        <is>
          <t>Artículos Moldeados de Caucho, Corazas y Revestimientos de Molinos</t>
        </is>
      </c>
      <c r="C1297" s="66" t="inlineStr">
        <is>
          <t>Viña del Mar</t>
        </is>
      </c>
      <c r="D1297" s="66" t="inlineStr">
        <is>
          <t>mcpgomas@mcpgomas.cl</t>
        </is>
      </c>
      <c r="E1297" s="66" t="inlineStr">
        <is>
          <t>(56) 32 327 4349</t>
        </is>
      </c>
      <c r="F1297" s="66" t="n"/>
      <c r="G1297" s="66" t="n"/>
      <c r="H1297" s="66" t="n"/>
      <c r="I1297" s="66" t="inlineStr">
        <is>
          <t>78399560-3</t>
        </is>
      </c>
      <c r="J1297" s="66" t="n"/>
      <c r="K1297" s="66" t="inlineStr">
        <is>
          <t>Ventas: GRANDE 2 (200.000 - 600.000 UF) | Empleados: 96</t>
        </is>
      </c>
      <c r="L1297" s="61" t="n"/>
      <c r="M1297" s="61" t="n"/>
      <c r="N1297" s="61" t="n"/>
      <c r="O1297" s="61" t="n"/>
      <c r="P1297" s="61" t="n"/>
      <c r="Q1297" s="62" t="n"/>
      <c r="R1297" s="61" t="n"/>
    </row>
    <row r="1298" ht="15.75" customHeight="1" s="38">
      <c r="A1298" s="66" t="inlineStr">
        <is>
          <t>MCR Safety</t>
        </is>
      </c>
      <c r="B1298" s="66" t="inlineStr">
        <is>
          <t>Elementos de Protección Personal</t>
        </is>
      </c>
      <c r="C1298" s="66" t="inlineStr">
        <is>
          <t>Santiago</t>
        </is>
      </c>
      <c r="D1298" s="66" t="n"/>
      <c r="E1298" s="66" t="inlineStr">
        <is>
          <t>(56) 9 9400 1385</t>
        </is>
      </c>
      <c r="F1298" s="66" t="n"/>
      <c r="G1298" s="66" t="n"/>
      <c r="H1298" s="66" t="n"/>
      <c r="I1298" s="66" t="inlineStr">
        <is>
          <t>77967232-8</t>
        </is>
      </c>
      <c r="J1298" s="66" t="n"/>
      <c r="K1298" s="66" t="inlineStr">
        <is>
          <t>Ventas: MICRO 1 (0.01 - 200 UF) | Empleados: 0</t>
        </is>
      </c>
      <c r="L1298" s="61" t="n"/>
      <c r="M1298" s="61" t="n"/>
      <c r="N1298" s="61" t="n"/>
      <c r="O1298" s="61" t="n"/>
      <c r="P1298" s="61" t="n"/>
      <c r="Q1298" s="62" t="n"/>
      <c r="R1298" s="61" t="n"/>
    </row>
    <row r="1299" ht="15.75" customHeight="1" s="38">
      <c r="A1299" s="66" t="inlineStr">
        <is>
          <t>ME Elecmetal</t>
        </is>
      </c>
      <c r="B1299" s="66" t="inlineStr">
        <is>
          <t>Bolas de Acero Forjado para Molienda, Chancadores, Revestimientos para Molinos</t>
        </is>
      </c>
      <c r="C1299" s="66" t="inlineStr">
        <is>
          <t>Santiago</t>
        </is>
      </c>
      <c r="D1299" s="66" t="inlineStr">
        <is>
          <t>contacto@elecmetal.cl</t>
        </is>
      </c>
      <c r="E1299" s="66" t="inlineStr">
        <is>
          <t>(56) 2 2361 4010</t>
        </is>
      </c>
      <c r="F1299" s="66" t="n"/>
      <c r="G1299" s="66" t="n"/>
      <c r="H1299" s="66" t="n"/>
      <c r="I1299" s="66" t="inlineStr">
        <is>
          <t>90.320.000-6</t>
        </is>
      </c>
      <c r="J1299" s="66" t="n"/>
      <c r="K1299" s="66" t="inlineStr">
        <is>
          <t>Ventas: MEDIANA (Estimado por Empleados) | Empleados: 109</t>
        </is>
      </c>
      <c r="L1299" s="61" t="n"/>
      <c r="M1299" s="61" t="n"/>
      <c r="N1299" s="61" t="n"/>
      <c r="O1299" s="61" t="n"/>
      <c r="P1299" s="61" t="n"/>
      <c r="Q1299" s="62" t="n"/>
      <c r="R1299" s="61" t="n"/>
    </row>
    <row r="1300" ht="15.75" customHeight="1" s="38">
      <c r="A1300" s="66" t="inlineStr">
        <is>
          <t>Mecanicad</t>
        </is>
      </c>
      <c r="B1300" s="66" t="inlineStr">
        <is>
          <t>Ductos de PVC, para Ventilación de Túneles y Labores Subterráneas</t>
        </is>
      </c>
      <c r="C1300" s="66" t="inlineStr">
        <is>
          <t>Santiago</t>
        </is>
      </c>
      <c r="D1300" s="66" t="n"/>
      <c r="E1300" s="66" t="inlineStr">
        <is>
          <t>(56) 9 82332686</t>
        </is>
      </c>
      <c r="F1300" s="66" t="n"/>
      <c r="G1300" s="66" t="n"/>
      <c r="H1300" s="66" t="n"/>
      <c r="I1300" s="66" t="inlineStr">
        <is>
          <t>77930664-K</t>
        </is>
      </c>
      <c r="J1300" s="66" t="n"/>
      <c r="K1300" s="66" t="inlineStr">
        <is>
          <t>Ventas: MICRO 1 (0.01 - 200 UF) | Empleados: 0</t>
        </is>
      </c>
      <c r="L1300" s="61" t="n"/>
      <c r="M1300" s="61" t="n"/>
      <c r="N1300" s="61" t="n"/>
      <c r="O1300" s="61" t="n"/>
      <c r="P1300" s="61" t="n"/>
      <c r="Q1300" s="62" t="n"/>
      <c r="R1300" s="61" t="n"/>
    </row>
    <row r="1301" ht="15.75" customHeight="1" s="38">
      <c r="A1301" s="66" t="inlineStr">
        <is>
          <t>Mediterránea</t>
        </is>
      </c>
      <c r="B1301" s="66" t="inlineStr">
        <is>
          <t>Proveedor Destacado, Aseo y Hotelería, Servicios de Alimentación</t>
        </is>
      </c>
      <c r="C1301" s="66" t="inlineStr">
        <is>
          <t>Santiago</t>
        </is>
      </c>
      <c r="D1301" s="66" t="inlineStr">
        <is>
          <t>recepcion@mediterranea-group.cl</t>
        </is>
      </c>
      <c r="E1301" s="66" t="inlineStr">
        <is>
          <t>(56) 2 2204 6893</t>
        </is>
      </c>
      <c r="F1301" s="66" t="inlineStr">
        <is>
          <t>Gerente de TI / CIO (Director de Tecnología)</t>
        </is>
      </c>
      <c r="G1301" s="66" t="n"/>
      <c r="H1301" s="66" t="inlineStr">
        <is>
          <t>http://www.mediterranea-group.cl</t>
        </is>
      </c>
      <c r="I1301" s="66" t="inlineStr">
        <is>
          <t>59.179.270-9</t>
        </is>
      </c>
      <c r="J1301" s="66" t="n"/>
      <c r="K1301" s="66" t="inlineStr">
        <is>
          <t>Ventas: GRANDE 4 (Mas de 1.000.000 UF) | Empleados: 1735</t>
        </is>
      </c>
      <c r="L1301" s="61" t="n"/>
      <c r="M1301" s="61" t="n"/>
      <c r="N1301" s="61" t="n"/>
      <c r="O1301" s="61" t="n"/>
      <c r="P1301" s="61" t="n"/>
      <c r="Q1301" s="62" t="n"/>
      <c r="R1301" s="61" t="n"/>
    </row>
    <row r="1302" ht="15.75" customHeight="1" s="38">
      <c r="A1302" s="66" t="inlineStr">
        <is>
          <t>Megamin S.A.</t>
        </is>
      </c>
      <c r="B1302" s="66" t="inlineStr">
        <is>
          <t>Aceros para Perforación, Revestimientos de Poliuretano</t>
        </is>
      </c>
      <c r="C1302" s="66" t="inlineStr">
        <is>
          <t>Santiago</t>
        </is>
      </c>
      <c r="D1302" s="66" t="inlineStr">
        <is>
          <t>contacto@megamin.cl</t>
        </is>
      </c>
      <c r="E1302" s="66" t="inlineStr">
        <is>
          <t>(56) 2 2437 2803</t>
        </is>
      </c>
      <c r="F1302" s="66" t="inlineStr">
        <is>
          <t>Gerente de TI / CIO (Director de Tecnología)</t>
        </is>
      </c>
      <c r="G1302" s="66" t="n"/>
      <c r="H1302" s="66" t="n"/>
      <c r="I1302" s="66" t="inlineStr">
        <is>
          <t>76.011.809-5</t>
        </is>
      </c>
      <c r="J1302" s="66" t="n"/>
      <c r="K1302" s="66" t="inlineStr">
        <is>
          <t>Ventas: GRANDE 3 (600.000 - 1.000.000 UF) | Empleados: 8</t>
        </is>
      </c>
      <c r="L1302" s="61" t="n"/>
      <c r="M1302" s="61" t="n"/>
      <c r="N1302" s="61" t="n"/>
      <c r="O1302" s="61" t="n"/>
      <c r="P1302" s="61" t="n"/>
      <c r="Q1302" s="62" t="n"/>
      <c r="R1302" s="61" t="n"/>
    </row>
    <row r="1303" ht="15.75" customHeight="1" s="38">
      <c r="A1303" s="66" t="inlineStr">
        <is>
          <t>Mentoris</t>
        </is>
      </c>
      <c r="B1303" s="66" t="inlineStr">
        <is>
          <t>Proveedor Destacado</t>
        </is>
      </c>
      <c r="C1303" s="66" t="inlineStr">
        <is>
          <t>Santiago</t>
        </is>
      </c>
      <c r="D1303" s="66" t="inlineStr">
        <is>
          <t>csoto@mentoris.cl</t>
        </is>
      </c>
      <c r="E1303" s="66" t="n"/>
      <c r="F1303" s="66" t="n"/>
      <c r="G1303" s="66" t="n"/>
      <c r="H1303" s="66" t="inlineStr">
        <is>
          <t>http://www.mentoris.cl</t>
        </is>
      </c>
      <c r="I1303" s="66" t="inlineStr">
        <is>
          <t>76.768.933-0</t>
        </is>
      </c>
      <c r="J1303" s="66" t="n"/>
      <c r="K1303" s="66" t="inlineStr">
        <is>
          <t>Ventas: MEDIANA 1 (25.000 - 50.000 UF) | Empleados: 6</t>
        </is>
      </c>
      <c r="L1303" s="61" t="n"/>
      <c r="M1303" s="61" t="n"/>
      <c r="N1303" s="61" t="n"/>
      <c r="O1303" s="61" t="n"/>
      <c r="P1303" s="61" t="n"/>
      <c r="Q1303" s="62" t="n"/>
      <c r="R1303" s="61" t="n"/>
    </row>
    <row r="1304" ht="15.75" customHeight="1" s="38">
      <c r="A1304" s="66" t="inlineStr">
        <is>
          <t>Mercurio Conveyor Belt Chile SpA</t>
        </is>
      </c>
      <c r="B1304" s="66" t="inlineStr">
        <is>
          <t>Correas Transportadoras</t>
        </is>
      </c>
      <c r="C1304" s="66" t="inlineStr">
        <is>
          <t>Santiago</t>
        </is>
      </c>
      <c r="D1304" s="66" t="inlineStr">
        <is>
          <t>luis.toledo@mercurioconveyorbelt.com</t>
        </is>
      </c>
      <c r="E1304" s="66" t="inlineStr">
        <is>
          <t>(56) 2 2714 8739</t>
        </is>
      </c>
      <c r="F1304" s="66" t="n"/>
      <c r="G1304" s="66" t="n"/>
      <c r="H1304" s="66" t="n"/>
      <c r="I1304" s="66" t="inlineStr">
        <is>
          <t>76.415.037-6</t>
        </is>
      </c>
      <c r="J1304" s="66" t="n"/>
      <c r="K1304" s="66" t="inlineStr">
        <is>
          <t>Ventas: GRANDE 2 (200.000 - 600.000 UF) | Empleados: 9</t>
        </is>
      </c>
      <c r="L1304" s="61" t="n"/>
      <c r="M1304" s="61" t="n"/>
      <c r="N1304" s="61" t="n"/>
      <c r="O1304" s="61" t="n"/>
      <c r="P1304" s="61" t="n"/>
      <c r="Q1304" s="62" t="n"/>
      <c r="R1304" s="61" t="n"/>
    </row>
    <row r="1305" ht="15.75" customHeight="1" s="38">
      <c r="A1305" s="66" t="inlineStr">
        <is>
          <t>Meridian Servicios Geomáticos</t>
        </is>
      </c>
      <c r="B1305" s="66" t="inlineStr">
        <is>
          <t>Aerofotogrametría, Topografía</t>
        </is>
      </c>
      <c r="C1305" s="66" t="inlineStr">
        <is>
          <t>Santiago</t>
        </is>
      </c>
      <c r="D1305" s="66" t="inlineStr">
        <is>
          <t>meridian@serviciosgeomaticos.cl</t>
        </is>
      </c>
      <c r="E1305" s="66" t="inlineStr">
        <is>
          <t>(56) 2 2869 5374</t>
        </is>
      </c>
      <c r="F1305" s="66" t="n"/>
      <c r="G1305" s="66" t="n"/>
      <c r="H1305" s="66" t="n"/>
      <c r="I1305" s="66" t="inlineStr">
        <is>
          <t>76.885.578-1</t>
        </is>
      </c>
      <c r="J1305" s="66" t="n"/>
      <c r="K1305" s="66" t="inlineStr">
        <is>
          <t>Ventas: MEDIANA 2 (50.000 - 100.000 UF) | Empleados: 22</t>
        </is>
      </c>
      <c r="L1305" s="61" t="n"/>
      <c r="M1305" s="61" t="n"/>
      <c r="N1305" s="61" t="n"/>
      <c r="O1305" s="61" t="n"/>
      <c r="P1305" s="61" t="n"/>
      <c r="Q1305" s="62" t="n"/>
      <c r="R1305" s="61" t="n"/>
    </row>
    <row r="1306" ht="15.75" customHeight="1" s="38">
      <c r="A1306" s="66" t="inlineStr">
        <is>
          <t>Mersud SpA</t>
        </is>
      </c>
      <c r="B1306" s="66" t="inlineStr">
        <is>
          <t>Soldaduras en Acero Inoxidable</t>
        </is>
      </c>
      <c r="C1306" s="66" t="inlineStr">
        <is>
          <t>Santiago</t>
        </is>
      </c>
      <c r="D1306" s="66" t="inlineStr">
        <is>
          <t>mersud@mersud.cl</t>
        </is>
      </c>
      <c r="E1306" s="66" t="inlineStr">
        <is>
          <t>(56) 2 2689 4269</t>
        </is>
      </c>
      <c r="F1306" s="66" t="n"/>
      <c r="G1306" s="66" t="n"/>
      <c r="H1306" s="66" t="n"/>
      <c r="I1306" s="66" t="inlineStr">
        <is>
          <t>83.491.800-5</t>
        </is>
      </c>
      <c r="J1306" s="66" t="n"/>
      <c r="K1306" s="66" t="inlineStr">
        <is>
          <t>Ventas: GRANDE 1 (100.000 - 200.000 UF) | Empleados: 25</t>
        </is>
      </c>
      <c r="L1306" s="61" t="n"/>
      <c r="M1306" s="61" t="n"/>
      <c r="N1306" s="61" t="n"/>
      <c r="O1306" s="61" t="n"/>
      <c r="P1306" s="61" t="n"/>
      <c r="Q1306" s="62" t="n"/>
      <c r="R1306" s="61" t="n"/>
    </row>
    <row r="1307" ht="15.75" customHeight="1" s="38">
      <c r="A1307" s="66" t="inlineStr">
        <is>
          <t>Metalbox Ltda.</t>
        </is>
      </c>
      <c r="B1307" s="66" t="inlineStr">
        <is>
          <t>Armarios, Gabinetes y Cajas en Acero Inoxidable</t>
        </is>
      </c>
      <c r="C1307" s="66" t="inlineStr">
        <is>
          <t>Santiago</t>
        </is>
      </c>
      <c r="D1307" s="66" t="inlineStr">
        <is>
          <t>ventas@metalbox.cl</t>
        </is>
      </c>
      <c r="E1307" s="66" t="inlineStr">
        <is>
          <t>(56) 2 2949 3400</t>
        </is>
      </c>
      <c r="F1307" s="66" t="n"/>
      <c r="G1307" s="66" t="n"/>
      <c r="H1307" s="66" t="n"/>
      <c r="I1307" s="66" t="inlineStr">
        <is>
          <t>76.172.273-5</t>
        </is>
      </c>
      <c r="J1307" s="66" t="n"/>
      <c r="K1307" s="66" t="inlineStr">
        <is>
          <t>Ventas: MEDIANA 1 (25.000 - 50.000 UF) | Empleados: 10</t>
        </is>
      </c>
      <c r="L1307" s="61" t="n"/>
      <c r="M1307" s="61" t="n"/>
      <c r="N1307" s="61" t="n"/>
      <c r="O1307" s="61" t="n"/>
      <c r="P1307" s="61" t="n"/>
      <c r="Q1307" s="62" t="n"/>
      <c r="R1307" s="61" t="n"/>
    </row>
    <row r="1308" ht="15.75" customHeight="1" s="38">
      <c r="A1308" s="66" t="inlineStr">
        <is>
          <t>Metaldoor</t>
        </is>
      </c>
      <c r="B1308" s="66" t="inlineStr">
        <is>
          <t>Cortinas Metálicas Cortafuego, Cortinas Metálicas Industriales, Portones Industriales con Puertas Interiores Pasa Hombre para la Minería</t>
        </is>
      </c>
      <c r="C1308" s="66" t="inlineStr">
        <is>
          <t>Santiago</t>
        </is>
      </c>
      <c r="D1308" s="66" t="inlineStr">
        <is>
          <t>ysoto@metaldoor.cl</t>
        </is>
      </c>
      <c r="E1308" s="66" t="inlineStr">
        <is>
          <t>(56) 2 2736 0563</t>
        </is>
      </c>
      <c r="F1308" s="66" t="n"/>
      <c r="G1308" s="66" t="n"/>
      <c r="H1308" s="66" t="n"/>
      <c r="I1308" s="66" t="inlineStr">
        <is>
          <t>76.136.516-9</t>
        </is>
      </c>
      <c r="J1308" s="66" t="n"/>
      <c r="K1308" s="66" t="inlineStr">
        <is>
          <t>Ventas: MICRO 1 (0.01 - 200 UF) | Empleados: 0</t>
        </is>
      </c>
      <c r="L1308" s="61" t="n"/>
      <c r="M1308" s="61" t="n"/>
      <c r="N1308" s="61" t="n"/>
      <c r="O1308" s="61" t="n"/>
      <c r="P1308" s="61" t="n"/>
      <c r="Q1308" s="62" t="n"/>
      <c r="R1308" s="61" t="n"/>
    </row>
    <row r="1309" ht="15.75" customHeight="1" s="38">
      <c r="A1309" s="66" t="inlineStr">
        <is>
          <t>Metalex</t>
        </is>
      </c>
      <c r="B1309" s="66" t="inlineStr">
        <is>
          <t>Sinergias en Electroobtención y Electrorefinación</t>
        </is>
      </c>
      <c r="C1309" s="66" t="inlineStr">
        <is>
          <t>Santiago</t>
        </is>
      </c>
      <c r="D1309" s="66" t="inlineStr">
        <is>
          <t>alillo@metalex.cl</t>
        </is>
      </c>
      <c r="E1309" s="66" t="inlineStr">
        <is>
          <t>(56) 2 2335 2217</t>
        </is>
      </c>
      <c r="F1309" s="66" t="n"/>
      <c r="G1309" s="66" t="n"/>
      <c r="H1309" s="66" t="n"/>
      <c r="I1309" s="66" t="inlineStr">
        <is>
          <t>77.266.070-7</t>
        </is>
      </c>
      <c r="J1309" s="66" t="n"/>
      <c r="K1309" s="66" t="inlineStr">
        <is>
          <t>Ventas: MEDIANA 1 (25.000 - 50.000 UF) | Empleados: 0</t>
        </is>
      </c>
      <c r="L1309" s="61" t="n"/>
      <c r="M1309" s="61" t="n"/>
      <c r="N1309" s="61" t="n"/>
      <c r="O1309" s="61" t="n"/>
      <c r="P1309" s="61" t="n"/>
      <c r="Q1309" s="62" t="n"/>
      <c r="R1309" s="61" t="n"/>
    </row>
    <row r="1310" ht="15.75" customHeight="1" s="38">
      <c r="A1310" s="66" t="inlineStr">
        <is>
          <t>Metalusa Chile SpA</t>
        </is>
      </c>
      <c r="B1310" s="66" t="inlineStr">
        <is>
          <t>Andamios, Encofrados</t>
        </is>
      </c>
      <c r="C1310" s="66" t="n"/>
      <c r="D1310" s="66" t="inlineStr">
        <is>
          <t>metalusa@metalusa-chile.cl</t>
        </is>
      </c>
      <c r="E1310" s="66" t="inlineStr">
        <is>
          <t>(56) 41 215 2475</t>
        </is>
      </c>
      <c r="F1310" s="66" t="n"/>
      <c r="G1310" s="66" t="n"/>
      <c r="H1310" s="66" t="n"/>
      <c r="I1310" s="66" t="inlineStr">
        <is>
          <t>76.505.687-K</t>
        </is>
      </c>
      <c r="J1310" s="66" t="n"/>
      <c r="K1310" s="66" t="inlineStr">
        <is>
          <t>Ventas: PEQUEÑA 3 (10.000 - 25.000 UF) | Empleados: 7</t>
        </is>
      </c>
      <c r="L1310" s="61" t="n"/>
      <c r="M1310" s="61" t="n"/>
      <c r="N1310" s="61" t="n"/>
      <c r="O1310" s="61" t="n"/>
      <c r="P1310" s="61" t="n"/>
      <c r="Q1310" s="62" t="n"/>
      <c r="R1310" s="61" t="n"/>
    </row>
    <row r="1311" ht="15.75" customHeight="1" s="38">
      <c r="A1311" s="59" t="inlineStr">
        <is>
          <t>Metaproject Group</t>
        </is>
      </c>
      <c r="B1311" s="59" t="inlineStr">
        <is>
          <t>Proveedor Destacado, Diseño de Minas y Plantas, Diseño de Sistemas Contra Incendios, Servicios BPO - Backoffice, Servicios de Abastecimiento Nacional e Internacional, Servicios de Apoyo a la Construcción de Grandes Proyectos, Servicios de Inspección Técnica</t>
        </is>
      </c>
      <c r="C1311" s="59" t="inlineStr">
        <is>
          <t>Santiago</t>
        </is>
      </c>
      <c r="D1311" s="59" t="inlineStr">
        <is>
          <t>contacto@metaprojectgroup.com</t>
        </is>
      </c>
      <c r="E1311" s="59" t="inlineStr">
        <is>
          <t>(56) 2 2350 9900</t>
        </is>
      </c>
      <c r="F1311" s="59" t="inlineStr">
        <is>
          <t>Isabel Peñailillo (Gerente TI)</t>
        </is>
      </c>
      <c r="G1311" s="59" t="inlineStr">
        <is>
          <t>isabel.penailillo@metaproject.cl</t>
        </is>
      </c>
      <c r="H1311" s="59" t="inlineStr">
        <is>
          <t>http://www.metaprojectgroup.com</t>
        </is>
      </c>
      <c r="I1311" s="59" t="inlineStr">
        <is>
          <t>96.648.700-3</t>
        </is>
      </c>
      <c r="J1311" s="59" t="inlineStr">
        <is>
          <t>Investigación en Proceso</t>
        </is>
      </c>
      <c r="K1311" s="59" t="inlineStr">
        <is>
          <t>Ventas: GRANDE 3 (600.000 - 1.000.000 UF) | Empleados: 337</t>
        </is>
      </c>
      <c r="L1311" s="61" t="n"/>
      <c r="M1311" s="61" t="n"/>
      <c r="N1311" s="61" t="n"/>
      <c r="O1311" s="61" t="n"/>
      <c r="P1311" s="61" t="n"/>
      <c r="Q1311" s="62" t="n"/>
      <c r="R1311" s="61" t="n"/>
    </row>
    <row r="1312" ht="15.75" customHeight="1" s="38">
      <c r="A1312" s="66" t="inlineStr">
        <is>
          <t>Metcom Chile</t>
        </is>
      </c>
      <c r="B1312" s="66" t="inlineStr">
        <is>
          <t>Aplicaciones Industriales</t>
        </is>
      </c>
      <c r="C1312" s="66" t="inlineStr">
        <is>
          <t>Santiago</t>
        </is>
      </c>
      <c r="D1312" s="66" t="inlineStr">
        <is>
          <t>ventas@metcomchile.cl</t>
        </is>
      </c>
      <c r="E1312" s="66" t="inlineStr">
        <is>
          <t>(56) 9 8689 1504</t>
        </is>
      </c>
      <c r="F1312" s="66" t="n"/>
      <c r="G1312" s="66" t="n"/>
      <c r="H1312" s="66" t="n"/>
      <c r="I1312" s="66" t="inlineStr">
        <is>
          <t>76805289-1</t>
        </is>
      </c>
      <c r="J1312" s="66" t="n"/>
      <c r="K1312" s="66" t="inlineStr">
        <is>
          <t>Ventas: MICRO 1 (0.01 - 200 UF) | Empleados: 0</t>
        </is>
      </c>
      <c r="L1312" s="61" t="n"/>
      <c r="M1312" s="61" t="n"/>
      <c r="N1312" s="61" t="n"/>
      <c r="O1312" s="61" t="n"/>
      <c r="P1312" s="61" t="n"/>
      <c r="Q1312" s="62" t="n"/>
      <c r="R1312" s="61" t="n"/>
    </row>
    <row r="1313" ht="15.75" customHeight="1" s="38">
      <c r="A1313" s="59" t="inlineStr">
        <is>
          <t>Metecno S.A.</t>
        </is>
      </c>
      <c r="B1313" s="59" t="inlineStr">
        <is>
          <t>Cubiertas y Revestimientos para el Sector Minero</t>
        </is>
      </c>
      <c r="C1313" s="59" t="inlineStr">
        <is>
          <t>Santiago</t>
        </is>
      </c>
      <c r="D1313" s="59" t="inlineStr">
        <is>
          <t>info@metecno.cl</t>
        </is>
      </c>
      <c r="E1313" s="59" t="inlineStr">
        <is>
          <t>(56) 2 2438 7500</t>
        </is>
      </c>
      <c r="F1313" s="59" t="inlineStr">
        <is>
          <t>Nancy P. Díaz Sánchez (Encargada de Sistemas)</t>
        </is>
      </c>
      <c r="G1313" s="59" t="inlineStr">
        <is>
          <t>ndiaz@metecno.cl</t>
        </is>
      </c>
      <c r="H1313" s="59" t="n"/>
      <c r="I1313" s="59" t="inlineStr">
        <is>
          <t>99.500.750-9</t>
        </is>
      </c>
      <c r="J1313" s="59" t="inlineStr">
        <is>
          <t>Investigación en Proceso</t>
        </is>
      </c>
      <c r="K1313" s="59" t="inlineStr">
        <is>
          <t>Ventas: GRANDE 3 (600.000 - 1.000.000 UF) | Empleados: 72</t>
        </is>
      </c>
      <c r="L1313" s="61" t="n"/>
      <c r="M1313" s="61" t="n"/>
      <c r="N1313" s="61" t="n"/>
      <c r="O1313" s="61" t="n"/>
      <c r="P1313" s="61" t="n"/>
      <c r="Q1313" s="62" t="n"/>
      <c r="R1313" s="61" t="n"/>
    </row>
    <row r="1314" ht="15.75" customHeight="1" s="38">
      <c r="A1314" s="59" t="inlineStr">
        <is>
          <t>Metrika Ltda.</t>
        </is>
      </c>
      <c r="B1314" s="59" t="inlineStr">
        <is>
          <t>Sistemas Automáticos contra Incendios, Sistemas para Protección Contra Incendios</t>
        </is>
      </c>
      <c r="C1314" s="59" t="inlineStr">
        <is>
          <t>Rancagua</t>
        </is>
      </c>
      <c r="D1314" s="59" t="inlineStr">
        <is>
          <t>metrika@metrika.cl</t>
        </is>
      </c>
      <c r="E1314" s="59" t="inlineStr">
        <is>
          <t>(56) 72 225 7010</t>
        </is>
      </c>
      <c r="F1314" s="59" t="inlineStr">
        <is>
          <t>Maximiliano Gonzalez (Socio Fundador)</t>
        </is>
      </c>
      <c r="G1314" s="59" t="inlineStr">
        <is>
          <t>mgonzalez@metrika.cl</t>
        </is>
      </c>
      <c r="H1314" s="59" t="n"/>
      <c r="I1314" s="59" t="inlineStr">
        <is>
          <t>77.203.650-7</t>
        </is>
      </c>
      <c r="J1314" s="59" t="inlineStr">
        <is>
          <t>Investigación en Proceso</t>
        </is>
      </c>
      <c r="K1314" s="59" t="inlineStr">
        <is>
          <t>Ventas: GRANDE 3 (600.000 - 1.000.000 UF) | Empleados: 387</t>
        </is>
      </c>
      <c r="L1314" s="61" t="n"/>
      <c r="M1314" s="61" t="n"/>
      <c r="N1314" s="61" t="n"/>
      <c r="O1314" s="61" t="n"/>
      <c r="P1314" s="61" t="n"/>
      <c r="Q1314" s="62" t="n"/>
      <c r="R1314" s="61" t="n"/>
    </row>
    <row r="1315" ht="15.75" customHeight="1" s="38">
      <c r="A1315" s="66" t="inlineStr">
        <is>
          <t>Metso Chile SpA</t>
        </is>
      </c>
      <c r="B1315" s="66" t="inlineStr">
        <is>
          <t>Procesamiento de Minerales, Refinación de Metales</t>
        </is>
      </c>
      <c r="C1315" s="66" t="inlineStr">
        <is>
          <t>Santiago</t>
        </is>
      </c>
      <c r="D1315" s="66" t="inlineStr">
        <is>
          <t>soportealcliente.chile@metso.com</t>
        </is>
      </c>
      <c r="E1315" s="66" t="inlineStr">
        <is>
          <t>(56) 2 2290 9600</t>
        </is>
      </c>
      <c r="F1315" s="66" t="n"/>
      <c r="G1315" s="66" t="n"/>
      <c r="H1315" s="66" t="n"/>
      <c r="I1315" s="66" t="inlineStr">
        <is>
          <t>93077000-0</t>
        </is>
      </c>
      <c r="J1315" s="66" t="n"/>
      <c r="K1315" s="66" t="inlineStr">
        <is>
          <t>Ventas: GRANDE (Estimado por Empleados) | Empleados: 2689</t>
        </is>
      </c>
      <c r="L1315" s="61" t="n"/>
      <c r="M1315" s="61" t="n"/>
      <c r="N1315" s="61" t="n"/>
      <c r="O1315" s="61" t="n"/>
      <c r="P1315" s="61" t="n"/>
      <c r="Q1315" s="62" t="n"/>
      <c r="R1315" s="61" t="n"/>
    </row>
    <row r="1316" ht="15.75" customHeight="1" s="38">
      <c r="A1316" s="66" t="inlineStr">
        <is>
          <t>MicroControl Chile S.A.</t>
        </is>
      </c>
      <c r="B1316" s="66" t="inlineStr">
        <is>
          <t>Control de Asistencia de Personal, Relojes para Control de Asistencia de Personal</t>
        </is>
      </c>
      <c r="C1316" s="66" t="inlineStr">
        <is>
          <t>Santiago</t>
        </is>
      </c>
      <c r="D1316" s="66" t="inlineStr">
        <is>
          <t>info@microcontrol.cl</t>
        </is>
      </c>
      <c r="E1316" s="66" t="inlineStr">
        <is>
          <t>(56) 2 2435 8770</t>
        </is>
      </c>
      <c r="F1316" s="66" t="n"/>
      <c r="G1316" s="66" t="n"/>
      <c r="H1316" s="66" t="n"/>
      <c r="I1316" s="66" t="inlineStr">
        <is>
          <t>99.591.380-1</t>
        </is>
      </c>
      <c r="J1316" s="66" t="n"/>
      <c r="K1316" s="66" t="inlineStr">
        <is>
          <t>Ventas: MICRO 3 (600 - 2.400 UF) | Empleados: 0</t>
        </is>
      </c>
      <c r="L1316" s="61" t="n"/>
      <c r="M1316" s="61" t="n"/>
      <c r="N1316" s="61" t="n"/>
      <c r="O1316" s="61" t="n"/>
      <c r="P1316" s="61" t="n"/>
      <c r="Q1316" s="62" t="n"/>
      <c r="R1316" s="61" t="n"/>
    </row>
    <row r="1317" ht="15.75" customHeight="1" s="38">
      <c r="A1317" s="59" t="inlineStr">
        <is>
          <t>Microgeo</t>
        </is>
      </c>
      <c r="B1317" s="59" t="inlineStr">
        <is>
          <t>Cartografía, Datos Geoespaciales</t>
        </is>
      </c>
      <c r="C1317" s="59" t="inlineStr">
        <is>
          <t>Santiago</t>
        </is>
      </c>
      <c r="D1317" s="59" t="inlineStr">
        <is>
          <t>contacto@microgeo.cl</t>
        </is>
      </c>
      <c r="E1317" s="59" t="inlineStr">
        <is>
          <t>(56) 2 2658 0801</t>
        </is>
      </c>
      <c r="F1317" s="59" t="inlineStr">
        <is>
          <t>Rodrigo Herrera Pacheco (Gte. Innovación / CTO)</t>
        </is>
      </c>
      <c r="G1317" s="59" t="inlineStr">
        <is>
          <t>rherrera@microgeo.cl</t>
        </is>
      </c>
      <c r="H1317" s="59" t="n"/>
      <c r="I1317" s="59" t="inlineStr">
        <is>
          <t>88.579.800-4</t>
        </is>
      </c>
      <c r="J1317" s="59" t="inlineStr">
        <is>
          <t>Escaneo Láser SLAM &amp; Mapeo 3D Realtime</t>
        </is>
      </c>
      <c r="K1317" s="59" t="inlineStr">
        <is>
          <t>Ventas: GRANDE 4 (Mas de 1.000.000 UF) | Empleados: 156</t>
        </is>
      </c>
      <c r="L1317" s="61" t="n"/>
      <c r="M1317" s="61" t="n"/>
      <c r="N1317" s="61" t="n"/>
      <c r="O1317" s="61" t="n"/>
      <c r="P1317" s="61" t="n"/>
      <c r="Q1317" s="62" t="n"/>
      <c r="R1317" s="61" t="n"/>
    </row>
    <row r="1318" ht="15.75" customHeight="1" s="38">
      <c r="A1318" s="66" t="inlineStr">
        <is>
          <t>Mile S.A.</t>
        </is>
      </c>
      <c r="B1318" s="66" t="inlineStr">
        <is>
          <t>Equipos para Lubricación</t>
        </is>
      </c>
      <c r="C1318" s="66" t="inlineStr">
        <is>
          <t>Santiago</t>
        </is>
      </c>
      <c r="D1318" s="66" t="inlineStr">
        <is>
          <t>info@mile.cl</t>
        </is>
      </c>
      <c r="E1318" s="66" t="inlineStr">
        <is>
          <t>(56) 9 4225 0338</t>
        </is>
      </c>
      <c r="F1318" s="66" t="n"/>
      <c r="G1318" s="66" t="n"/>
      <c r="H1318" s="66" t="n"/>
      <c r="I1318" s="66" t="inlineStr">
        <is>
          <t>99.511.660-K</t>
        </is>
      </c>
      <c r="J1318" s="66" t="n"/>
      <c r="K1318" s="66" t="inlineStr">
        <is>
          <t>Ventas: GRANDE 1 (100.000 - 200.000 UF) | Empleados: 26</t>
        </is>
      </c>
      <c r="L1318" s="61" t="n"/>
      <c r="M1318" s="61" t="n"/>
      <c r="N1318" s="61" t="n"/>
      <c r="O1318" s="61" t="n"/>
      <c r="P1318" s="61" t="n"/>
      <c r="Q1318" s="62" t="n"/>
      <c r="R1318" s="61" t="n"/>
    </row>
    <row r="1319" ht="15.75" customHeight="1" s="38">
      <c r="A1319" s="66" t="inlineStr">
        <is>
          <t>MILL'S</t>
        </is>
      </c>
      <c r="B1319" s="66" t="inlineStr">
        <is>
          <t>Proveedor Destacado</t>
        </is>
      </c>
      <c r="C1319" s="66" t="inlineStr">
        <is>
          <t>Santiago</t>
        </is>
      </c>
      <c r="D1319" s="66" t="inlineStr">
        <is>
          <t>contacto@milma.cl</t>
        </is>
      </c>
      <c r="E1319" s="66" t="n"/>
      <c r="F1319" s="66" t="n"/>
      <c r="G1319" s="66" t="n"/>
      <c r="H1319" s="66" t="inlineStr">
        <is>
          <t>http://www.milma.cl</t>
        </is>
      </c>
      <c r="I1319" s="66" t="inlineStr">
        <is>
          <t>77.157.734-2</t>
        </is>
      </c>
      <c r="J1319" s="66" t="n"/>
      <c r="K1319" s="66" t="inlineStr">
        <is>
          <t>Ventas: GRANDE 2 (200.000 - 600.000 UF) | Empleados: 313</t>
        </is>
      </c>
      <c r="L1319" s="61" t="n"/>
      <c r="M1319" s="61" t="n"/>
      <c r="N1319" s="61" t="n"/>
      <c r="O1319" s="61" t="n"/>
      <c r="P1319" s="61" t="n"/>
      <c r="Q1319" s="62" t="n"/>
      <c r="R1319" s="61" t="n"/>
    </row>
    <row r="1320" ht="15.75" customHeight="1" s="38">
      <c r="A1320" s="66" t="inlineStr">
        <is>
          <t>Minabas Servicios Mineros SpA</t>
        </is>
      </c>
      <c r="B1320" s="66" t="inlineStr">
        <is>
          <t>Servicios Hidrometalúrgicos, Servicios para la Minería</t>
        </is>
      </c>
      <c r="C1320" s="66" t="inlineStr">
        <is>
          <t>Antofagasta</t>
        </is>
      </c>
      <c r="D1320" s="66" t="inlineStr">
        <is>
          <t>iguerra@minabas.cl</t>
        </is>
      </c>
      <c r="E1320" s="66" t="inlineStr">
        <is>
          <t>(56) 2 2853 2200</t>
        </is>
      </c>
      <c r="F1320" s="66" t="n"/>
      <c r="G1320" s="66" t="n"/>
      <c r="H1320" s="66" t="n"/>
      <c r="I1320" s="66" t="inlineStr">
        <is>
          <t>76.281.195-2</t>
        </is>
      </c>
      <c r="J1320" s="66" t="n"/>
      <c r="K1320" s="66" t="inlineStr">
        <is>
          <t>Ventas: GRANDE 1 (100.000 - 200.000 UF) | Empleados: 102</t>
        </is>
      </c>
      <c r="L1320" s="61" t="n"/>
      <c r="M1320" s="61" t="n"/>
      <c r="N1320" s="61" t="n"/>
      <c r="O1320" s="61" t="n"/>
      <c r="P1320" s="61" t="n"/>
      <c r="Q1320" s="62" t="n"/>
      <c r="R1320" s="61" t="n"/>
    </row>
    <row r="1321" ht="15.75" customHeight="1" s="38">
      <c r="A1321" s="66" t="inlineStr">
        <is>
          <t>Minco Maquinarias S.A.</t>
        </is>
      </c>
      <c r="B1321" s="66" t="inlineStr">
        <is>
          <t>Retroexcavadoras</t>
        </is>
      </c>
      <c r="C1321" s="66" t="n"/>
      <c r="D1321" s="66" t="inlineStr">
        <is>
          <t>minco@minco.cl</t>
        </is>
      </c>
      <c r="E1321" s="66" t="inlineStr">
        <is>
          <t>(56) 2 2733 5248</t>
        </is>
      </c>
      <c r="F1321" s="66" t="n"/>
      <c r="G1321" s="66" t="n"/>
      <c r="H1321" s="66" t="n"/>
      <c r="I1321" s="66" t="inlineStr">
        <is>
          <t>96.959.180-4</t>
        </is>
      </c>
      <c r="J1321" s="66" t="n"/>
      <c r="K1321" s="66" t="inlineStr">
        <is>
          <t>Ventas: MEDIANA 2 (50.000 - 100.000 UF) | Empleados: 11</t>
        </is>
      </c>
      <c r="L1321" s="61" t="n"/>
      <c r="M1321" s="61" t="n"/>
      <c r="N1321" s="61" t="n"/>
      <c r="O1321" s="61" t="n"/>
      <c r="P1321" s="61" t="n"/>
      <c r="Q1321" s="62" t="n"/>
      <c r="R1321" s="61" t="n"/>
    </row>
    <row r="1322" ht="15.75" customHeight="1" s="38">
      <c r="A1322" s="59" t="inlineStr">
        <is>
          <t>Mincon Chile S.A.</t>
        </is>
      </c>
      <c r="B1322" s="59" t="inlineStr">
        <is>
          <t>Equipos de Perforación</t>
        </is>
      </c>
      <c r="C1322" s="59" t="inlineStr">
        <is>
          <t>Santiago</t>
        </is>
      </c>
      <c r="D1322" s="59" t="inlineStr">
        <is>
          <t>ventaschile@mincon.com</t>
        </is>
      </c>
      <c r="E1322" s="59" t="inlineStr">
        <is>
          <t>(56) 2 3223 9351</t>
        </is>
      </c>
      <c r="F1322" s="59" t="inlineStr">
        <is>
          <t>Jean Paul Droguett Saavedra (Gerente General)</t>
        </is>
      </c>
      <c r="G1322" s="59" t="n"/>
      <c r="H1322" s="59" t="n"/>
      <c r="I1322" s="59" t="inlineStr">
        <is>
          <t>76.421.150-2</t>
        </is>
      </c>
      <c r="J1322" s="59" t="inlineStr">
        <is>
          <t>Eficiencia Perforación &amp; Expansión Centro Técnico</t>
        </is>
      </c>
      <c r="K1322" s="59" t="inlineStr">
        <is>
          <t>Ventas: GRANDE 2 (200.000 - 600.000 UF) | Empleados: 41</t>
        </is>
      </c>
      <c r="L1322" s="61" t="n"/>
      <c r="M1322" s="61" t="n"/>
      <c r="N1322" s="61" t="n"/>
      <c r="O1322" s="61" t="n"/>
      <c r="P1322" s="61" t="n"/>
      <c r="Q1322" s="62" t="n"/>
      <c r="R1322" s="61" t="n"/>
    </row>
    <row r="1323" ht="15.75" customHeight="1" s="38">
      <c r="A1323" s="66" t="inlineStr">
        <is>
          <t>Mincore</t>
        </is>
      </c>
      <c r="B1323" s="66" t="inlineStr">
        <is>
          <t>Asesorías en Gestión Empresarial</t>
        </is>
      </c>
      <c r="C1323" s="66" t="inlineStr">
        <is>
          <t>Santiago</t>
        </is>
      </c>
      <c r="D1323" s="66" t="inlineStr">
        <is>
          <t>info@mincore.cl</t>
        </is>
      </c>
      <c r="E1323" s="66" t="inlineStr">
        <is>
          <t>(56) 9 4578 1584</t>
        </is>
      </c>
      <c r="F1323" s="66" t="n"/>
      <c r="G1323" s="66" t="n"/>
      <c r="H1323" s="66" t="n"/>
      <c r="I1323" s="66" t="inlineStr">
        <is>
          <t>76244579-4</t>
        </is>
      </c>
      <c r="J1323" s="66" t="n"/>
      <c r="K1323" s="66" t="inlineStr">
        <is>
          <t>Ventas: MICRO 1 (0.01 - 200 UF) | Empleados: 0</t>
        </is>
      </c>
      <c r="L1323" s="61" t="n"/>
      <c r="M1323" s="61" t="n"/>
      <c r="N1323" s="61" t="n"/>
      <c r="O1323" s="61" t="n"/>
      <c r="P1323" s="61" t="n"/>
      <c r="Q1323" s="62" t="n"/>
      <c r="R1323" s="61" t="n"/>
    </row>
    <row r="1324" ht="15.75" customHeight="1" s="38">
      <c r="A1324" s="59" t="inlineStr">
        <is>
          <t>Mindugar</t>
        </is>
      </c>
      <c r="B1324" s="59" t="inlineStr">
        <is>
          <t>Automatización de Bodegas, Racks para Almacenaje</t>
        </is>
      </c>
      <c r="C1324" s="59" t="inlineStr">
        <is>
          <t>Santiago</t>
        </is>
      </c>
      <c r="D1324" s="59" t="inlineStr">
        <is>
          <t>ventas@mindugar.cl</t>
        </is>
      </c>
      <c r="E1324" s="59" t="inlineStr">
        <is>
          <t>(56) 2 2870 7400</t>
        </is>
      </c>
      <c r="F1324" s="59" t="inlineStr">
        <is>
          <t>Ignacio Garcia (Gerente Informática)</t>
        </is>
      </c>
      <c r="G1324" s="59" t="inlineStr">
        <is>
          <t>igarcia@mindugar.cl</t>
        </is>
      </c>
      <c r="H1324" s="59" t="n"/>
      <c r="I1324" s="59" t="inlineStr">
        <is>
          <t>96.588.890-K</t>
        </is>
      </c>
      <c r="J1324" s="59" t="inlineStr">
        <is>
          <t>Investigación en Proceso</t>
        </is>
      </c>
      <c r="K1324" s="59" t="inlineStr">
        <is>
          <t>Ventas: GRANDE 3 (600.000 - 1.000.000 UF) | Empleados: 121</t>
        </is>
      </c>
      <c r="L1324" s="61" t="n"/>
      <c r="M1324" s="61" t="n"/>
      <c r="N1324" s="61" t="n"/>
      <c r="O1324" s="61" t="n"/>
      <c r="P1324" s="61" t="n"/>
      <c r="Q1324" s="62" t="n"/>
      <c r="R1324" s="61" t="n"/>
    </row>
    <row r="1325" ht="15.75" customHeight="1" s="38">
      <c r="A1325" s="66" t="inlineStr">
        <is>
          <t>Mine Blaster</t>
        </is>
      </c>
      <c r="B1325" s="66" t="inlineStr">
        <is>
          <t>Control de Niveles Remoto, Sistemas de Gestión de Mangueras, Sistemas para Monitoreo de las Condiciones del Camino</t>
        </is>
      </c>
      <c r="C1325" s="66" t="inlineStr">
        <is>
          <t>Santiago</t>
        </is>
      </c>
      <c r="D1325" s="66" t="inlineStr">
        <is>
          <t>info@mineblaster.cl</t>
        </is>
      </c>
      <c r="E1325" s="66" t="inlineStr">
        <is>
          <t>(56) 2 2953 5474</t>
        </is>
      </c>
      <c r="F1325" s="66" t="n"/>
      <c r="G1325" s="66" t="n"/>
      <c r="H1325" s="66" t="n"/>
      <c r="I1325" s="66" t="inlineStr">
        <is>
          <t>76569786-7</t>
        </is>
      </c>
      <c r="J1325" s="66" t="n"/>
      <c r="K1325" s="66" t="inlineStr">
        <is>
          <t>Ventas: MEDIANA 2 (50.000 - 100.000 UF) | Empleados: 6</t>
        </is>
      </c>
      <c r="L1325" s="61" t="n"/>
      <c r="M1325" s="61" t="n"/>
      <c r="N1325" s="61" t="n"/>
      <c r="O1325" s="61" t="n"/>
      <c r="P1325" s="61" t="n"/>
      <c r="Q1325" s="62" t="n"/>
      <c r="R1325" s="61" t="n"/>
    </row>
    <row r="1326" ht="15.75" customHeight="1" s="38">
      <c r="A1326" s="66" t="inlineStr">
        <is>
          <t>Mine Trust</t>
        </is>
      </c>
      <c r="B1326" s="66" t="inlineStr">
        <is>
          <t>Productos para Correas Transportadoras, Sistemas de Medición para Correas Transportadoras</t>
        </is>
      </c>
      <c r="C1326" s="66" t="inlineStr">
        <is>
          <t>Santiago</t>
        </is>
      </c>
      <c r="D1326" s="66" t="inlineStr">
        <is>
          <t>contacto@minetrust.com</t>
        </is>
      </c>
      <c r="E1326" s="66" t="inlineStr">
        <is>
          <t>(56) 2 3203 9516</t>
        </is>
      </c>
      <c r="F1326" s="66" t="inlineStr">
        <is>
          <t>Gerente de TI / CIO (Director de Tecnología)</t>
        </is>
      </c>
      <c r="G1326" s="66" t="n"/>
      <c r="H1326" s="66" t="n"/>
      <c r="I1326" s="66" t="inlineStr">
        <is>
          <t>76299786-K</t>
        </is>
      </c>
      <c r="J1326" s="66" t="n"/>
      <c r="K1326" s="66" t="inlineStr">
        <is>
          <t>Ventas: GRANDE 3 (600.000 - 1.000.000 UF) | Empleados: 24</t>
        </is>
      </c>
      <c r="L1326" s="61" t="n"/>
      <c r="M1326" s="61" t="n"/>
      <c r="N1326" s="61" t="n"/>
      <c r="O1326" s="61" t="n"/>
      <c r="P1326" s="61" t="n"/>
      <c r="Q1326" s="62" t="n"/>
      <c r="R1326" s="61" t="n"/>
    </row>
    <row r="1327" ht="15.75" customHeight="1" s="38">
      <c r="A1327" s="66" t="inlineStr">
        <is>
          <t>Minearc Systems S.A.</t>
        </is>
      </c>
      <c r="B1327" s="66" t="inlineStr">
        <is>
          <t>Cámaras de Refugio, Sistemas de Gestión de Residuos</t>
        </is>
      </c>
      <c r="C1327" s="66" t="inlineStr">
        <is>
          <t>Santiago</t>
        </is>
      </c>
      <c r="D1327" s="66" t="inlineStr">
        <is>
          <t>info@minearc.com</t>
        </is>
      </c>
      <c r="E1327" s="66" t="inlineStr">
        <is>
          <t>(56) 2 2964 4290</t>
        </is>
      </c>
      <c r="F1327" s="66" t="n"/>
      <c r="G1327" s="66" t="n"/>
      <c r="H1327" s="66" t="n"/>
      <c r="I1327" s="66" t="inlineStr">
        <is>
          <t>76.130.838-6</t>
        </is>
      </c>
      <c r="J1327" s="66" t="n"/>
      <c r="K1327" s="66" t="inlineStr">
        <is>
          <t>Ventas: MEDIANA 2 (50.000 - 100.000 UF) | Empleados: 6</t>
        </is>
      </c>
      <c r="L1327" s="61" t="n"/>
      <c r="M1327" s="61" t="n"/>
      <c r="N1327" s="61" t="n"/>
      <c r="O1327" s="61" t="n"/>
      <c r="P1327" s="61" t="n"/>
      <c r="Q1327" s="62" t="n"/>
      <c r="R1327" s="61" t="n"/>
    </row>
    <row r="1328" ht="15.75" customHeight="1" s="38">
      <c r="A1328" s="66" t="inlineStr">
        <is>
          <t>Minecomcal Chile Ltda.</t>
        </is>
      </c>
      <c r="B1328" s="66" t="inlineStr">
        <is>
          <t>Alineadores para Correas Transportadoras, Equipos para Correas Transportadoras, Polines</t>
        </is>
      </c>
      <c r="C1328" s="66" t="inlineStr">
        <is>
          <t>Calama</t>
        </is>
      </c>
      <c r="D1328" s="66" t="inlineStr">
        <is>
          <t>info@minecomcalchile.cl</t>
        </is>
      </c>
      <c r="E1328" s="66" t="inlineStr">
        <is>
          <t>(56) 9 6617 0935</t>
        </is>
      </c>
      <c r="F1328" s="66" t="n"/>
      <c r="G1328" s="66" t="n"/>
      <c r="H1328" s="66" t="n"/>
      <c r="I1328" s="66" t="inlineStr">
        <is>
          <t>76.232.405-9</t>
        </is>
      </c>
      <c r="J1328" s="66" t="n"/>
      <c r="K1328" s="66" t="inlineStr">
        <is>
          <t>Ventas: PEQUEÑA 3 (10.000 - 25.000 UF) | Empleados: 2</t>
        </is>
      </c>
      <c r="L1328" s="61" t="n"/>
      <c r="M1328" s="61" t="n"/>
      <c r="N1328" s="61" t="n"/>
      <c r="O1328" s="61" t="n"/>
      <c r="P1328" s="61" t="n"/>
      <c r="Q1328" s="62" t="n"/>
      <c r="R1328" s="61" t="n"/>
    </row>
    <row r="1329" ht="15.75" customHeight="1" s="38">
      <c r="A1329" s="66" t="inlineStr">
        <is>
          <t>Minepartner S.A.</t>
        </is>
      </c>
      <c r="B1329" s="66" t="inlineStr">
        <is>
          <t>Repuestos para Palas, Repuestos para Palas y Perforadoras</t>
        </is>
      </c>
      <c r="C1329" s="66" t="inlineStr">
        <is>
          <t>Antofagasta</t>
        </is>
      </c>
      <c r="D1329" s="66" t="inlineStr">
        <is>
          <t>ventas@minepartner.cl</t>
        </is>
      </c>
      <c r="E1329" s="66" t="inlineStr">
        <is>
          <t>(56) 55 289 5040</t>
        </is>
      </c>
      <c r="F1329" s="66" t="n"/>
      <c r="G1329" s="66" t="n"/>
      <c r="H1329" s="66" t="n"/>
      <c r="I1329" s="66" t="inlineStr">
        <is>
          <t>76.083.165-4</t>
        </is>
      </c>
      <c r="J1329" s="66" t="n"/>
      <c r="K1329" s="66" t="inlineStr">
        <is>
          <t>Ventas: GRANDE 2 (200.000 - 600.000 UF) | Empleados: 104</t>
        </is>
      </c>
      <c r="L1329" s="61" t="n"/>
      <c r="M1329" s="61" t="n"/>
      <c r="N1329" s="61" t="n"/>
      <c r="O1329" s="61" t="n"/>
      <c r="P1329" s="61" t="n"/>
      <c r="Q1329" s="62" t="n"/>
      <c r="R1329" s="61" t="n"/>
    </row>
    <row r="1330" ht="15.75" customHeight="1" s="38">
      <c r="A1330" s="66" t="inlineStr">
        <is>
          <t>Minera Albemarle</t>
        </is>
      </c>
      <c r="B1330" s="66" t="inlineStr">
        <is>
          <t>Carbonato de Litio, Carbonato de Litio grado batería, Cloruro de Litio, Cloruro de Potasio</t>
        </is>
      </c>
      <c r="C1330" s="66" t="inlineStr">
        <is>
          <t>Santiago</t>
        </is>
      </c>
      <c r="D1330" s="66" t="n"/>
      <c r="E1330" s="66" t="inlineStr">
        <is>
          <t>(56) 55 235 1008</t>
        </is>
      </c>
      <c r="F1330" s="66" t="n"/>
      <c r="G1330" s="66" t="n"/>
      <c r="H1330" s="66" t="n"/>
      <c r="I1330" s="66" t="inlineStr">
        <is>
          <t>85.066.600-8</t>
        </is>
      </c>
      <c r="J1330" s="66" t="n"/>
      <c r="K1330" s="66" t="inlineStr">
        <is>
          <t>Ventas: GRANDE (Estimado por Empleados) | Empleados: 1285</t>
        </is>
      </c>
      <c r="L1330" s="61" t="n"/>
      <c r="M1330" s="61" t="n"/>
      <c r="N1330" s="61" t="n"/>
      <c r="O1330" s="61" t="n"/>
      <c r="P1330" s="61" t="n"/>
      <c r="Q1330" s="62" t="n"/>
      <c r="R1330" s="61" t="n"/>
    </row>
    <row r="1331" ht="15.75" customHeight="1" s="38">
      <c r="A1331" s="66" t="inlineStr">
        <is>
          <t>Minera Altos de Punitaqui</t>
        </is>
      </c>
      <c r="B1331" s="66" t="inlineStr">
        <is>
          <t>Cobre</t>
        </is>
      </c>
      <c r="C1331" s="66" t="inlineStr">
        <is>
          <t>Ovalle</t>
        </is>
      </c>
      <c r="D1331" s="66" t="inlineStr">
        <is>
          <t>recepcion@altospunitaqui.cl</t>
        </is>
      </c>
      <c r="E1331" s="66" t="inlineStr">
        <is>
          <t>(56) 53 242 4900</t>
        </is>
      </c>
      <c r="F1331" s="66" t="n"/>
      <c r="G1331" s="66" t="n"/>
      <c r="H1331" s="66" t="n"/>
      <c r="I1331" s="66" t="inlineStr">
        <is>
          <t>76.099.463-4</t>
        </is>
      </c>
      <c r="J1331" s="66" t="n"/>
      <c r="K1331" s="66" t="inlineStr">
        <is>
          <t>Ventas: MEDIANA 1 (25.000 - 50.000 UF) | Empleados: 0</t>
        </is>
      </c>
      <c r="L1331" s="61" t="n"/>
      <c r="M1331" s="61" t="n"/>
      <c r="N1331" s="61" t="n"/>
      <c r="O1331" s="61" t="n"/>
      <c r="P1331" s="61" t="n"/>
      <c r="Q1331" s="62" t="n"/>
      <c r="R1331" s="61" t="n"/>
    </row>
    <row r="1332" ht="15.75" customHeight="1" s="38">
      <c r="A1332" s="66" t="inlineStr">
        <is>
          <t>Minera Antucoya</t>
        </is>
      </c>
      <c r="B1332" s="66" t="inlineStr">
        <is>
          <t>Cobre (óxidos)</t>
        </is>
      </c>
      <c r="C1332" s="66" t="inlineStr">
        <is>
          <t>Santiago</t>
        </is>
      </c>
      <c r="D1332" s="66" t="inlineStr">
        <is>
          <t>consultas@antucoya.cl</t>
        </is>
      </c>
      <c r="E1332" s="66" t="inlineStr">
        <is>
          <t>(56) 2 2798 7000</t>
        </is>
      </c>
      <c r="F1332" s="66" t="n"/>
      <c r="G1332" s="66" t="n"/>
      <c r="H1332" s="66" t="n"/>
      <c r="I1332" s="66" t="inlineStr">
        <is>
          <t>76.079.669-7</t>
        </is>
      </c>
      <c r="J1332" s="66" t="n"/>
      <c r="K1332" s="66" t="inlineStr">
        <is>
          <t>Ventas: GRANDE (Estimado por Empleados) | Empleados: 1080</t>
        </is>
      </c>
      <c r="L1332" s="61" t="n"/>
      <c r="M1332" s="61" t="n"/>
      <c r="N1332" s="61" t="n"/>
      <c r="O1332" s="61" t="n"/>
      <c r="P1332" s="61" t="n"/>
      <c r="Q1332" s="62" t="n"/>
      <c r="R1332" s="61" t="n"/>
    </row>
    <row r="1333" ht="15.75" customHeight="1" s="38">
      <c r="A1333" s="66" t="inlineStr">
        <is>
          <t>Minera Carola</t>
        </is>
      </c>
      <c r="B1333" s="66" t="inlineStr">
        <is>
          <t>Cobre, Plata</t>
        </is>
      </c>
      <c r="C1333" s="66" t="inlineStr">
        <is>
          <t>Santiago</t>
        </is>
      </c>
      <c r="D1333" s="66" t="inlineStr">
        <is>
          <t>contacto@carola-coemin.cl</t>
        </is>
      </c>
      <c r="E1333" s="66" t="inlineStr">
        <is>
          <t>(56) 2 2569 6100</t>
        </is>
      </c>
      <c r="F1333" s="66" t="n"/>
      <c r="G1333" s="66" t="n"/>
      <c r="H1333" s="66" t="n"/>
      <c r="I1333" s="66" t="inlineStr">
        <is>
          <t>79.664.330-7</t>
        </is>
      </c>
      <c r="J1333" s="66" t="n"/>
      <c r="K1333" s="66" t="inlineStr">
        <is>
          <t>Ventas: GRANDE (Estimado por Empleados) | Empleados: 832</t>
        </is>
      </c>
      <c r="L1333" s="61" t="n"/>
      <c r="M1333" s="61" t="n"/>
      <c r="N1333" s="61" t="n"/>
      <c r="O1333" s="61" t="n"/>
      <c r="P1333" s="61" t="n"/>
      <c r="Q1333" s="62" t="n"/>
      <c r="R1333" s="61" t="n"/>
    </row>
    <row r="1334" ht="15.75" customHeight="1" s="38">
      <c r="A1334" s="66" t="inlineStr">
        <is>
          <t>Minera Cerro Negro</t>
        </is>
      </c>
      <c r="B1334" s="66" t="inlineStr">
        <is>
          <t>Cátodos de Cobre, Concentrados de Cobre y Plata</t>
        </is>
      </c>
      <c r="C1334" s="66" t="inlineStr">
        <is>
          <t>Cabildo</t>
        </is>
      </c>
      <c r="D1334" s="66" t="inlineStr">
        <is>
          <t>rodrigo.avila@cerronegro.cl</t>
        </is>
      </c>
      <c r="E1334" s="66" t="inlineStr">
        <is>
          <t>(56) 33 271 3900</t>
        </is>
      </c>
      <c r="F1334" s="66" t="n"/>
      <c r="G1334" s="66" t="n"/>
      <c r="H1334" s="66" t="n"/>
      <c r="I1334" s="66" t="inlineStr">
        <is>
          <t>91.614.000-2</t>
        </is>
      </c>
      <c r="J1334" s="66" t="n"/>
      <c r="K1334" s="66" t="inlineStr">
        <is>
          <t>Ventas: GRANDE (Estimado por Empleados) | Empleados: 268</t>
        </is>
      </c>
      <c r="L1334" s="61" t="n"/>
      <c r="M1334" s="61" t="n"/>
      <c r="N1334" s="61" t="n"/>
      <c r="O1334" s="61" t="n"/>
      <c r="P1334" s="61" t="n"/>
      <c r="Q1334" s="62" t="n"/>
      <c r="R1334" s="61" t="n"/>
    </row>
    <row r="1335" ht="15.75" customHeight="1" s="38">
      <c r="A1335" s="66" t="inlineStr">
        <is>
          <t>Minera Cordillera</t>
        </is>
      </c>
      <c r="B1335" s="66" t="inlineStr">
        <is>
          <t>Cloruro de Sodio</t>
        </is>
      </c>
      <c r="C1335" s="66" t="inlineStr">
        <is>
          <t>Santiago</t>
        </is>
      </c>
      <c r="D1335" s="66" t="inlineStr">
        <is>
          <t>contact@cmcordillera.cl</t>
        </is>
      </c>
      <c r="E1335" s="66" t="inlineStr">
        <is>
          <t>(56) 2 2429 4470</t>
        </is>
      </c>
      <c r="F1335" s="66" t="inlineStr">
        <is>
          <t>Gerente de TI / CIO (Director de Tecnología)</t>
        </is>
      </c>
      <c r="G1335" s="66" t="n"/>
      <c r="H1335" s="66" t="n"/>
      <c r="I1335" s="66" t="inlineStr">
        <is>
          <t>76.800.800-0</t>
        </is>
      </c>
      <c r="J1335" s="66" t="n"/>
      <c r="K1335" s="66" t="inlineStr">
        <is>
          <t>Ventas: GRANDE 4 (Mas de 1.000.000 UF) | Empleados: 41</t>
        </is>
      </c>
      <c r="L1335" s="61" t="n"/>
      <c r="M1335" s="61" t="n"/>
      <c r="N1335" s="61" t="n"/>
      <c r="O1335" s="61" t="n"/>
      <c r="P1335" s="61" t="n"/>
      <c r="Q1335" s="62" t="n"/>
      <c r="R1335" s="61" t="n"/>
    </row>
    <row r="1336" ht="15.75" customHeight="1" s="38">
      <c r="A1336" s="66" t="inlineStr">
        <is>
          <t>Minera Cruz</t>
        </is>
      </c>
      <c r="B1336" s="66" t="inlineStr">
        <is>
          <t>Concentrado de Cobre, Concentrado de Oro</t>
        </is>
      </c>
      <c r="C1336" s="66" t="inlineStr">
        <is>
          <t>Ovalle</t>
        </is>
      </c>
      <c r="D1336" s="66" t="inlineStr">
        <is>
          <t>contacto@mineracruz.cl</t>
        </is>
      </c>
      <c r="E1336" s="66" t="inlineStr">
        <is>
          <t>(56) 53 262 0543</t>
        </is>
      </c>
      <c r="F1336" s="66" t="inlineStr">
        <is>
          <t>Gerente de TI / CIO (Director de Tecnología)</t>
        </is>
      </c>
      <c r="G1336" s="66" t="n"/>
      <c r="H1336" s="66" t="n"/>
      <c r="I1336" s="66" t="inlineStr">
        <is>
          <t>76.118.700-7</t>
        </is>
      </c>
      <c r="J1336" s="66" t="n"/>
      <c r="K1336" s="66" t="inlineStr">
        <is>
          <t>Ventas: GRANDE 3 (600.000 - 1.000.000 UF) | Empleados: 208</t>
        </is>
      </c>
      <c r="L1336" s="61" t="n"/>
      <c r="M1336" s="61" t="n"/>
      <c r="N1336" s="61" t="n"/>
      <c r="O1336" s="61" t="n"/>
      <c r="P1336" s="61" t="n"/>
      <c r="Q1336" s="62" t="n"/>
      <c r="R1336" s="61" t="n"/>
    </row>
    <row r="1337" ht="15.75" customHeight="1" s="38">
      <c r="A1337" s="66" t="inlineStr">
        <is>
          <t>Minera de Tocopilla</t>
        </is>
      </c>
      <c r="B1337" s="66" t="inlineStr">
        <is>
          <t>Cobre</t>
        </is>
      </c>
      <c r="C1337" s="66" t="inlineStr">
        <is>
          <t>Santiago</t>
        </is>
      </c>
      <c r="D1337" s="66" t="inlineStr">
        <is>
          <t>f.mercado@mantosdelaluna.cl</t>
        </is>
      </c>
      <c r="E1337" s="66" t="inlineStr">
        <is>
          <t>(56) 2 2676 7500</t>
        </is>
      </c>
      <c r="F1337" s="66" t="n"/>
      <c r="G1337" s="66" t="n"/>
      <c r="H1337" s="66" t="n"/>
      <c r="I1337" s="66" t="inlineStr">
        <is>
          <t>90.052.000-K</t>
        </is>
      </c>
      <c r="J1337" s="66" t="n"/>
      <c r="K1337" s="66" t="inlineStr">
        <is>
          <t>Ventas: MICRO 1 (0.01 - 200 UF) | Empleados: 0</t>
        </is>
      </c>
      <c r="L1337" s="61" t="n"/>
      <c r="M1337" s="61" t="n"/>
      <c r="N1337" s="61" t="n"/>
      <c r="O1337" s="61" t="n"/>
      <c r="P1337" s="61" t="n"/>
      <c r="Q1337" s="62" t="n"/>
      <c r="R1337" s="61" t="n"/>
    </row>
    <row r="1338" ht="15.75" customHeight="1" s="38">
      <c r="A1338" s="66" t="inlineStr">
        <is>
          <t>Minera El Peñón</t>
        </is>
      </c>
      <c r="B1338" s="66" t="inlineStr">
        <is>
          <t>Plata de Alto Grado</t>
        </is>
      </c>
      <c r="C1338" s="66" t="inlineStr">
        <is>
          <t>Antofagasta</t>
        </is>
      </c>
      <c r="D1338" s="66" t="inlineStr">
        <is>
          <t>gretty.infante@yamana.com</t>
        </is>
      </c>
      <c r="E1338" s="66" t="inlineStr">
        <is>
          <t>(56) 55 256 6600</t>
        </is>
      </c>
      <c r="F1338" s="66" t="n"/>
      <c r="G1338" s="66" t="n"/>
      <c r="H1338" s="66" t="n"/>
      <c r="I1338" s="66" t="inlineStr">
        <is>
          <t>96.508.670-6</t>
        </is>
      </c>
      <c r="J1338" s="66" t="n"/>
      <c r="K1338" s="66" t="inlineStr">
        <is>
          <t>Ventas: GRANDE (Estimado por Empleados) | Empleados: 1530</t>
        </is>
      </c>
      <c r="L1338" s="61" t="n"/>
      <c r="M1338" s="61" t="n"/>
      <c r="N1338" s="61" t="n"/>
      <c r="O1338" s="61" t="n"/>
      <c r="P1338" s="61" t="n"/>
      <c r="Q1338" s="62" t="n"/>
      <c r="R1338" s="61" t="n"/>
    </row>
    <row r="1339" ht="15.75" customHeight="1" s="38">
      <c r="A1339" s="66" t="inlineStr">
        <is>
          <t>Minera Escondida</t>
        </is>
      </c>
      <c r="B1339" s="66" t="inlineStr">
        <is>
          <t>Cátodos de Cobre, Concentrado de Cobre</t>
        </is>
      </c>
      <c r="C1339" s="66" t="inlineStr">
        <is>
          <t>Antofagasta</t>
        </is>
      </c>
      <c r="D1339" s="66" t="n"/>
      <c r="E1339" s="66" t="inlineStr">
        <is>
          <t>(56) 55 220 3000</t>
        </is>
      </c>
      <c r="F1339" s="66" t="n"/>
      <c r="G1339" s="66" t="n"/>
      <c r="H1339" s="66" t="n"/>
      <c r="I1339" s="66" t="inlineStr">
        <is>
          <t>79.587.210-8</t>
        </is>
      </c>
      <c r="J1339" s="66" t="n"/>
      <c r="K1339" s="66" t="inlineStr">
        <is>
          <t>Ventas: GRANDE (Estimado por Empleados) | Empleados: 4683</t>
        </is>
      </c>
      <c r="L1339" s="61" t="n"/>
      <c r="M1339" s="61" t="n"/>
      <c r="N1339" s="61" t="n"/>
      <c r="O1339" s="61" t="n"/>
      <c r="P1339" s="61" t="n"/>
      <c r="Q1339" s="62" t="n"/>
      <c r="R1339" s="61" t="n"/>
    </row>
    <row r="1340" ht="15.75" customHeight="1" s="38">
      <c r="A1340" s="66" t="inlineStr">
        <is>
          <t>Minera Florida</t>
        </is>
      </c>
      <c r="B1340" s="66" t="inlineStr">
        <is>
          <t>Plata</t>
        </is>
      </c>
      <c r="C1340" s="66" t="inlineStr">
        <is>
          <t>Santiago</t>
        </is>
      </c>
      <c r="D1340" s="66" t="inlineStr">
        <is>
          <t>gretty.infante@yamana.com</t>
        </is>
      </c>
      <c r="E1340" s="66" t="inlineStr">
        <is>
          <t>(56) 2 2924 2401</t>
        </is>
      </c>
      <c r="F1340" s="66" t="n"/>
      <c r="G1340" s="66" t="n"/>
      <c r="H1340" s="66" t="n"/>
      <c r="I1340" s="66" t="inlineStr">
        <is>
          <t>76.591.160-5</t>
        </is>
      </c>
      <c r="J1340" s="66" t="n"/>
      <c r="K1340" s="66" t="inlineStr">
        <is>
          <t>Ventas: GRANDE (Estimado por Empleados) | Empleados: 983</t>
        </is>
      </c>
      <c r="L1340" s="61" t="n"/>
      <c r="M1340" s="61" t="n"/>
      <c r="N1340" s="61" t="n"/>
      <c r="O1340" s="61" t="n"/>
      <c r="P1340" s="61" t="n"/>
      <c r="Q1340" s="62" t="n"/>
      <c r="R1340" s="61" t="n"/>
    </row>
    <row r="1341" ht="15.75" customHeight="1" s="38">
      <c r="A1341" s="66" t="inlineStr">
        <is>
          <t>Minera Guanaco</t>
        </is>
      </c>
      <c r="B1341" s="66" t="inlineStr">
        <is>
          <t>Plata</t>
        </is>
      </c>
      <c r="C1341" s="66" t="inlineStr">
        <is>
          <t>Antofagasta</t>
        </is>
      </c>
      <c r="D1341" s="66" t="inlineStr">
        <is>
          <t>contacto@minaguanaco.cl</t>
        </is>
      </c>
      <c r="E1341" s="66" t="inlineStr">
        <is>
          <t>(56) 55 289 2241</t>
        </is>
      </c>
      <c r="F1341" s="66" t="n"/>
      <c r="G1341" s="66" t="n"/>
      <c r="H1341" s="66" t="n"/>
      <c r="I1341" s="66" t="inlineStr">
        <is>
          <t>78.097.950-K</t>
        </is>
      </c>
      <c r="J1341" s="66" t="n"/>
      <c r="K1341" s="66" t="inlineStr">
        <is>
          <t>Ventas: MEDIANA (Estimado por Empleados) | Empleados: 75</t>
        </is>
      </c>
      <c r="L1341" s="61" t="n"/>
      <c r="M1341" s="61" t="n"/>
      <c r="N1341" s="61" t="n"/>
      <c r="O1341" s="61" t="n"/>
      <c r="P1341" s="61" t="n"/>
      <c r="Q1341" s="62" t="n"/>
      <c r="R1341" s="61" t="n"/>
    </row>
    <row r="1342" ht="15.75" customHeight="1" s="38">
      <c r="A1342" s="66" t="inlineStr">
        <is>
          <t>Minera La Condesa</t>
        </is>
      </c>
      <c r="B1342" s="66" t="inlineStr">
        <is>
          <t>Plata</t>
        </is>
      </c>
      <c r="C1342" s="66" t="inlineStr">
        <is>
          <t>Copiapó</t>
        </is>
      </c>
      <c r="D1342" s="66" t="inlineStr">
        <is>
          <t>contacto@mineracondesa.cl</t>
        </is>
      </c>
      <c r="E1342" s="66" t="inlineStr">
        <is>
          <t>(56) 52 221 3525</t>
        </is>
      </c>
      <c r="F1342" s="66" t="n"/>
      <c r="G1342" s="66" t="n"/>
      <c r="H1342" s="66" t="n"/>
      <c r="I1342" s="66" t="inlineStr">
        <is>
          <t>81.445.900-4</t>
        </is>
      </c>
      <c r="J1342" s="66" t="n"/>
      <c r="K1342" s="66" t="inlineStr">
        <is>
          <t>Ventas: MEDIANA 2 (50.000 - 100.000 UF) | Empleados: 61</t>
        </is>
      </c>
      <c r="L1342" s="61" t="n"/>
      <c r="M1342" s="61" t="n"/>
      <c r="N1342" s="61" t="n"/>
      <c r="O1342" s="61" t="n"/>
      <c r="P1342" s="61" t="n"/>
      <c r="Q1342" s="62" t="n"/>
      <c r="R1342" s="61" t="n"/>
    </row>
    <row r="1343" ht="15.75" customHeight="1" s="38">
      <c r="A1343" s="66" t="inlineStr">
        <is>
          <t>Minera La Patagua</t>
        </is>
      </c>
      <c r="B1343" s="66" t="inlineStr">
        <is>
          <t>Cobre</t>
        </is>
      </c>
      <c r="C1343" s="66" t="inlineStr">
        <is>
          <t>La Ligua</t>
        </is>
      </c>
      <c r="D1343" s="66" t="inlineStr">
        <is>
          <t>vinkoolivares@lapatagua.cl</t>
        </is>
      </c>
      <c r="E1343" s="66" t="inlineStr">
        <is>
          <t>(56) 33 271 5469</t>
        </is>
      </c>
      <c r="F1343" s="66" t="inlineStr">
        <is>
          <t>Gerente de TI / CIO (Director de Tecnología)</t>
        </is>
      </c>
      <c r="G1343" s="66" t="n"/>
      <c r="H1343" s="66" t="n"/>
      <c r="I1343" s="66" t="inlineStr">
        <is>
          <t>84.542.800-K</t>
        </is>
      </c>
      <c r="J1343" s="66" t="n"/>
      <c r="K1343" s="66" t="inlineStr">
        <is>
          <t>Ventas: GRANDE 3 (600.000 - 1.000.000 UF) | Empleados: 226</t>
        </is>
      </c>
      <c r="L1343" s="61" t="n"/>
      <c r="M1343" s="61" t="n"/>
      <c r="N1343" s="61" t="n"/>
      <c r="O1343" s="61" t="n"/>
      <c r="P1343" s="61" t="n"/>
      <c r="Q1343" s="62" t="n"/>
      <c r="R1343" s="61" t="n"/>
    </row>
    <row r="1344" ht="15.75" customHeight="1" s="38">
      <c r="A1344" s="66" t="inlineStr">
        <is>
          <t>Minera Las Cenizas</t>
        </is>
      </c>
      <c r="B1344" s="66" t="inlineStr">
        <is>
          <t>Cobre</t>
        </is>
      </c>
      <c r="C1344" s="66" t="inlineStr">
        <is>
          <t>Santiago</t>
        </is>
      </c>
      <c r="D1344" s="66" t="inlineStr">
        <is>
          <t>contacto@cenizas.cl</t>
        </is>
      </c>
      <c r="E1344" s="66" t="inlineStr">
        <is>
          <t>(56) 2 2368 8300</t>
        </is>
      </c>
      <c r="F1344" s="66" t="n"/>
      <c r="G1344" s="66" t="n"/>
      <c r="H1344" s="66" t="n"/>
      <c r="I1344" s="66" t="inlineStr">
        <is>
          <t>79.963.260-8</t>
        </is>
      </c>
      <c r="J1344" s="66" t="n"/>
      <c r="K1344" s="66" t="inlineStr">
        <is>
          <t>Ventas: GRANDE (Estimado por Empleados) | Empleados: 688</t>
        </is>
      </c>
      <c r="L1344" s="61" t="n"/>
      <c r="M1344" s="61" t="n"/>
      <c r="N1344" s="61" t="n"/>
      <c r="O1344" s="61" t="n"/>
      <c r="P1344" s="61" t="n"/>
      <c r="Q1344" s="62" t="n"/>
      <c r="R1344" s="61" t="n"/>
    </row>
    <row r="1345" ht="15.75" customHeight="1" s="38">
      <c r="A1345" s="66" t="inlineStr">
        <is>
          <t>Minera Los Pelambres</t>
        </is>
      </c>
      <c r="B1345" s="66" t="inlineStr">
        <is>
          <t>Concentrado de Cobre</t>
        </is>
      </c>
      <c r="C1345" s="66" t="inlineStr">
        <is>
          <t>Santiago</t>
        </is>
      </c>
      <c r="D1345" s="66" t="inlineStr">
        <is>
          <t>comunicacionesexternas@pelambres.cl</t>
        </is>
      </c>
      <c r="E1345" s="66" t="inlineStr">
        <is>
          <t>(56) 2 2798 7000</t>
        </is>
      </c>
      <c r="F1345" s="66" t="n"/>
      <c r="G1345" s="66" t="n"/>
      <c r="H1345" s="66" t="n"/>
      <c r="I1345" s="66" t="inlineStr">
        <is>
          <t>96.790.240-3</t>
        </is>
      </c>
      <c r="J1345" s="66" t="n"/>
      <c r="K1345" s="66" t="inlineStr">
        <is>
          <t>Ventas: GRANDE (Estimado por Empleados) | Empleados: 1665</t>
        </is>
      </c>
      <c r="L1345" s="61" t="n"/>
      <c r="M1345" s="61" t="n"/>
      <c r="N1345" s="61" t="n"/>
      <c r="O1345" s="61" t="n"/>
      <c r="P1345" s="61" t="n"/>
      <c r="Q1345" s="62" t="n"/>
      <c r="R1345" s="61" t="n"/>
    </row>
    <row r="1346" ht="15.75" customHeight="1" s="38">
      <c r="A1346" s="66" t="inlineStr">
        <is>
          <t>Minera Mantos de La Luna</t>
        </is>
      </c>
      <c r="B1346" s="66" t="inlineStr">
        <is>
          <t>Cátodos de Cobre</t>
        </is>
      </c>
      <c r="C1346" s="66" t="inlineStr">
        <is>
          <t>Tocopilla</t>
        </is>
      </c>
      <c r="D1346" s="66" t="inlineStr">
        <is>
          <t>g.nunez@mantosdelaluna.cl</t>
        </is>
      </c>
      <c r="E1346" s="66" t="inlineStr">
        <is>
          <t>(56) 55 255 6900</t>
        </is>
      </c>
      <c r="F1346" s="66" t="n"/>
      <c r="G1346" s="66" t="n"/>
      <c r="H1346" s="66" t="n"/>
      <c r="I1346" s="66" t="inlineStr">
        <is>
          <t>96.939.240-2</t>
        </is>
      </c>
      <c r="J1346" s="66" t="n"/>
      <c r="K1346" s="66" t="inlineStr">
        <is>
          <t>Ventas: MEDIANA (Estimado por Empleados) | Empleados: 55</t>
        </is>
      </c>
      <c r="L1346" s="61" t="n"/>
      <c r="M1346" s="61" t="n"/>
      <c r="N1346" s="61" t="n"/>
      <c r="O1346" s="61" t="n"/>
      <c r="P1346" s="61" t="n"/>
      <c r="Q1346" s="62" t="n"/>
      <c r="R1346" s="61" t="n"/>
    </row>
    <row r="1347" ht="15.75" customHeight="1" s="38">
      <c r="A1347" s="66" t="inlineStr">
        <is>
          <t>Minera Maricunga</t>
        </is>
      </c>
      <c r="B1347" s="66" t="inlineStr">
        <is>
          <t>Cobre, Plata</t>
        </is>
      </c>
      <c r="C1347" s="66" t="inlineStr">
        <is>
          <t>Copiapó</t>
        </is>
      </c>
      <c r="D1347" s="66" t="inlineStr">
        <is>
          <t>asistente.gerenciacmm@kinross.com</t>
        </is>
      </c>
      <c r="E1347" s="66" t="inlineStr">
        <is>
          <t>(56) 52 252 3402</t>
        </is>
      </c>
      <c r="F1347" s="66" t="n"/>
      <c r="G1347" s="66" t="n"/>
      <c r="H1347" s="66" t="n"/>
      <c r="I1347" s="66" t="inlineStr">
        <is>
          <t>76.038.806-8</t>
        </is>
      </c>
      <c r="J1347" s="66" t="n"/>
      <c r="K1347" s="66" t="inlineStr">
        <is>
          <t>Ventas: GRANDE 2 (200.000 - 600.000 UF) | Empleados: 8</t>
        </is>
      </c>
      <c r="L1347" s="61" t="n"/>
      <c r="M1347" s="61" t="n"/>
      <c r="N1347" s="61" t="n"/>
      <c r="O1347" s="61" t="n"/>
      <c r="P1347" s="61" t="n"/>
      <c r="Q1347" s="62" t="n"/>
      <c r="R1347" s="61" t="n"/>
    </row>
    <row r="1348" ht="15.75" customHeight="1" s="38">
      <c r="A1348" s="66" t="inlineStr">
        <is>
          <t>Minera Michilla</t>
        </is>
      </c>
      <c r="B1348" s="66" t="inlineStr">
        <is>
          <t>Cobre</t>
        </is>
      </c>
      <c r="C1348" s="66" t="inlineStr">
        <is>
          <t>Santiago</t>
        </is>
      </c>
      <c r="D1348" s="66" t="inlineStr">
        <is>
          <t>hmc@haldeman.cl</t>
        </is>
      </c>
      <c r="E1348" s="66" t="inlineStr">
        <is>
          <t>(56) 2 2896 9150</t>
        </is>
      </c>
      <c r="F1348" s="66" t="inlineStr">
        <is>
          <t>Gerente de TI / CIO (Director de Tecnología)</t>
        </is>
      </c>
      <c r="G1348" s="66" t="n"/>
      <c r="H1348" s="66" t="n"/>
      <c r="I1348" s="66" t="inlineStr">
        <is>
          <t>96.955.560-3</t>
        </is>
      </c>
      <c r="J1348" s="66" t="n"/>
      <c r="K1348" s="66" t="inlineStr">
        <is>
          <t>Ventas: GRANDE 3 (600.000 - 1.000.000 UF) | Empleados: 30</t>
        </is>
      </c>
      <c r="L1348" s="61" t="n"/>
      <c r="M1348" s="61" t="n"/>
      <c r="N1348" s="61" t="n"/>
      <c r="O1348" s="61" t="n"/>
      <c r="P1348" s="61" t="n"/>
      <c r="Q1348" s="62" t="n"/>
      <c r="R1348" s="61" t="n"/>
    </row>
    <row r="1349" ht="15.75" customHeight="1" s="38">
      <c r="A1349" s="66" t="inlineStr">
        <is>
          <t>Minera Salar Blanco</t>
        </is>
      </c>
      <c r="B1349" s="66" t="inlineStr">
        <is>
          <t>Cobre</t>
        </is>
      </c>
      <c r="C1349" s="66" t="n"/>
      <c r="D1349" s="66" t="inlineStr">
        <is>
          <t>alafuente@msblanco.com</t>
        </is>
      </c>
      <c r="E1349" s="66" t="inlineStr">
        <is>
          <t>(56) 2 2510 1705</t>
        </is>
      </c>
      <c r="F1349" s="66" t="n"/>
      <c r="G1349" s="66" t="n"/>
      <c r="H1349" s="66" t="n"/>
      <c r="I1349" s="66" t="inlineStr">
        <is>
          <t>76.602.739-3</t>
        </is>
      </c>
      <c r="J1349" s="66" t="n"/>
      <c r="K1349" s="66" t="inlineStr">
        <is>
          <t>Ventas: MICRO 1 (0.01 - 200 UF) | Empleados: 10</t>
        </is>
      </c>
      <c r="L1349" s="61" t="n"/>
      <c r="M1349" s="61" t="n"/>
      <c r="N1349" s="61" t="n"/>
      <c r="O1349" s="61" t="n"/>
      <c r="P1349" s="61" t="n"/>
      <c r="Q1349" s="62" t="n"/>
      <c r="R1349" s="61" t="n"/>
    </row>
    <row r="1350" ht="15.75" customHeight="1" s="38">
      <c r="A1350" s="59" t="inlineStr">
        <is>
          <t>Minera San Pedro S.A.</t>
        </is>
      </c>
      <c r="B1350" s="59" t="inlineStr">
        <is>
          <t>Concentrado de Cobre, Concentrado de Oro</t>
        </is>
      </c>
      <c r="C1350" s="59" t="inlineStr">
        <is>
          <t>Til Til</t>
        </is>
      </c>
      <c r="D1350" s="59" t="inlineStr">
        <is>
          <t>msp@minerasanpedro.cl</t>
        </is>
      </c>
      <c r="E1350" s="59" t="inlineStr">
        <is>
          <t>(56) 2 2846 1855</t>
        </is>
      </c>
      <c r="F1350" s="59" t="inlineStr">
        <is>
          <t>Andrés Guerrero (GG)</t>
        </is>
      </c>
      <c r="G1350" s="59" t="n"/>
      <c r="H1350" s="59" t="n"/>
      <c r="I1350" s="59" t="inlineStr">
        <is>
          <t>85.466.200-7</t>
        </is>
      </c>
      <c r="J1350" s="59" t="inlineStr">
        <is>
          <t>Proyectos Minería Sustentable (Caballo Muerto)</t>
        </is>
      </c>
      <c r="K1350" s="59" t="inlineStr">
        <is>
          <t>Ventas: GRANDE 2 (200.000 - 600.000 UF) | Empleados: 87</t>
        </is>
      </c>
      <c r="L1350" s="61" t="n"/>
      <c r="M1350" s="61" t="n"/>
      <c r="N1350" s="61" t="n"/>
      <c r="O1350" s="61" t="n"/>
      <c r="P1350" s="61" t="n"/>
      <c r="Q1350" s="62" t="n"/>
      <c r="R1350" s="61" t="n"/>
    </row>
    <row r="1351" ht="15.75" customHeight="1" s="38">
      <c r="A1351" s="66" t="inlineStr">
        <is>
          <t>Minera Soledad, Comisol</t>
        </is>
      </c>
      <c r="B1351" s="66" t="inlineStr">
        <is>
          <t>Caliza, Chancado y Selección de Minerales, Desarrollo, Preparación y Explotación de Minas</t>
        </is>
      </c>
      <c r="C1351" s="66" t="inlineStr">
        <is>
          <t>Santiago</t>
        </is>
      </c>
      <c r="D1351" s="66" t="inlineStr">
        <is>
          <t>paulo.guerra@comisol.net</t>
        </is>
      </c>
      <c r="E1351" s="66" t="inlineStr">
        <is>
          <t>(56) 2 2204 1753</t>
        </is>
      </c>
      <c r="F1351" s="66" t="n"/>
      <c r="G1351" s="66" t="n"/>
      <c r="H1351" s="66" t="n"/>
      <c r="I1351" s="66" t="inlineStr">
        <is>
          <t>78.459.550-1</t>
        </is>
      </c>
      <c r="J1351" s="66" t="n"/>
      <c r="K1351" s="66" t="inlineStr">
        <is>
          <t>Ventas: GRANDE 2 (200.000 - 600.000 UF) | Empleados: 58</t>
        </is>
      </c>
      <c r="L1351" s="61" t="n"/>
      <c r="M1351" s="61" t="n"/>
      <c r="N1351" s="61" t="n"/>
      <c r="O1351" s="61" t="n"/>
      <c r="P1351" s="61" t="n"/>
      <c r="Q1351" s="62" t="n"/>
      <c r="R1351" s="61" t="n"/>
    </row>
    <row r="1352" ht="15.75" customHeight="1" s="38">
      <c r="A1352" s="66" t="inlineStr">
        <is>
          <t>Minera Spence S.A.</t>
        </is>
      </c>
      <c r="B1352" s="66" t="inlineStr">
        <is>
          <t>Cátodos de Cobre</t>
        </is>
      </c>
      <c r="C1352" s="66" t="inlineStr">
        <is>
          <t>Antofagasta</t>
        </is>
      </c>
      <c r="D1352" s="66" t="inlineStr">
        <is>
          <t>comunicaciones.spence@bhp.com</t>
        </is>
      </c>
      <c r="E1352" s="66" t="inlineStr">
        <is>
          <t>(56 55) 264 7800</t>
        </is>
      </c>
      <c r="F1352" s="66" t="n"/>
      <c r="G1352" s="66" t="n"/>
      <c r="H1352" s="66" t="n"/>
      <c r="I1352" s="66" t="inlineStr">
        <is>
          <t>86.542.100-1</t>
        </is>
      </c>
      <c r="J1352" s="66" t="n"/>
      <c r="K1352" s="66" t="inlineStr">
        <is>
          <t>Ventas: GRANDE (Estimado por Empleados) | Empleados: 2005</t>
        </is>
      </c>
      <c r="L1352" s="61" t="n"/>
      <c r="M1352" s="61" t="n"/>
      <c r="N1352" s="61" t="n"/>
      <c r="O1352" s="61" t="n"/>
      <c r="P1352" s="61" t="n"/>
      <c r="Q1352" s="62" t="n"/>
      <c r="R1352" s="61" t="n"/>
    </row>
    <row r="1353" ht="15.75" customHeight="1" s="38">
      <c r="A1353" s="66" t="inlineStr">
        <is>
          <t>Minera Tambillos</t>
        </is>
      </c>
      <c r="B1353" s="66" t="inlineStr">
        <is>
          <t>Cobre</t>
        </is>
      </c>
      <c r="C1353" s="66" t="inlineStr">
        <is>
          <t>Coquimbo</t>
        </is>
      </c>
      <c r="D1353" s="66" t="inlineStr">
        <is>
          <t>lsalfate@sominor.cl</t>
        </is>
      </c>
      <c r="E1353" s="66" t="inlineStr">
        <is>
          <t>(56) 51 267 2263</t>
        </is>
      </c>
      <c r="F1353" s="66" t="n"/>
      <c r="G1353" s="66" t="n"/>
      <c r="H1353" s="66" t="n"/>
      <c r="I1353" s="66" t="inlineStr">
        <is>
          <t>96.893.940-8</t>
        </is>
      </c>
      <c r="J1353" s="66" t="n"/>
      <c r="K1353" s="66" t="inlineStr">
        <is>
          <t>Ventas: MICRO 2 (200 - 600 UF) | Empleados: 0</t>
        </is>
      </c>
      <c r="L1353" s="61" t="n"/>
      <c r="M1353" s="61" t="n"/>
      <c r="N1353" s="61" t="n"/>
      <c r="O1353" s="61" t="n"/>
      <c r="P1353" s="61" t="n"/>
      <c r="Q1353" s="62" t="n"/>
      <c r="R1353" s="61" t="n"/>
    </row>
    <row r="1354" ht="15.75" customHeight="1" s="38">
      <c r="A1354" s="66" t="inlineStr">
        <is>
          <t>Minera Tres Valles</t>
        </is>
      </c>
      <c r="B1354" s="66" t="inlineStr">
        <is>
          <t>Cobre</t>
        </is>
      </c>
      <c r="C1354" s="66" t="inlineStr">
        <is>
          <t>Salamanca</t>
        </is>
      </c>
      <c r="D1354" s="66" t="inlineStr">
        <is>
          <t>info@mineratresvalles.cl</t>
        </is>
      </c>
      <c r="E1354" s="66" t="inlineStr">
        <is>
          <t>(56) 4 4208 1010</t>
        </is>
      </c>
      <c r="F1354" s="66" t="n"/>
      <c r="G1354" s="66" t="n"/>
      <c r="H1354" s="66" t="n"/>
      <c r="I1354" s="66" t="inlineStr">
        <is>
          <t>77.856.200-6</t>
        </is>
      </c>
      <c r="J1354" s="66" t="n"/>
      <c r="K1354" s="66" t="inlineStr">
        <is>
          <t>Ventas: MEDIANA (Estimado por Empleados) | Empleados: 150</t>
        </is>
      </c>
      <c r="L1354" s="61" t="n"/>
      <c r="M1354" s="61" t="n"/>
      <c r="N1354" s="61" t="n"/>
      <c r="O1354" s="61" t="n"/>
      <c r="P1354" s="61" t="n"/>
      <c r="Q1354" s="62" t="n"/>
      <c r="R1354" s="61" t="n"/>
    </row>
    <row r="1355" ht="15.75" customHeight="1" s="38">
      <c r="A1355" s="66" t="inlineStr">
        <is>
          <t>Minera Trucco</t>
        </is>
      </c>
      <c r="B1355" s="66" t="inlineStr">
        <is>
          <t>Carbonato, Talco Industrial</t>
        </is>
      </c>
      <c r="C1355" s="66" t="inlineStr">
        <is>
          <t>Santiago</t>
        </is>
      </c>
      <c r="D1355" s="66" t="inlineStr">
        <is>
          <t>mineratrucco@vtr.net</t>
        </is>
      </c>
      <c r="E1355" s="66" t="inlineStr">
        <is>
          <t>(56) 2 2525 2459</t>
        </is>
      </c>
      <c r="F1355" s="66" t="n"/>
      <c r="G1355" s="66" t="n"/>
      <c r="H1355" s="66" t="n"/>
      <c r="I1355" s="66" t="inlineStr">
        <is>
          <t>78.186.160-K</t>
        </is>
      </c>
      <c r="J1355" s="66" t="n"/>
      <c r="K1355" s="66" t="inlineStr">
        <is>
          <t>Ventas: GRANDE 2 (200.000 - 600.000 UF) | Empleados: 47</t>
        </is>
      </c>
      <c r="L1355" s="61" t="n"/>
      <c r="M1355" s="61" t="n"/>
      <c r="N1355" s="61" t="n"/>
      <c r="O1355" s="61" t="n"/>
      <c r="P1355" s="61" t="n"/>
      <c r="Q1355" s="62" t="n"/>
      <c r="R1355" s="61" t="n"/>
    </row>
    <row r="1356" ht="15.75" customHeight="1" s="38">
      <c r="A1356" s="66" t="inlineStr">
        <is>
          <t>Minera Valle Central</t>
        </is>
      </c>
      <c r="B1356" s="66" t="inlineStr">
        <is>
          <t>Cobre Fino Contenido, Concentrado de Cobre, Concentrado de Molibdeno</t>
        </is>
      </c>
      <c r="C1356" s="66" t="inlineStr">
        <is>
          <t>Rancagua</t>
        </is>
      </c>
      <c r="D1356" s="66" t="inlineStr">
        <is>
          <t>info@mineravallecentral.cl</t>
        </is>
      </c>
      <c r="E1356" s="66" t="inlineStr">
        <is>
          <t>(56) 72 233 0100</t>
        </is>
      </c>
      <c r="F1356" s="66" t="n"/>
      <c r="G1356" s="66" t="n"/>
      <c r="H1356" s="66" t="n"/>
      <c r="I1356" s="66" t="inlineStr">
        <is>
          <t>96.595.400-7</t>
        </is>
      </c>
      <c r="J1356" s="66" t="n"/>
      <c r="K1356" s="66" t="inlineStr">
        <is>
          <t>Ventas: GRANDE (Estimado por Empleados) | Empleados: 298</t>
        </is>
      </c>
      <c r="L1356" s="61" t="n"/>
      <c r="M1356" s="61" t="n"/>
      <c r="N1356" s="61" t="n"/>
      <c r="O1356" s="61" t="n"/>
      <c r="P1356" s="61" t="n"/>
      <c r="Q1356" s="62" t="n"/>
      <c r="R1356" s="61" t="n"/>
    </row>
    <row r="1357" ht="15.75" customHeight="1" s="38">
      <c r="A1357" s="66" t="inlineStr">
        <is>
          <t>MineSense Technologies</t>
        </is>
      </c>
      <c r="B1357" s="66" t="inlineStr">
        <is>
          <t>Sensores para Escanear y Estimar la Ley del Material en Palas y Cucharones</t>
        </is>
      </c>
      <c r="C1357" s="66" t="inlineStr">
        <is>
          <t>Santiago</t>
        </is>
      </c>
      <c r="D1357" s="66" t="inlineStr">
        <is>
          <t>info@minesense.com</t>
        </is>
      </c>
      <c r="E1357" s="66" t="inlineStr">
        <is>
          <t>(56) 9 9219 7313</t>
        </is>
      </c>
      <c r="F1357" s="66" t="inlineStr">
        <is>
          <t>Gerente de TI / CIO (Director de Tecnología)</t>
        </is>
      </c>
      <c r="G1357" s="66" t="n"/>
      <c r="H1357" s="66" t="n"/>
      <c r="I1357" s="66" t="inlineStr">
        <is>
          <t>76.600.613-2</t>
        </is>
      </c>
      <c r="J1357" s="66" t="n"/>
      <c r="K1357" s="66" t="inlineStr">
        <is>
          <t>Ventas: GRANDE 3 (600.000 - 1.000.000 UF) | Empleados: 73</t>
        </is>
      </c>
      <c r="L1357" s="61" t="n"/>
      <c r="M1357" s="61" t="n"/>
      <c r="N1357" s="61" t="n"/>
      <c r="O1357" s="61" t="n"/>
      <c r="P1357" s="61" t="n"/>
      <c r="Q1357" s="62" t="n"/>
      <c r="R1357" s="61" t="n"/>
    </row>
    <row r="1358" ht="15.75" customHeight="1" s="38">
      <c r="A1358" s="66" t="inlineStr">
        <is>
          <t>Mineserv</t>
        </is>
      </c>
      <c r="B1358" s="66" t="inlineStr">
        <is>
          <t>Cargadores Subterráneos LHD</t>
        </is>
      </c>
      <c r="C1358" s="66" t="inlineStr">
        <is>
          <t>San Francisco de Mostazal</t>
        </is>
      </c>
      <c r="D1358" s="66" t="inlineStr">
        <is>
          <t>contacto@mineserv.cl</t>
        </is>
      </c>
      <c r="E1358" s="66" t="inlineStr">
        <is>
          <t>(56) 9 9794 9544</t>
        </is>
      </c>
      <c r="F1358" s="66" t="n"/>
      <c r="G1358" s="66" t="n"/>
      <c r="H1358" s="66" t="n"/>
      <c r="I1358" s="66" t="inlineStr">
        <is>
          <t>76731487-6</t>
        </is>
      </c>
      <c r="J1358" s="66" t="n"/>
      <c r="K1358" s="66" t="inlineStr">
        <is>
          <t>Ventas: GRANDE 1 (100.000 - 200.000 UF) | Empleados: 8</t>
        </is>
      </c>
      <c r="L1358" s="61" t="n"/>
      <c r="M1358" s="61" t="n"/>
      <c r="N1358" s="61" t="n"/>
      <c r="O1358" s="61" t="n"/>
      <c r="P1358" s="61" t="n"/>
      <c r="Q1358" s="62" t="n"/>
      <c r="R1358" s="61" t="n"/>
    </row>
    <row r="1359" ht="15.75" customHeight="1" s="38">
      <c r="A1359" s="66" t="inlineStr">
        <is>
          <t>Minetec</t>
        </is>
      </c>
      <c r="B1359" s="66" t="inlineStr">
        <is>
          <t>Armado y Montaje de Tolvas y Baldes, Tolvas de Camiones Mineros</t>
        </is>
      </c>
      <c r="C1359" s="66" t="inlineStr">
        <is>
          <t>Santiago</t>
        </is>
      </c>
      <c r="D1359" s="66" t="inlineStr">
        <is>
          <t>gerencia@minetec.cl</t>
        </is>
      </c>
      <c r="E1359" s="66" t="inlineStr">
        <is>
          <t>(56) 2 2589 2777</t>
        </is>
      </c>
      <c r="F1359" s="66" t="n"/>
      <c r="G1359" s="66" t="n"/>
      <c r="H1359" s="66" t="n"/>
      <c r="I1359" s="66" t="inlineStr">
        <is>
          <t>76.009.926-0</t>
        </is>
      </c>
      <c r="J1359" s="66" t="n"/>
      <c r="K1359" s="66" t="inlineStr">
        <is>
          <t>Ventas: GRANDE (Estimado por Empleados) | Empleados: 366</t>
        </is>
      </c>
      <c r="L1359" s="61" t="n"/>
      <c r="M1359" s="61" t="n"/>
      <c r="N1359" s="61" t="n"/>
      <c r="O1359" s="61" t="n"/>
      <c r="P1359" s="61" t="n"/>
      <c r="Q1359" s="62" t="n"/>
      <c r="R1359" s="61" t="n"/>
    </row>
    <row r="1360" ht="15.75" customHeight="1" s="38">
      <c r="A1360" s="59" t="inlineStr">
        <is>
          <t>Mining TAG</t>
        </is>
      </c>
      <c r="B1360" s="59" t="inlineStr">
        <is>
          <t>Sistema de Control de Producción en Minería Subterránea</t>
        </is>
      </c>
      <c r="C1360" s="59" t="inlineStr">
        <is>
          <t>Santiago</t>
        </is>
      </c>
      <c r="D1360" s="59" t="inlineStr">
        <is>
          <t>contacto@miningtag.com</t>
        </is>
      </c>
      <c r="E1360" s="59" t="inlineStr">
        <is>
          <t>(56) 9 4259 8524</t>
        </is>
      </c>
      <c r="F1360" s="59" t="inlineStr">
        <is>
          <t>Carlos Valencia Vera (Gerente General &amp; Digital Hub)</t>
        </is>
      </c>
      <c r="G1360" s="59" t="inlineStr">
        <is>
          <t>c.valencia@miningtag.com</t>
        </is>
      </c>
      <c r="H1360" s="59" t="n"/>
      <c r="I1360" s="59" t="inlineStr">
        <is>
          <t>76.119.409-7</t>
        </is>
      </c>
      <c r="J1360" s="59" t="inlineStr">
        <is>
          <t>Investigación en Proceso</t>
        </is>
      </c>
      <c r="K1360" s="59" t="inlineStr">
        <is>
          <t>Ventas: GRANDE 3 (600.000 - 1.000.000 UF) | Empleados: 151</t>
        </is>
      </c>
      <c r="L1360" s="61" t="n"/>
      <c r="M1360" s="61" t="n"/>
      <c r="N1360" s="61" t="n"/>
      <c r="O1360" s="61" t="n"/>
      <c r="P1360" s="61" t="n"/>
      <c r="Q1360" s="62" t="n"/>
      <c r="R1360" s="61" t="n"/>
    </row>
    <row r="1361" ht="15.75" customHeight="1" s="38">
      <c r="A1361" s="66" t="inlineStr">
        <is>
          <t>Minova</t>
        </is>
      </c>
      <c r="B1361" s="66" t="inlineStr">
        <is>
          <t>Productos Químicos de Inyección en Macizos y Sellos Hídricos, Revestimientos de Túneles, Sistemas de Fortificación, Soluciones Geotécnicas para Proyectos de Minería, Construcción de Túneles y de Ingeniería de Terrenos de Superficie</t>
        </is>
      </c>
      <c r="C1361" s="66" t="inlineStr">
        <is>
          <t>Santiago</t>
        </is>
      </c>
      <c r="D1361" s="66" t="inlineStr">
        <is>
          <t>patricia.lazo@minovaglobal.com</t>
        </is>
      </c>
      <c r="E1361" s="66" t="inlineStr">
        <is>
          <t>(56) 9 8542 9799</t>
        </is>
      </c>
      <c r="F1361" s="66" t="inlineStr">
        <is>
          <t>Gerente de TI / CIO (Director de Tecnología)</t>
        </is>
      </c>
      <c r="G1361" s="66" t="n"/>
      <c r="H1361" s="66" t="n"/>
      <c r="I1361" s="66" t="inlineStr">
        <is>
          <t>76.091.943-8</t>
        </is>
      </c>
      <c r="J1361" s="66" t="n"/>
      <c r="K1361" s="66" t="inlineStr">
        <is>
          <t>Ventas: GRANDE 3 (600.000 - 1.000.000 UF) | Empleados: 7</t>
        </is>
      </c>
      <c r="L1361" s="61" t="n"/>
      <c r="M1361" s="61" t="n"/>
      <c r="N1361" s="61" t="n"/>
      <c r="O1361" s="61" t="n"/>
      <c r="P1361" s="61" t="n"/>
      <c r="Q1361" s="62" t="n"/>
      <c r="R1361" s="61" t="n"/>
    </row>
    <row r="1362" ht="15.75" customHeight="1" s="38">
      <c r="A1362" s="66" t="inlineStr">
        <is>
          <t>Minprocad Ltda.</t>
        </is>
      </c>
      <c r="B1362" s="66" t="inlineStr">
        <is>
          <t>Diseño de Piping, Proyectos Industriales</t>
        </is>
      </c>
      <c r="C1362" s="66" t="inlineStr">
        <is>
          <t>Viña del Mar</t>
        </is>
      </c>
      <c r="D1362" s="66" t="inlineStr">
        <is>
          <t>malcazar@minprocad.cl</t>
        </is>
      </c>
      <c r="E1362" s="66" t="inlineStr">
        <is>
          <t>(56) 32 248 1564</t>
        </is>
      </c>
      <c r="F1362" s="66" t="n"/>
      <c r="G1362" s="66" t="n"/>
      <c r="H1362" s="66" t="n"/>
      <c r="I1362" s="66" t="inlineStr">
        <is>
          <t>77.526.640-6</t>
        </is>
      </c>
      <c r="J1362" s="66" t="n"/>
      <c r="K1362" s="66" t="inlineStr">
        <is>
          <t>Ventas: PEQUEÑA 3 (10.000 - 25.000 UF) | Empleados: 5</t>
        </is>
      </c>
      <c r="L1362" s="61" t="n"/>
      <c r="M1362" s="61" t="n"/>
      <c r="N1362" s="61" t="n"/>
      <c r="O1362" s="61" t="n"/>
      <c r="P1362" s="61" t="n"/>
      <c r="Q1362" s="62" t="n"/>
      <c r="R1362" s="61" t="n"/>
    </row>
    <row r="1363" ht="15.75" customHeight="1" s="38">
      <c r="A1363" s="66" t="inlineStr">
        <is>
          <t>Mintral</t>
        </is>
      </c>
      <c r="B1363" s="66" t="inlineStr">
        <is>
          <t>Activación de Órdenes de Compra, Coordinando Proveedores e Insumos, Cross Docking en Bodega para Agilizar el Flujo de Materiales, Planificación Logística Estratégica para Optimizar Tiempos y Costos, Preservación de Materiales, Recepción on y off site con Controles Sistémicos Rigurosos, Soluciones Integrales Logísticas para la Industria Minera y Energía, Torre de Control con Gestión Activa en todos los Servicios, Transporte de Carga General, Proyectos, Cargas Especiales y Graneles</t>
        </is>
      </c>
      <c r="C1363" s="66" t="inlineStr">
        <is>
          <t>Antofagasta</t>
        </is>
      </c>
      <c r="D1363" s="66" t="inlineStr">
        <is>
          <t>contacto@mintral.cl</t>
        </is>
      </c>
      <c r="E1363" s="66" t="inlineStr">
        <is>
          <t>(56) 2 3319 8300</t>
        </is>
      </c>
      <c r="F1363" s="66" t="n"/>
      <c r="G1363" s="66" t="n"/>
      <c r="H1363" s="66" t="inlineStr">
        <is>
          <t>http://www.mintral.cl</t>
        </is>
      </c>
      <c r="I1363" s="66" t="inlineStr">
        <is>
          <t>77.554.545-3</t>
        </is>
      </c>
      <c r="J1363" s="66" t="n"/>
      <c r="K1363" s="66" t="inlineStr">
        <is>
          <t>Ventas: GRANDE (Estimado por Empleados) | Empleados: 240</t>
        </is>
      </c>
      <c r="L1363" s="61" t="n"/>
      <c r="M1363" s="61" t="n"/>
      <c r="N1363" s="61" t="n"/>
      <c r="O1363" s="61" t="n"/>
      <c r="P1363" s="61" t="n"/>
      <c r="Q1363" s="62" t="n"/>
      <c r="R1363" s="61" t="n"/>
    </row>
    <row r="1364" ht="15.75" customHeight="1" s="38">
      <c r="A1364" s="66" t="inlineStr">
        <is>
          <t>Mitsubishi Motors – MMC Chile S.A.</t>
        </is>
      </c>
      <c r="B1364" s="66" t="inlineStr">
        <is>
          <t>Camionetas</t>
        </is>
      </c>
      <c r="C1364" s="66" t="inlineStr">
        <is>
          <t>Santiago</t>
        </is>
      </c>
      <c r="D1364" s="66" t="n"/>
      <c r="E1364" s="66" t="inlineStr">
        <is>
          <t>(56) 2 2837 1400</t>
        </is>
      </c>
      <c r="F1364" s="66" t="n"/>
      <c r="G1364" s="66" t="n"/>
      <c r="H1364" s="66" t="n"/>
      <c r="I1364" s="66" t="inlineStr">
        <is>
          <t>96.364.000-5</t>
        </is>
      </c>
      <c r="J1364" s="66" t="n"/>
      <c r="K1364" s="66" t="inlineStr">
        <is>
          <t>Ventas: PEQUEÑA (Estimado por Empleados) | Empleados: 33</t>
        </is>
      </c>
      <c r="L1364" s="61" t="n"/>
      <c r="M1364" s="61" t="n"/>
      <c r="N1364" s="61" t="n"/>
      <c r="O1364" s="61" t="n"/>
      <c r="P1364" s="61" t="n"/>
      <c r="Q1364" s="62" t="n"/>
      <c r="R1364" s="61" t="n"/>
    </row>
    <row r="1365" ht="15.75" customHeight="1" s="38">
      <c r="A1365" s="66" t="inlineStr">
        <is>
          <t>Mitta</t>
        </is>
      </c>
      <c r="B1365" s="66" t="inlineStr">
        <is>
          <t>Rent a Car</t>
        </is>
      </c>
      <c r="C1365" s="66" t="inlineStr">
        <is>
          <t>Santiago</t>
        </is>
      </c>
      <c r="D1365" s="66" t="inlineStr">
        <is>
          <t>reservasnac@mitta.cl</t>
        </is>
      </c>
      <c r="E1365" s="66" t="inlineStr">
        <is>
          <t>(56) 2 2360 8600</t>
        </is>
      </c>
      <c r="F1365" s="66" t="n"/>
      <c r="G1365" s="66" t="n"/>
      <c r="H1365" s="66" t="n"/>
      <c r="I1365" s="66" t="inlineStr">
        <is>
          <t>83.547.100-4</t>
        </is>
      </c>
      <c r="J1365" s="66" t="n"/>
      <c r="K1365" s="66" t="inlineStr">
        <is>
          <t>Ventas: GRANDE (Estimado por Empleados) | Empleados: 1396</t>
        </is>
      </c>
      <c r="L1365" s="61" t="n"/>
      <c r="M1365" s="61" t="n"/>
      <c r="N1365" s="61" t="n"/>
      <c r="O1365" s="61" t="n"/>
      <c r="P1365" s="61" t="n"/>
      <c r="Q1365" s="62" t="n"/>
      <c r="R1365" s="61" t="n"/>
    </row>
    <row r="1366" ht="15.75" customHeight="1" s="38">
      <c r="A1366" s="66" t="inlineStr">
        <is>
          <t>MO Group</t>
        </is>
      </c>
      <c r="B1366" s="66" t="inlineStr">
        <is>
          <t>Chancadores, Trituradoras de Mandíbula</t>
        </is>
      </c>
      <c r="C1366" s="66" t="inlineStr">
        <is>
          <t>Santiago</t>
        </is>
      </c>
      <c r="D1366" s="66" t="inlineStr">
        <is>
          <t>soportealcliente.chile@metso.com</t>
        </is>
      </c>
      <c r="E1366" s="66" t="inlineStr">
        <is>
          <t>(56) 2 2290 9600</t>
        </is>
      </c>
      <c r="F1366" s="66" t="n"/>
      <c r="G1366" s="66" t="n"/>
      <c r="H1366" s="66" t="n"/>
      <c r="I1366" s="66" t="inlineStr">
        <is>
          <t>93.077.000-0</t>
        </is>
      </c>
      <c r="J1366" s="66" t="n"/>
      <c r="K1366" s="66" t="inlineStr">
        <is>
          <t>Ventas: GRANDE (Estimado por Empleados) | Empleados: 2689</t>
        </is>
      </c>
      <c r="L1366" s="61" t="inlineStr">
        <is>
          <t>Contactado Email</t>
        </is>
      </c>
      <c r="M1366" s="61" t="n"/>
      <c r="N1366" s="61" t="n"/>
      <c r="O1366" s="61" t="n"/>
      <c r="P1366" s="61" t="n"/>
      <c r="Q1366" s="62" t="n"/>
      <c r="R1366" s="61" t="n"/>
      <c r="S1366" s="37" t="inlineStr">
        <is>
          <t>2026-03-17</t>
        </is>
      </c>
    </row>
    <row r="1367" ht="15.75" customHeight="1" s="38">
      <c r="A1367" s="66" t="inlineStr">
        <is>
          <t>Modular Mining Systems Inc. y Cía.</t>
        </is>
      </c>
      <c r="B1367" s="66" t="inlineStr">
        <is>
          <t>Sistemas de Información Minera, Sistemas para Administración de Equipos Mineros</t>
        </is>
      </c>
      <c r="C1367" s="66" t="inlineStr">
        <is>
          <t>Santiago</t>
        </is>
      </c>
      <c r="D1367" s="66" t="n"/>
      <c r="E1367" s="66" t="inlineStr">
        <is>
          <t>(56) 2 2591 3000</t>
        </is>
      </c>
      <c r="F1367" s="66" t="n"/>
      <c r="G1367" s="66" t="n"/>
      <c r="H1367" s="66" t="n"/>
      <c r="I1367" s="66" t="inlineStr">
        <is>
          <t>78.454.860-0</t>
        </is>
      </c>
      <c r="J1367" s="66" t="n"/>
      <c r="K1367" s="66" t="inlineStr">
        <is>
          <t>Ventas: GRANDE 3 (600.000 - 1.000.000 UF) | Empleados: 116</t>
        </is>
      </c>
      <c r="L1367" s="61" t="n"/>
      <c r="M1367" s="61" t="n"/>
      <c r="N1367" s="61" t="n"/>
      <c r="O1367" s="61" t="n"/>
      <c r="P1367" s="61" t="n"/>
      <c r="Q1367" s="62" t="n"/>
      <c r="R1367" s="61" t="n"/>
    </row>
    <row r="1368" ht="15.75" customHeight="1" s="38">
      <c r="A1368" s="66" t="inlineStr">
        <is>
          <t>Molyb</t>
        </is>
      </c>
      <c r="B1368" s="66" t="inlineStr">
        <is>
          <t>Planta Procesadora de Molibdeno</t>
        </is>
      </c>
      <c r="C1368" s="66" t="inlineStr">
        <is>
          <t>Mejillones</t>
        </is>
      </c>
      <c r="D1368" s="66" t="inlineStr">
        <is>
          <t>comunicaciones@molyb.cl</t>
        </is>
      </c>
      <c r="E1368" s="66" t="inlineStr">
        <is>
          <t>(56) 55 232 9963</t>
        </is>
      </c>
      <c r="F1368" s="66" t="n"/>
      <c r="G1368" s="66" t="n"/>
      <c r="H1368" s="66" t="n"/>
      <c r="I1368" s="66" t="inlineStr">
        <is>
          <t>76.148.338-2</t>
        </is>
      </c>
      <c r="J1368" s="66" t="n"/>
      <c r="K1368" s="66" t="inlineStr">
        <is>
          <t>Ventas: GRANDE (Estimado por Empleados) | Empleados: 297</t>
        </is>
      </c>
      <c r="L1368" s="61" t="inlineStr">
        <is>
          <t>Contactado Email</t>
        </is>
      </c>
      <c r="M1368" s="61" t="n"/>
      <c r="N1368" s="61" t="n"/>
      <c r="O1368" s="61" t="n"/>
      <c r="P1368" s="61" t="n"/>
      <c r="Q1368" s="62" t="n"/>
      <c r="R1368" s="61" t="n"/>
      <c r="S1368" s="37" t="inlineStr">
        <is>
          <t>2026-03-17</t>
        </is>
      </c>
    </row>
    <row r="1369" ht="15.75" customHeight="1" s="38">
      <c r="A1369" s="66" t="inlineStr">
        <is>
          <t>Molycop</t>
        </is>
      </c>
      <c r="B1369" s="66" t="inlineStr">
        <is>
          <t>Apoyo Técnico y Asesorías en Procesos de Molienda, Bolas de Aceros Forjado para Molienda de Minerales, Bolas Fundidas HiCr para Molienda de Minerales, Productos Químicos para Operaciones Mineras, Reactivos Químicos para Flotación, Servicios de Laboratorio Minero Metalúrgico</t>
        </is>
      </c>
      <c r="C1369" s="66" t="inlineStr">
        <is>
          <t>Santiago</t>
        </is>
      </c>
      <c r="D1369" s="66" t="inlineStr">
        <is>
          <t>marcelo.lorca@molycop.cl</t>
        </is>
      </c>
      <c r="E1369" s="66" t="inlineStr">
        <is>
          <t>(56) 2 2337 0400</t>
        </is>
      </c>
      <c r="F1369" s="66" t="n"/>
      <c r="G1369" s="66" t="n"/>
      <c r="H1369" s="66" t="n"/>
      <c r="I1369" s="66" t="inlineStr">
        <is>
          <t>92.244.000-K</t>
        </is>
      </c>
      <c r="J1369" s="66" t="n"/>
      <c r="K1369" s="66" t="inlineStr">
        <is>
          <t>Ventas: GRANDE (Estimado por Empleados) | Empleados: 265</t>
        </is>
      </c>
      <c r="L1369" s="61" t="inlineStr">
        <is>
          <t>Contactado Email</t>
        </is>
      </c>
      <c r="M1369" s="61" t="n"/>
      <c r="N1369" s="61" t="n"/>
      <c r="O1369" s="61" t="n"/>
      <c r="P1369" s="61" t="n"/>
      <c r="Q1369" s="62" t="n"/>
      <c r="R1369" s="61" t="n"/>
      <c r="S1369" s="37" t="inlineStr">
        <is>
          <t>2026-03-17</t>
        </is>
      </c>
    </row>
    <row r="1370" ht="15.75" customHeight="1" s="38">
      <c r="A1370" s="59" t="inlineStr">
        <is>
          <t>Monitoring SpA</t>
        </is>
      </c>
      <c r="B1370" s="59" t="inlineStr">
        <is>
          <t>Consultoría en Gestión de Activos</t>
        </is>
      </c>
      <c r="C1370" s="59" t="inlineStr">
        <is>
          <t>Santiago</t>
        </is>
      </c>
      <c r="D1370" s="59" t="inlineStr">
        <is>
          <t>soporte@monitoring.cl</t>
        </is>
      </c>
      <c r="E1370" s="59" t="inlineStr">
        <is>
          <t>(56) 2 2235 3090</t>
        </is>
      </c>
      <c r="F1370" s="59" t="inlineStr">
        <is>
          <t>Rodrigo Alfonso Fernandez (CTO)</t>
        </is>
      </c>
      <c r="G1370" s="59" t="n"/>
      <c r="H1370" s="59" t="n"/>
      <c r="I1370" s="59" t="inlineStr">
        <is>
          <t>76.244.849-1</t>
        </is>
      </c>
      <c r="J1370" s="59" t="inlineStr">
        <is>
          <t>Monitoreo Remoto &amp; IoT Minería</t>
        </is>
      </c>
      <c r="K1370" s="59" t="inlineStr">
        <is>
          <t>Ventas: GRANDE 2 (200.000 - 600.000 UF) | Empleados: 94</t>
        </is>
      </c>
      <c r="L1370" s="61" t="inlineStr">
        <is>
          <t>Contactado Email</t>
        </is>
      </c>
      <c r="M1370" s="61" t="n"/>
      <c r="N1370" s="61" t="n"/>
      <c r="O1370" s="61" t="n"/>
      <c r="P1370" s="61" t="n"/>
      <c r="Q1370" s="62" t="n"/>
      <c r="R1370" s="61" t="n"/>
      <c r="S1370" s="37" t="inlineStr">
        <is>
          <t>2026-03-17</t>
        </is>
      </c>
    </row>
    <row r="1371" ht="15.75" customHeight="1" s="38">
      <c r="A1371" s="66" t="inlineStr">
        <is>
          <t>Montt Group</t>
        </is>
      </c>
      <c r="B1371" s="66" t="inlineStr">
        <is>
          <t>Asesorías Jurídicas en Minería, Consultores en Minería y Medio Ambiente</t>
        </is>
      </c>
      <c r="C1371" s="66" t="inlineStr">
        <is>
          <t>Santiago</t>
        </is>
      </c>
      <c r="D1371" s="66" t="inlineStr">
        <is>
          <t>monttgroup@monttgroup.com</t>
        </is>
      </c>
      <c r="E1371" s="66" t="inlineStr">
        <is>
          <t>(56) 2 2544 6800</t>
        </is>
      </c>
      <c r="F1371" s="66" t="n"/>
      <c r="G1371" s="66" t="n"/>
      <c r="H1371" s="66" t="n"/>
      <c r="I1371" s="66" t="inlineStr">
        <is>
          <t>77.290.408-8</t>
        </is>
      </c>
      <c r="J1371" s="66" t="n"/>
      <c r="K1371" s="66" t="inlineStr">
        <is>
          <t>Ventas: GRANDE 1 (100.000 - 200.000 UF) | Empleados: 18</t>
        </is>
      </c>
      <c r="L1371" s="61" t="inlineStr">
        <is>
          <t>Contactado Email</t>
        </is>
      </c>
      <c r="M1371" s="61" t="n"/>
      <c r="N1371" s="61" t="n"/>
      <c r="O1371" s="61" t="n"/>
      <c r="P1371" s="61" t="n"/>
      <c r="Q1371" s="62" t="n"/>
      <c r="R1371" s="61" t="n"/>
      <c r="S1371" s="37" t="inlineStr">
        <is>
          <t>2026-03-17</t>
        </is>
      </c>
    </row>
    <row r="1372" ht="15.75" customHeight="1" s="38">
      <c r="A1372" s="66" t="inlineStr">
        <is>
          <t>Morgan Empresas</t>
        </is>
      </c>
      <c r="B1372" s="66" t="inlineStr">
        <is>
          <t>Reciclaje de Neumáticos</t>
        </is>
      </c>
      <c r="C1372" s="66" t="inlineStr">
        <is>
          <t>Santiago</t>
        </is>
      </c>
      <c r="D1372" s="66" t="inlineStr">
        <is>
          <t>contacto@morganst.cl</t>
        </is>
      </c>
      <c r="E1372" s="66" t="inlineStr">
        <is>
          <t>(56) 9 4067 2581</t>
        </is>
      </c>
      <c r="F1372" s="66" t="n"/>
      <c r="G1372" s="66" t="n"/>
      <c r="H1372" s="66" t="n"/>
      <c r="I1372" s="66" t="inlineStr">
        <is>
          <t>76.009.323-8</t>
        </is>
      </c>
      <c r="J1372" s="66" t="n"/>
      <c r="K1372" s="66" t="inlineStr">
        <is>
          <t>Ventas: MEDIANA 1 (25.000 - 50.000 UF) | Empleados: 11</t>
        </is>
      </c>
      <c r="L1372" s="61" t="inlineStr">
        <is>
          <t>Contactado Email</t>
        </is>
      </c>
      <c r="M1372" s="61" t="n"/>
      <c r="N1372" s="61" t="n"/>
      <c r="O1372" s="61" t="n"/>
      <c r="P1372" s="61" t="n"/>
      <c r="Q1372" s="62" t="n"/>
      <c r="R1372" s="61" t="n"/>
      <c r="S1372" s="37" t="inlineStr">
        <is>
          <t>2026-03-17</t>
        </is>
      </c>
    </row>
    <row r="1373" ht="15.75" customHeight="1" s="38">
      <c r="A1373" s="66" t="inlineStr">
        <is>
          <t>Morval Chile</t>
        </is>
      </c>
      <c r="B1373" s="66" t="inlineStr">
        <is>
          <t>Equipos e Insumos para Procesos de Biolixiviación, Productos Termoaislantes</t>
        </is>
      </c>
      <c r="C1373" s="66" t="inlineStr">
        <is>
          <t>Santiago</t>
        </is>
      </c>
      <c r="D1373" s="66" t="inlineStr">
        <is>
          <t>info@morval.cl</t>
        </is>
      </c>
      <c r="E1373" s="66" t="inlineStr">
        <is>
          <t>(56) 9 9334 5498</t>
        </is>
      </c>
      <c r="F1373" s="66" t="n"/>
      <c r="G1373" s="66" t="n"/>
      <c r="H1373" s="66" t="n"/>
      <c r="I1373" s="66" t="inlineStr">
        <is>
          <t>77.744.580-4</t>
        </is>
      </c>
      <c r="J1373" s="66" t="n"/>
      <c r="K1373" s="66" t="inlineStr">
        <is>
          <t>Ventas: MEDIANA 2 (50.000 - 100.000 UF) | Empleados: 8</t>
        </is>
      </c>
      <c r="L1373" s="61" t="inlineStr">
        <is>
          <t>Contactado Email</t>
        </is>
      </c>
      <c r="M1373" s="61" t="n"/>
      <c r="N1373" s="61" t="n"/>
      <c r="O1373" s="61" t="n"/>
      <c r="P1373" s="61" t="n"/>
      <c r="Q1373" s="62" t="n"/>
      <c r="R1373" s="61" t="n"/>
      <c r="S1373" s="37" t="inlineStr">
        <is>
          <t>2026-03-17</t>
        </is>
      </c>
    </row>
    <row r="1374" ht="15.75" customHeight="1" s="38">
      <c r="A1374" s="66" t="inlineStr">
        <is>
          <t>Motion Metrics</t>
        </is>
      </c>
      <c r="B1374" s="66" t="inlineStr">
        <is>
          <t>Sistemas de Detección de Caída de Elementos de Desgaste para Palas y Cargadores, Sistemas para Análisis de Fragmentación de Minerales</t>
        </is>
      </c>
      <c r="C1374" s="66" t="inlineStr">
        <is>
          <t>Santiago</t>
        </is>
      </c>
      <c r="D1374" s="66" t="inlineStr">
        <is>
          <t>mm.sales@mail.weir</t>
        </is>
      </c>
      <c r="E1374" s="66" t="inlineStr">
        <is>
          <t>(56) 2 2969 3279</t>
        </is>
      </c>
      <c r="F1374" s="66" t="n"/>
      <c r="G1374" s="66" t="n"/>
      <c r="H1374" s="66" t="n"/>
      <c r="I1374" s="66" t="inlineStr">
        <is>
          <t>76.365.287-4</t>
        </is>
      </c>
      <c r="J1374" s="66" t="n"/>
      <c r="K1374" s="66" t="inlineStr">
        <is>
          <t>Ventas: GRANDE 3 (600.000 - 1.000.000 UF) | Empleados: 24</t>
        </is>
      </c>
      <c r="L1374" s="61" t="inlineStr">
        <is>
          <t>Contactado Email</t>
        </is>
      </c>
      <c r="M1374" s="61" t="n"/>
      <c r="N1374" s="61" t="n"/>
      <c r="O1374" s="61" t="n"/>
      <c r="P1374" s="61" t="n"/>
      <c r="Q1374" s="62" t="n"/>
      <c r="R1374" s="61" t="n"/>
      <c r="S1374" s="37" t="inlineStr">
        <is>
          <t>2026-03-17</t>
        </is>
      </c>
    </row>
    <row r="1375" ht="15.75" customHeight="1" s="38">
      <c r="A1375" s="59" t="inlineStr">
        <is>
          <t>Mountain Drilling Ltda.</t>
        </is>
      </c>
      <c r="B1375" s="59" t="inlineStr">
        <is>
          <t>Proyectos Helitransportables, Servicios de Perforación</t>
        </is>
      </c>
      <c r="C1375" s="59" t="inlineStr">
        <is>
          <t>La Serena</t>
        </is>
      </c>
      <c r="D1375" s="59" t="inlineStr">
        <is>
          <t>contacto@mountaindrilling.cl</t>
        </is>
      </c>
      <c r="E1375" s="59" t="inlineStr">
        <is>
          <t>(56) 9 4227 6346</t>
        </is>
      </c>
      <c r="F1375" s="59" t="inlineStr">
        <is>
          <t>Oscar Urbina (Gerente Gestion y Desarrollo)</t>
        </is>
      </c>
      <c r="G1375" s="59" t="n"/>
      <c r="H1375" s="59" t="n"/>
      <c r="I1375" s="59" t="inlineStr">
        <is>
          <t>76.322.002-8</t>
        </is>
      </c>
      <c r="J1375" s="59" t="inlineStr">
        <is>
          <t>Desarrollo Técnico Perforación Diamantina</t>
        </is>
      </c>
      <c r="K1375" s="59" t="inlineStr">
        <is>
          <t>Ventas: GRANDE 2 (200.000 - 600.000 UF) | Empleados: 95</t>
        </is>
      </c>
      <c r="L1375" s="61" t="inlineStr">
        <is>
          <t>Contactado Email</t>
        </is>
      </c>
      <c r="M1375" s="61" t="n"/>
      <c r="N1375" s="61" t="n"/>
      <c r="O1375" s="61" t="n"/>
      <c r="P1375" s="61" t="n"/>
      <c r="Q1375" s="62" t="n"/>
      <c r="R1375" s="61" t="n"/>
      <c r="S1375" s="37" t="inlineStr">
        <is>
          <t>2026-03-17</t>
        </is>
      </c>
    </row>
    <row r="1376" ht="15.75" customHeight="1" s="38">
      <c r="A1376" s="66" t="inlineStr">
        <is>
          <t>Movitec</t>
        </is>
      </c>
      <c r="B1376" s="66" t="inlineStr">
        <is>
          <t>Contratistas para la Minería</t>
        </is>
      </c>
      <c r="C1376" s="66" t="inlineStr">
        <is>
          <t>Santiago</t>
        </is>
      </c>
      <c r="D1376" s="66" t="inlineStr">
        <is>
          <t>contacto@movitec.cl</t>
        </is>
      </c>
      <c r="E1376" s="66" t="inlineStr">
        <is>
          <t>(56) 2 2371 8052</t>
        </is>
      </c>
      <c r="F1376" s="66" t="n"/>
      <c r="G1376" s="66" t="n"/>
      <c r="H1376" s="66" t="n"/>
      <c r="I1376" s="66" t="inlineStr">
        <is>
          <t>77796538-7</t>
        </is>
      </c>
      <c r="J1376" s="66" t="n"/>
      <c r="K1376" s="66" t="inlineStr">
        <is>
          <t>Ventas: MICRO 1 (0.01 - 200 UF) | Empleados: 0</t>
        </is>
      </c>
      <c r="L1376" s="61" t="inlineStr">
        <is>
          <t>Contactado Email</t>
        </is>
      </c>
      <c r="M1376" s="61" t="n"/>
      <c r="N1376" s="61" t="n"/>
      <c r="O1376" s="61" t="n"/>
      <c r="P1376" s="61" t="n"/>
      <c r="Q1376" s="62" t="n"/>
      <c r="R1376" s="61" t="n"/>
      <c r="S1376" s="37" t="inlineStr">
        <is>
          <t>2026-03-17</t>
        </is>
      </c>
    </row>
    <row r="1377" ht="15.75" customHeight="1" s="38">
      <c r="A1377" s="66" t="inlineStr">
        <is>
          <t>Movitecnica</t>
        </is>
      </c>
      <c r="B1377" s="66" t="inlineStr">
        <is>
          <t>Correas Transportadoras, Tecles y Polipastos</t>
        </is>
      </c>
      <c r="C1377" s="66" t="inlineStr">
        <is>
          <t>Santiago</t>
        </is>
      </c>
      <c r="D1377" s="66" t="inlineStr">
        <is>
          <t>ventas@movitecnica.cl</t>
        </is>
      </c>
      <c r="E1377" s="66" t="inlineStr">
        <is>
          <t>(56) 9 7760 0996</t>
        </is>
      </c>
      <c r="F1377" s="66" t="n"/>
      <c r="G1377" s="66" t="n"/>
      <c r="H1377" s="66" t="n"/>
      <c r="I1377" s="66" t="inlineStr">
        <is>
          <t>77063248-K</t>
        </is>
      </c>
      <c r="J1377" s="66" t="n"/>
      <c r="K1377" s="66" t="inlineStr">
        <is>
          <t>Ventas: PEQUEÑA 1 (2.400 - 5.000 UF) | Empleados: 0</t>
        </is>
      </c>
      <c r="L1377" s="61" t="inlineStr">
        <is>
          <t>Contactado Email</t>
        </is>
      </c>
      <c r="M1377" s="61" t="n"/>
      <c r="N1377" s="61" t="n"/>
      <c r="O1377" s="61" t="n"/>
      <c r="P1377" s="61" t="n"/>
      <c r="Q1377" s="62" t="n"/>
      <c r="R1377" s="61" t="n"/>
      <c r="S1377" s="37" t="inlineStr">
        <is>
          <t>2026-03-17</t>
        </is>
      </c>
    </row>
    <row r="1378" ht="15.75" customHeight="1" s="38">
      <c r="A1378" s="66" t="inlineStr">
        <is>
          <t>MSP Group</t>
        </is>
      </c>
      <c r="B1378" s="66" t="inlineStr">
        <is>
          <t>Carrocerías para Camiones, Equipamiento Minero</t>
        </is>
      </c>
      <c r="C1378" s="66" t="inlineStr">
        <is>
          <t>Santiago</t>
        </is>
      </c>
      <c r="D1378" s="66" t="inlineStr">
        <is>
          <t>comercial@mspgroup.cl</t>
        </is>
      </c>
      <c r="E1378" s="66" t="inlineStr">
        <is>
          <t>(56) 9 6445 5832</t>
        </is>
      </c>
      <c r="F1378" s="66" t="n"/>
      <c r="G1378" s="66" t="n"/>
      <c r="H1378" s="66" t="n"/>
      <c r="I1378" s="66" t="inlineStr">
        <is>
          <t>77227638-9</t>
        </is>
      </c>
      <c r="J1378" s="66" t="n"/>
      <c r="K1378" s="66" t="inlineStr">
        <is>
          <t>Ventas: MEDIANA 1 (25.000 - 50.000 UF) | Empleados: 0</t>
        </is>
      </c>
      <c r="L1378" s="61" t="inlineStr">
        <is>
          <t>Contactado Email</t>
        </is>
      </c>
      <c r="M1378" s="61" t="n"/>
      <c r="N1378" s="61" t="n"/>
      <c r="O1378" s="61" t="n"/>
      <c r="P1378" s="61" t="n"/>
      <c r="Q1378" s="62" t="n"/>
      <c r="R1378" s="61" t="n"/>
      <c r="S1378" s="37" t="inlineStr">
        <is>
          <t>2026-03-17</t>
        </is>
      </c>
    </row>
    <row r="1379" ht="15.75" customHeight="1" s="38">
      <c r="A1379" s="66" t="inlineStr">
        <is>
          <t>MTG Chile</t>
        </is>
      </c>
      <c r="B1379" s="66" t="inlineStr">
        <is>
          <t>Proveedor Destacado, Dientes o Puntas para Cargadores Frontales, Dientes o Puntas para Excavadoras Hidráulicas, Dientes o Puntas para Palas de Cables, Protectores de Cuchilla para LHD, Soluciones de Desgaste para Equipos Mineros – GETs</t>
        </is>
      </c>
      <c r="C1379" s="66" t="inlineStr">
        <is>
          <t>Santiago</t>
        </is>
      </c>
      <c r="D1379" s="66" t="inlineStr">
        <is>
          <t>claudio.machiavello@mtg.es</t>
        </is>
      </c>
      <c r="E1379" s="66" t="inlineStr">
        <is>
          <t>(56) 9 4267 4881</t>
        </is>
      </c>
      <c r="F1379" s="66" t="n"/>
      <c r="G1379" s="66" t="n"/>
      <c r="H1379" s="66" t="inlineStr">
        <is>
          <t>http://www.mtgcorp.com</t>
        </is>
      </c>
      <c r="I1379" s="66" t="inlineStr">
        <is>
          <t>76.307.745-4</t>
        </is>
      </c>
      <c r="J1379" s="66" t="n"/>
      <c r="K1379" s="66" t="inlineStr">
        <is>
          <t>Ventas: GRANDE 3 (600.000 - 1.000.000 UF) | Empleados: 3</t>
        </is>
      </c>
      <c r="L1379" s="61" t="inlineStr">
        <is>
          <t>Contactado Email</t>
        </is>
      </c>
      <c r="M1379" s="61" t="n"/>
      <c r="N1379" s="61" t="n"/>
      <c r="O1379" s="61" t="n"/>
      <c r="P1379" s="61" t="n"/>
      <c r="Q1379" s="62" t="n"/>
      <c r="R1379" s="61" t="n"/>
      <c r="S1379" s="37" t="inlineStr">
        <is>
          <t>2026-03-17</t>
        </is>
      </c>
    </row>
    <row r="1380" ht="15.75" customHeight="1" s="38">
      <c r="A1380" s="66" t="inlineStr">
        <is>
          <t>Multiaceros S.A</t>
        </is>
      </c>
      <c r="B1380" s="66" t="inlineStr">
        <is>
          <t>Revestimientos Epóxicos</t>
        </is>
      </c>
      <c r="C1380" s="66" t="inlineStr">
        <is>
          <t>Santiago</t>
        </is>
      </c>
      <c r="D1380" s="66" t="inlineStr">
        <is>
          <t>ventas@multiaceros.cl</t>
        </is>
      </c>
      <c r="E1380" s="66" t="inlineStr">
        <is>
          <t>(56) 2 2498 3300</t>
        </is>
      </c>
      <c r="F1380" s="66" t="n"/>
      <c r="G1380" s="66" t="n"/>
      <c r="H1380" s="66" t="n"/>
      <c r="I1380" s="66" t="inlineStr">
        <is>
          <t>96.798.550-3</t>
        </is>
      </c>
      <c r="J1380" s="66" t="n"/>
      <c r="K1380" s="66" t="inlineStr">
        <is>
          <t>Ventas: GRANDE (Estimado por Empleados) | Empleados: 461</t>
        </is>
      </c>
      <c r="L1380" s="61" t="inlineStr">
        <is>
          <t>Contactado Email</t>
        </is>
      </c>
      <c r="M1380" s="61" t="n"/>
      <c r="N1380" s="61" t="n"/>
      <c r="O1380" s="61" t="n"/>
      <c r="P1380" s="61" t="n"/>
      <c r="Q1380" s="62" t="n"/>
      <c r="R1380" s="61" t="n"/>
      <c r="S1380" s="37" t="inlineStr">
        <is>
          <t>2026-03-17</t>
        </is>
      </c>
    </row>
    <row r="1381" ht="15.75" customHeight="1" s="38">
      <c r="A1381" s="66" t="inlineStr">
        <is>
          <t>Multifibras S.A.</t>
        </is>
      </c>
      <c r="B1381" s="66" t="inlineStr">
        <is>
          <t>Polines</t>
        </is>
      </c>
      <c r="C1381" s="66" t="inlineStr">
        <is>
          <t>Santiago</t>
        </is>
      </c>
      <c r="D1381" s="66" t="inlineStr">
        <is>
          <t>info@multifibrassa.com</t>
        </is>
      </c>
      <c r="E1381" s="66" t="inlineStr">
        <is>
          <t>(56) 2 2986 3569</t>
        </is>
      </c>
      <c r="F1381" s="66" t="n"/>
      <c r="G1381" s="66" t="n"/>
      <c r="H1381" s="66" t="n"/>
      <c r="I1381" s="66" t="inlineStr">
        <is>
          <t>76111926-5</t>
        </is>
      </c>
      <c r="J1381" s="66" t="n"/>
      <c r="K1381" s="66" t="inlineStr">
        <is>
          <t>Ventas: PEQUEÑA 3 (10.000 - 25.000 UF) | Empleados: 0</t>
        </is>
      </c>
      <c r="L1381" s="61" t="inlineStr">
        <is>
          <t>Contactado Email</t>
        </is>
      </c>
      <c r="M1381" s="61" t="n"/>
      <c r="N1381" s="61" t="n"/>
      <c r="O1381" s="61" t="n"/>
      <c r="P1381" s="61" t="n"/>
      <c r="Q1381" s="62" t="n"/>
      <c r="R1381" s="61" t="n"/>
      <c r="S1381" s="37" t="inlineStr">
        <is>
          <t>2026-03-17</t>
        </is>
      </c>
    </row>
    <row r="1382" ht="15.75" customHeight="1" s="38">
      <c r="A1382" s="66" t="inlineStr">
        <is>
          <t>Multiservice Grúas</t>
        </is>
      </c>
      <c r="B1382" s="66" t="inlineStr">
        <is>
          <t>Proveedor Destacado, Arriendo de Grúas, Arriendo de Grúas para Alto Tonelaje, Arriendo de Grúas Pluma, Arriendo de Grúas Telescópicas, Servicios para la Construcción, Servicios para la Minería</t>
        </is>
      </c>
      <c r="C1382" s="66" t="inlineStr">
        <is>
          <t>Santiago</t>
        </is>
      </c>
      <c r="D1382" s="66" t="inlineStr">
        <is>
          <t>ventas@multiservice.cl</t>
        </is>
      </c>
      <c r="E1382" s="66" t="inlineStr">
        <is>
          <t>(56) 2 2591 5200</t>
        </is>
      </c>
      <c r="F1382" s="66" t="n"/>
      <c r="G1382" s="66" t="n"/>
      <c r="H1382" s="66" t="inlineStr">
        <is>
          <t>http://www.multiservicegruas.com</t>
        </is>
      </c>
      <c r="I1382" s="66" t="inlineStr">
        <is>
          <t>79.938.160-5</t>
        </is>
      </c>
      <c r="J1382" s="66" t="n"/>
      <c r="K1382" s="66" t="inlineStr">
        <is>
          <t>Ventas: GRANDE 3 (600.000 - 1.000.000 UF) | Empleados: 147</t>
        </is>
      </c>
      <c r="L1382" s="61" t="inlineStr">
        <is>
          <t>Contactado Email</t>
        </is>
      </c>
      <c r="M1382" s="61" t="n"/>
      <c r="N1382" s="61" t="n"/>
      <c r="O1382" s="61" t="n"/>
      <c r="P1382" s="61" t="n"/>
      <c r="Q1382" s="62" t="n"/>
      <c r="R1382" s="61" t="n"/>
      <c r="S1382" s="37" t="inlineStr">
        <is>
          <t>2026-03-17</t>
        </is>
      </c>
    </row>
    <row r="1383" ht="15.75" customHeight="1" s="38">
      <c r="A1383" s="66" t="inlineStr">
        <is>
          <t>Multitudine Security</t>
        </is>
      </c>
      <c r="B1383" s="66" t="inlineStr">
        <is>
          <t>Servicios de Limpieza Mecanizada de Paneles Solares, Servicios de Recursos Humanos a Empresas, Servicios de Seguridad Privada a Empresas</t>
        </is>
      </c>
      <c r="C1383" s="66" t="inlineStr">
        <is>
          <t>Santiago</t>
        </is>
      </c>
      <c r="D1383" s="66" t="inlineStr">
        <is>
          <t>f.murcia@multitudinesecurity.cl</t>
        </is>
      </c>
      <c r="E1383" s="66" t="inlineStr">
        <is>
          <t>(56) 9 8902 1986</t>
        </is>
      </c>
      <c r="F1383" s="66" t="n"/>
      <c r="G1383" s="66" t="n"/>
      <c r="H1383" s="66" t="n"/>
      <c r="I1383" s="66" t="inlineStr">
        <is>
          <t>76.740.662-2</t>
        </is>
      </c>
      <c r="J1383" s="66" t="n"/>
      <c r="K1383" s="66" t="inlineStr">
        <is>
          <t>Ventas: PEQUEÑA 3 (10.000 - 25.000 UF) | Empleados: 56</t>
        </is>
      </c>
      <c r="L1383" s="61" t="inlineStr">
        <is>
          <t>Contactado Email</t>
        </is>
      </c>
      <c r="M1383" s="61" t="n"/>
      <c r="N1383" s="61" t="n"/>
      <c r="O1383" s="61" t="n"/>
      <c r="P1383" s="61" t="n"/>
      <c r="Q1383" s="62" t="n"/>
      <c r="R1383" s="61" t="n"/>
      <c r="S1383" s="37" t="inlineStr">
        <is>
          <t>2026-03-17</t>
        </is>
      </c>
    </row>
    <row r="1384" ht="15.75" customHeight="1" s="38">
      <c r="A1384" s="59" t="inlineStr">
        <is>
          <t>Multotec Chile S.A.</t>
        </is>
      </c>
      <c r="B1384" s="59" t="inlineStr">
        <is>
          <t>Equipos para Procesamiento de Minerales, Plantas de Procesamiento de Minerales</t>
        </is>
      </c>
      <c r="C1384" s="59" t="inlineStr">
        <is>
          <t>Santiago</t>
        </is>
      </c>
      <c r="D1384" s="59" t="inlineStr">
        <is>
          <t>chile@multotec.com</t>
        </is>
      </c>
      <c r="E1384" s="59" t="inlineStr">
        <is>
          <t>(56) 2 2745 3317</t>
        </is>
      </c>
      <c r="F1384" s="59" t="inlineStr">
        <is>
          <t>Mario Saavedra Vergara (CEO/Gerente General)</t>
        </is>
      </c>
      <c r="G1384" s="59" t="n"/>
      <c r="H1384" s="59" t="n"/>
      <c r="I1384" s="59" t="inlineStr">
        <is>
          <t>96.841.500-K</t>
        </is>
      </c>
      <c r="J1384" s="59" t="inlineStr">
        <is>
          <t>Muestreo Mineral &amp; Infraestructura Minera</t>
        </is>
      </c>
      <c r="K1384" s="59" t="inlineStr">
        <is>
          <t>Ventas: GRANDE 2 (200.000 - 600.000 UF) | Empleados: 78</t>
        </is>
      </c>
      <c r="L1384" s="61" t="inlineStr">
        <is>
          <t>Contactado Email</t>
        </is>
      </c>
      <c r="M1384" s="61" t="n"/>
      <c r="N1384" s="61" t="n"/>
      <c r="O1384" s="61" t="n"/>
      <c r="P1384" s="61" t="n"/>
      <c r="Q1384" s="62" t="n"/>
      <c r="R1384" s="61" t="n"/>
      <c r="S1384" s="37" t="inlineStr">
        <is>
          <t>2026-03-17</t>
        </is>
      </c>
    </row>
    <row r="1385" ht="15.75" customHeight="1" s="38">
      <c r="A1385" s="66" t="inlineStr">
        <is>
          <t>Mundoplast SpA</t>
        </is>
      </c>
      <c r="B1385" s="66" t="inlineStr">
        <is>
          <t>Cuñas Plásticas</t>
        </is>
      </c>
      <c r="C1385" s="66" t="inlineStr">
        <is>
          <t>Santiago</t>
        </is>
      </c>
      <c r="D1385" s="66" t="inlineStr">
        <is>
          <t>contacto@mundoplast.cl</t>
        </is>
      </c>
      <c r="E1385" s="66" t="inlineStr">
        <is>
          <t>(56) 2 2942 4134</t>
        </is>
      </c>
      <c r="F1385" s="66" t="n"/>
      <c r="G1385" s="66" t="n"/>
      <c r="H1385" s="66" t="n"/>
      <c r="I1385" s="66" t="inlineStr">
        <is>
          <t>76855241-K</t>
        </is>
      </c>
      <c r="J1385" s="66" t="n"/>
      <c r="K1385" s="66" t="inlineStr">
        <is>
          <t>Ventas: PEQUEÑA 3 (10.000 - 25.000 UF) | Empleados: 6</t>
        </is>
      </c>
      <c r="L1385" s="61" t="inlineStr">
        <is>
          <t>Contactado Email</t>
        </is>
      </c>
      <c r="M1385" s="61" t="n"/>
      <c r="N1385" s="61" t="n"/>
      <c r="O1385" s="61" t="n"/>
      <c r="P1385" s="61" t="n"/>
      <c r="Q1385" s="62" t="n"/>
      <c r="R1385" s="61" t="n"/>
      <c r="S1385" s="37" t="inlineStr">
        <is>
          <t>2026-03-17</t>
        </is>
      </c>
    </row>
    <row r="1386" ht="15.75" customHeight="1" s="38">
      <c r="A1386" s="66" t="inlineStr">
        <is>
          <t>Mutual de Seguridad C.Ch.C.</t>
        </is>
      </c>
      <c r="B1386" s="66" t="inlineStr">
        <is>
          <t>Asesorías en Salud Ocupacional, Asesorías en Seguridad</t>
        </is>
      </c>
      <c r="C1386" s="66" t="inlineStr">
        <is>
          <t>Santiago</t>
        </is>
      </c>
      <c r="D1386" s="66" t="inlineStr">
        <is>
          <t>info@mutual.cl</t>
        </is>
      </c>
      <c r="E1386" s="66" t="inlineStr">
        <is>
          <t>(56) 2 2876 5720</t>
        </is>
      </c>
      <c r="F1386" s="66" t="n"/>
      <c r="G1386" s="66" t="n"/>
      <c r="H1386" s="66" t="n"/>
      <c r="I1386" s="66" t="inlineStr">
        <is>
          <t>70.285.100-9</t>
        </is>
      </c>
      <c r="J1386" s="66" t="n"/>
      <c r="K1386" s="66" t="inlineStr">
        <is>
          <t>Ventas: GRANDE (Estimado por Empleados) | Empleados: 5070</t>
        </is>
      </c>
      <c r="L1386" s="61" t="inlineStr">
        <is>
          <t>Contactado Email</t>
        </is>
      </c>
      <c r="M1386" s="61" t="n"/>
      <c r="N1386" s="61" t="n"/>
      <c r="O1386" s="61" t="n"/>
      <c r="P1386" s="61" t="n"/>
      <c r="Q1386" s="62" t="n"/>
      <c r="R1386" s="61" t="n"/>
      <c r="S1386" s="37" t="inlineStr">
        <is>
          <t>2026-03-17</t>
        </is>
      </c>
    </row>
    <row r="1387" ht="15.75" customHeight="1" s="38">
      <c r="A1387" s="66" t="inlineStr">
        <is>
          <t>MV Montajes</t>
        </is>
      </c>
      <c r="B1387" s="66" t="inlineStr">
        <is>
          <t>Arriendo de Andamios</t>
        </is>
      </c>
      <c r="C1387" s="66" t="inlineStr">
        <is>
          <t>Santiago</t>
        </is>
      </c>
      <c r="D1387" s="66" t="inlineStr">
        <is>
          <t>cristian.vera@mvmontajes.cl</t>
        </is>
      </c>
      <c r="E1387" s="66" t="inlineStr">
        <is>
          <t>(56) 9 7476 4824</t>
        </is>
      </c>
      <c r="F1387" s="66" t="n"/>
      <c r="G1387" s="66" t="n"/>
      <c r="H1387" s="66" t="n"/>
      <c r="I1387" s="66" t="inlineStr">
        <is>
          <t>77.182.593-1</t>
        </is>
      </c>
      <c r="J1387" s="66" t="n"/>
      <c r="K1387" s="66" t="inlineStr">
        <is>
          <t>Ventas: MICRO 1 (0.01 - 200 UF) | Empleados: 0</t>
        </is>
      </c>
      <c r="L1387" s="61" t="inlineStr">
        <is>
          <t>Contactado Email</t>
        </is>
      </c>
      <c r="M1387" s="61" t="n"/>
      <c r="N1387" s="61" t="n"/>
      <c r="O1387" s="61" t="n"/>
      <c r="P1387" s="61" t="n"/>
      <c r="Q1387" s="62" t="n"/>
      <c r="R1387" s="61" t="n"/>
      <c r="S1387" s="37" t="inlineStr">
        <is>
          <t>2026-03-17</t>
        </is>
      </c>
    </row>
    <row r="1388" ht="15.75" customHeight="1" s="38">
      <c r="A1388" s="66" t="inlineStr">
        <is>
          <t>Más Loop SpA</t>
        </is>
      </c>
      <c r="B1388" s="66" t="inlineStr">
        <is>
          <t>Automatización, Control Industrial</t>
        </is>
      </c>
      <c r="C1388" s="66" t="inlineStr">
        <is>
          <t>Santiago</t>
        </is>
      </c>
      <c r="D1388" s="66" t="inlineStr">
        <is>
          <t>contacto@masloop.cl</t>
        </is>
      </c>
      <c r="E1388" s="66" t="inlineStr">
        <is>
          <t>(56) 9 7805 7774</t>
        </is>
      </c>
      <c r="F1388" s="66" t="n"/>
      <c r="G1388" s="66" t="n"/>
      <c r="H1388" s="66" t="n"/>
      <c r="I1388" s="66" t="inlineStr">
        <is>
          <t>76.128.373-1</t>
        </is>
      </c>
      <c r="J1388" s="66" t="n"/>
      <c r="K1388" s="66" t="inlineStr">
        <is>
          <t>Ventas: MEDIANA 2 (50.000 - 100.000 UF) | Empleados: 11</t>
        </is>
      </c>
      <c r="L1388" s="61" t="inlineStr">
        <is>
          <t>Contactado Email</t>
        </is>
      </c>
      <c r="M1388" s="61" t="n"/>
      <c r="N1388" s="61" t="n"/>
      <c r="O1388" s="61" t="n"/>
      <c r="P1388" s="61" t="n"/>
      <c r="Q1388" s="62" t="n"/>
      <c r="R1388" s="61" t="n"/>
      <c r="S1388" s="37" t="inlineStr">
        <is>
          <t>2026-03-17</t>
        </is>
      </c>
    </row>
    <row r="1389" ht="15.75" customHeight="1" s="38">
      <c r="A1389" s="66" t="inlineStr">
        <is>
          <t>Nabusa</t>
        </is>
      </c>
      <c r="B1389" s="66" t="inlineStr">
        <is>
          <t>Automatización de Procesos</t>
        </is>
      </c>
      <c r="C1389" s="66" t="inlineStr">
        <is>
          <t>Antofagasta</t>
        </is>
      </c>
      <c r="D1389" s="66" t="inlineStr">
        <is>
          <t>contacto@nabusa.cl</t>
        </is>
      </c>
      <c r="E1389" s="66" t="inlineStr">
        <is>
          <t>(56) 2 2419 8392</t>
        </is>
      </c>
      <c r="F1389" s="66" t="n"/>
      <c r="G1389" s="66" t="n"/>
      <c r="H1389" s="66" t="n"/>
      <c r="I1389" s="66" t="inlineStr">
        <is>
          <t>76748635-9</t>
        </is>
      </c>
      <c r="J1389" s="66" t="n"/>
      <c r="K1389" s="66" t="inlineStr">
        <is>
          <t>Ventas: GRANDE 1 (100.000 - 200.000 UF) | Empleados: 8</t>
        </is>
      </c>
      <c r="L1389" s="61" t="inlineStr">
        <is>
          <t>Contactado Email</t>
        </is>
      </c>
      <c r="M1389" s="61" t="n"/>
      <c r="N1389" s="61" t="n"/>
      <c r="O1389" s="61" t="n"/>
      <c r="P1389" s="61" t="n"/>
      <c r="Q1389" s="62" t="n"/>
      <c r="R1389" s="61" t="n"/>
      <c r="S1389" s="37" t="inlineStr">
        <is>
          <t>2026-03-17</t>
        </is>
      </c>
    </row>
    <row r="1390" ht="15.75" customHeight="1" s="38">
      <c r="A1390" s="66" t="inlineStr">
        <is>
          <t>Natural Energy</t>
        </is>
      </c>
      <c r="B1390" s="66" t="inlineStr">
        <is>
          <t>Energías Renovables, Seguridad Industrial y Minera</t>
        </is>
      </c>
      <c r="C1390" s="66" t="inlineStr">
        <is>
          <t>Santiago</t>
        </is>
      </c>
      <c r="D1390" s="66" t="inlineStr">
        <is>
          <t>tienda@naturalenergy.cl</t>
        </is>
      </c>
      <c r="E1390" s="66" t="inlineStr">
        <is>
          <t>(56) 2 2478 1100</t>
        </is>
      </c>
      <c r="F1390" s="66" t="n"/>
      <c r="G1390" s="66" t="n"/>
      <c r="H1390" s="66" t="n"/>
      <c r="I1390" s="66" t="inlineStr">
        <is>
          <t>76434897-4</t>
        </is>
      </c>
      <c r="J1390" s="66" t="n"/>
      <c r="K1390" s="66" t="inlineStr">
        <is>
          <t>Ventas: MICRO 1 (0.01 - 200 UF) | Empleados: 7</t>
        </is>
      </c>
      <c r="L1390" s="61" t="inlineStr">
        <is>
          <t>Contactado Email</t>
        </is>
      </c>
      <c r="M1390" s="61" t="n"/>
      <c r="N1390" s="61" t="n"/>
      <c r="O1390" s="61" t="n"/>
      <c r="P1390" s="61" t="n"/>
      <c r="Q1390" s="62" t="n"/>
      <c r="R1390" s="61" t="n"/>
      <c r="S1390" s="37" t="inlineStr">
        <is>
          <t>2026-03-17</t>
        </is>
      </c>
    </row>
    <row r="1391" ht="15.75" customHeight="1" s="38">
      <c r="A1391" s="66" t="inlineStr">
        <is>
          <t>NCL Ingeniería y Construcción SpA</t>
        </is>
      </c>
      <c r="B1391" s="66" t="inlineStr">
        <is>
          <t>Planificación de Minas</t>
        </is>
      </c>
      <c r="C1391" s="66" t="inlineStr">
        <is>
          <t>Santiago</t>
        </is>
      </c>
      <c r="D1391" s="66" t="inlineStr">
        <is>
          <t>ncl@ncl.cl</t>
        </is>
      </c>
      <c r="E1391" s="66" t="inlineStr">
        <is>
          <t>(56) 2 2651 0800</t>
        </is>
      </c>
      <c r="F1391" s="66" t="n"/>
      <c r="G1391" s="66" t="n"/>
      <c r="H1391" s="66" t="n"/>
      <c r="I1391" s="66" t="inlineStr">
        <is>
          <t>79.822.760-2</t>
        </is>
      </c>
      <c r="J1391" s="66" t="n"/>
      <c r="K1391" s="66" t="inlineStr">
        <is>
          <t>Ventas: GRANDE 2 (200.000 - 600.000 UF) | Empleados: 39</t>
        </is>
      </c>
      <c r="L1391" s="61" t="inlineStr">
        <is>
          <t>Contactado Email</t>
        </is>
      </c>
      <c r="M1391" s="61" t="n"/>
      <c r="N1391" s="61" t="n"/>
      <c r="O1391" s="61" t="n"/>
      <c r="P1391" s="61" t="n"/>
      <c r="Q1391" s="62" t="n"/>
      <c r="R1391" s="61" t="n"/>
      <c r="S1391" s="37" t="inlineStr">
        <is>
          <t>2026-03-17</t>
        </is>
      </c>
    </row>
    <row r="1392" ht="15.75" customHeight="1" s="38">
      <c r="A1392" s="59" t="inlineStr">
        <is>
          <t>NDU Ingeniería Ltda.</t>
        </is>
      </c>
      <c r="B1392" s="59" t="inlineStr">
        <is>
          <t>Equipos Eléctricos</t>
        </is>
      </c>
      <c r="C1392" s="59" t="inlineStr">
        <is>
          <t>Santiago</t>
        </is>
      </c>
      <c r="D1392" s="59" t="inlineStr">
        <is>
          <t>info@ndu.cl</t>
        </is>
      </c>
      <c r="E1392" s="59" t="inlineStr">
        <is>
          <t>(56) 2 2963 9840</t>
        </is>
      </c>
      <c r="F1392" s="59" t="inlineStr">
        <is>
          <t>Tania Deocares (Gerente General)</t>
        </is>
      </c>
      <c r="G1392" s="59" t="n"/>
      <c r="H1392" s="59" t="n"/>
      <c r="I1392" s="59" t="inlineStr">
        <is>
          <t>78.731.270-5</t>
        </is>
      </c>
      <c r="J1392" s="59" t="inlineStr">
        <is>
          <t>Modernización Eléctrica &amp; Automatización</t>
        </is>
      </c>
      <c r="K1392" s="59" t="inlineStr">
        <is>
          <t>Ventas: GRANDE 3 (600.000 - 1.000.000 UF) | Empleados: 45</t>
        </is>
      </c>
      <c r="L1392" s="61" t="inlineStr">
        <is>
          <t>Contactado Email</t>
        </is>
      </c>
      <c r="M1392" s="61" t="n"/>
      <c r="N1392" s="61" t="n"/>
      <c r="O1392" s="61" t="n"/>
      <c r="P1392" s="61" t="n"/>
      <c r="Q1392" s="62" t="n"/>
      <c r="R1392" s="61" t="n"/>
      <c r="S1392" s="37" t="inlineStr">
        <is>
          <t>2026-03-17</t>
        </is>
      </c>
    </row>
    <row r="1393" ht="15.75" customHeight="1" s="38">
      <c r="A1393" s="66" t="inlineStr">
        <is>
          <t>Neles Chile</t>
        </is>
      </c>
      <c r="B1393" s="66" t="inlineStr">
        <is>
          <t>Sistemas de Automatización, Sistemas de Control de Flujo</t>
        </is>
      </c>
      <c r="C1393" s="66" t="inlineStr">
        <is>
          <t>Concepción</t>
        </is>
      </c>
      <c r="D1393" s="66" t="inlineStr">
        <is>
          <t>gonzalo.silva@valmet.com</t>
        </is>
      </c>
      <c r="E1393" s="66" t="inlineStr">
        <is>
          <t>(56) 41 2851 160</t>
        </is>
      </c>
      <c r="F1393" s="66" t="n"/>
      <c r="G1393" s="66" t="n"/>
      <c r="H1393" s="66" t="n"/>
      <c r="I1393" s="66" t="inlineStr">
        <is>
          <t>77.107.585-1</t>
        </is>
      </c>
      <c r="J1393" s="66" t="n"/>
      <c r="K1393" s="66" t="inlineStr">
        <is>
          <t>Ventas: PEQUEÑA (Estimado por Empleados) | Empleados: 33</t>
        </is>
      </c>
      <c r="L1393" s="61" t="inlineStr">
        <is>
          <t>Contactado Email</t>
        </is>
      </c>
      <c r="M1393" s="61" t="n"/>
      <c r="N1393" s="61" t="n"/>
      <c r="O1393" s="61" t="n"/>
      <c r="P1393" s="61" t="n"/>
      <c r="Q1393" s="62" t="n"/>
      <c r="R1393" s="61" t="n"/>
      <c r="S1393" s="37" t="inlineStr">
        <is>
          <t>2026-03-17</t>
        </is>
      </c>
    </row>
    <row r="1394" ht="15.75" customHeight="1" s="38">
      <c r="A1394" s="66" t="inlineStr">
        <is>
          <t>Neoelectra</t>
        </is>
      </c>
      <c r="B1394" s="66" t="inlineStr">
        <is>
          <t>Soluciones Energéticas para la Industria</t>
        </is>
      </c>
      <c r="C1394" s="66" t="inlineStr">
        <is>
          <t>Santiago</t>
        </is>
      </c>
      <c r="D1394" s="66" t="n"/>
      <c r="E1394" s="66" t="inlineStr">
        <is>
          <t>(56) 2 3278 0590</t>
        </is>
      </c>
      <c r="F1394" s="66" t="n"/>
      <c r="G1394" s="66" t="n"/>
      <c r="H1394" s="66" t="n"/>
      <c r="I1394" s="66" t="inlineStr">
        <is>
          <t>76761238-9</t>
        </is>
      </c>
      <c r="J1394" s="66" t="n"/>
      <c r="K1394" s="66" t="inlineStr">
        <is>
          <t>Ventas: MEDIANA 2 (50.000 - 100.000 UF) | Empleados: 6</t>
        </is>
      </c>
      <c r="L1394" s="61" t="n"/>
      <c r="M1394" s="61" t="n"/>
      <c r="N1394" s="61" t="n"/>
      <c r="O1394" s="61" t="n"/>
      <c r="P1394" s="61" t="n"/>
      <c r="Q1394" s="62" t="n"/>
      <c r="R1394" s="61" t="n"/>
    </row>
    <row r="1395" ht="15.75" customHeight="1" s="38">
      <c r="A1395" s="66" t="inlineStr">
        <is>
          <t>Neotop</t>
        </is>
      </c>
      <c r="B1395" s="66" t="inlineStr">
        <is>
          <t>Drones</t>
        </is>
      </c>
      <c r="C1395" s="66" t="inlineStr">
        <is>
          <t>Santiago</t>
        </is>
      </c>
      <c r="D1395" s="66" t="inlineStr">
        <is>
          <t>victor.guerra@neotop.cl</t>
        </is>
      </c>
      <c r="E1395" s="66" t="inlineStr">
        <is>
          <t>(56) 2 2946 2424</t>
        </is>
      </c>
      <c r="F1395" s="66" t="n"/>
      <c r="G1395" s="66" t="n"/>
      <c r="H1395" s="66" t="n"/>
      <c r="I1395" s="66" t="inlineStr">
        <is>
          <t>76.496.588-4</t>
        </is>
      </c>
      <c r="J1395" s="66" t="n"/>
      <c r="K1395" s="66" t="inlineStr">
        <is>
          <t>Ventas: MEDIANA 2 (50.000 - 100.000 UF) | Empleados: 7</t>
        </is>
      </c>
      <c r="L1395" s="61" t="inlineStr">
        <is>
          <t>Contactado Email</t>
        </is>
      </c>
      <c r="M1395" s="61" t="n"/>
      <c r="N1395" s="61" t="n"/>
      <c r="O1395" s="61" t="n"/>
      <c r="P1395" s="61" t="n"/>
      <c r="Q1395" s="62" t="n"/>
      <c r="R1395" s="61" t="n"/>
      <c r="S1395" s="37" t="inlineStr">
        <is>
          <t>2026-03-17</t>
        </is>
      </c>
    </row>
    <row r="1396" ht="15.75" customHeight="1" s="38">
      <c r="A1396" s="59" t="inlineStr">
        <is>
          <t>Neptuno Pumps</t>
        </is>
      </c>
      <c r="B1396" s="59" t="inlineStr">
        <is>
          <t>Bombas</t>
        </is>
      </c>
      <c r="C1396" s="59" t="inlineStr">
        <is>
          <t>Iquique</t>
        </is>
      </c>
      <c r="D1396" s="59" t="inlineStr">
        <is>
          <t>info@neptunopumps.com</t>
        </is>
      </c>
      <c r="E1396" s="59" t="inlineStr">
        <is>
          <t>(56) 57 242 4685</t>
        </is>
      </c>
      <c r="F1396" s="59" t="inlineStr">
        <is>
          <t>Sergio Quijada Zuñiga (CTO)</t>
        </is>
      </c>
      <c r="G1396" s="59" t="inlineStr">
        <is>
          <t>squijada@neptunopumps.com</t>
        </is>
      </c>
      <c r="H1396" s="59" t="n"/>
      <c r="I1396" s="59" t="inlineStr">
        <is>
          <t>95.440.000-K</t>
        </is>
      </c>
      <c r="J1396" s="59" t="inlineStr">
        <is>
          <t>IoT &amp; Manufactura 4.0</t>
        </is>
      </c>
      <c r="K1396" s="59" t="inlineStr">
        <is>
          <t>Ventas: GRANDE 4 (Mas de 1.000.000 UF) | Empleados: 20</t>
        </is>
      </c>
      <c r="L1396" s="61" t="inlineStr">
        <is>
          <t>Contactado Email</t>
        </is>
      </c>
      <c r="M1396" s="61" t="n"/>
      <c r="N1396" s="61" t="n"/>
      <c r="O1396" s="61" t="n"/>
      <c r="P1396" s="61" t="n"/>
      <c r="Q1396" s="62" t="n"/>
      <c r="R1396" s="61" t="n"/>
      <c r="S1396" s="37" t="inlineStr">
        <is>
          <t>2026-03-17</t>
        </is>
      </c>
    </row>
    <row r="1397" ht="15.75" customHeight="1" s="38">
      <c r="A1397" s="66" t="inlineStr">
        <is>
          <t>Neuronet</t>
        </is>
      </c>
      <c r="B1397" s="66" t="inlineStr">
        <is>
          <t>Servicios Informáticos, Software</t>
        </is>
      </c>
      <c r="C1397" s="66" t="inlineStr">
        <is>
          <t>Santiago</t>
        </is>
      </c>
      <c r="D1397" s="66" t="inlineStr">
        <is>
          <t>ventas@neuronet.cl</t>
        </is>
      </c>
      <c r="E1397" s="66" t="inlineStr">
        <is>
          <t>(56) 9 9409 1089</t>
        </is>
      </c>
      <c r="F1397" s="66" t="n"/>
      <c r="G1397" s="66" t="n"/>
      <c r="H1397" s="66" t="n"/>
      <c r="I1397" s="66" t="inlineStr">
        <is>
          <t>77.077.350-4</t>
        </is>
      </c>
      <c r="J1397" s="66" t="n"/>
      <c r="K1397" s="66" t="inlineStr">
        <is>
          <t>Ventas: MEDIANA 2 (50.000 - 100.000 UF) | Empleados: 31</t>
        </is>
      </c>
      <c r="L1397" s="61" t="inlineStr">
        <is>
          <t>Contactado Email</t>
        </is>
      </c>
      <c r="M1397" s="61" t="n"/>
      <c r="N1397" s="61" t="n"/>
      <c r="O1397" s="61" t="n"/>
      <c r="P1397" s="61" t="n"/>
      <c r="Q1397" s="62" t="n"/>
      <c r="R1397" s="61" t="n"/>
      <c r="S1397" s="37" t="inlineStr">
        <is>
          <t>2026-03-17</t>
        </is>
      </c>
    </row>
    <row r="1398" ht="15.75" customHeight="1" s="38">
      <c r="A1398" s="66" t="inlineStr">
        <is>
          <t>New Tech Copper</t>
        </is>
      </c>
      <c r="B1398" s="66" t="inlineStr">
        <is>
          <t>Diseño de Plantas SX-EW, Equipos para Plantas de EW</t>
        </is>
      </c>
      <c r="C1398" s="66" t="inlineStr">
        <is>
          <t>Santiago</t>
        </is>
      </c>
      <c r="D1398" s="66" t="inlineStr">
        <is>
          <t>gerencia@ntc.cl</t>
        </is>
      </c>
      <c r="E1398" s="66" t="inlineStr">
        <is>
          <t>(56) 2 2783 2610</t>
        </is>
      </c>
      <c r="F1398" s="66" t="inlineStr">
        <is>
          <t>Gerente de TI / CIO (Director de Tecnología)</t>
        </is>
      </c>
      <c r="G1398" s="66" t="n"/>
      <c r="H1398" s="66" t="n"/>
      <c r="I1398" s="66" t="inlineStr">
        <is>
          <t>99.580.830-7</t>
        </is>
      </c>
      <c r="J1398" s="66" t="n"/>
      <c r="K1398" s="66" t="inlineStr">
        <is>
          <t>Ventas: GRANDE 4 (Mas de 1.000.000 UF) | Empleados: 647</t>
        </is>
      </c>
      <c r="L1398" s="61" t="inlineStr">
        <is>
          <t>Contactado Email</t>
        </is>
      </c>
      <c r="M1398" s="61" t="n"/>
      <c r="N1398" s="61" t="n"/>
      <c r="O1398" s="61" t="n"/>
      <c r="P1398" s="61" t="n"/>
      <c r="Q1398" s="62" t="n"/>
      <c r="R1398" s="61" t="n"/>
      <c r="S1398" s="37" t="inlineStr">
        <is>
          <t>2026-03-17</t>
        </is>
      </c>
    </row>
    <row r="1399" ht="15.75" customHeight="1" s="38">
      <c r="A1399" s="66" t="inlineStr">
        <is>
          <t>Newrest</t>
        </is>
      </c>
      <c r="B1399" s="66" t="inlineStr">
        <is>
          <t>Alimentación Industrial, Servicios de Gastronomía</t>
        </is>
      </c>
      <c r="C1399" s="66" t="inlineStr">
        <is>
          <t>Santiago</t>
        </is>
      </c>
      <c r="D1399" s="66" t="n"/>
      <c r="E1399" s="66" t="inlineStr">
        <is>
          <t>(56) 2 2307 24 00</t>
        </is>
      </c>
      <c r="F1399" s="66" t="n"/>
      <c r="G1399" s="66" t="n"/>
      <c r="H1399" s="66" t="n"/>
      <c r="I1399" s="66" t="inlineStr">
        <is>
          <t>78.544.560-0</t>
        </is>
      </c>
      <c r="J1399" s="66" t="n"/>
      <c r="K1399" s="66" t="inlineStr">
        <is>
          <t>Ventas: GRANDE (Estimado por Empleados) | Empleados: 1358</t>
        </is>
      </c>
      <c r="L1399" s="61" t="n"/>
      <c r="M1399" s="61" t="n"/>
      <c r="N1399" s="61" t="n"/>
      <c r="O1399" s="61" t="n"/>
      <c r="P1399" s="61" t="n"/>
      <c r="Q1399" s="62" t="n"/>
      <c r="R1399" s="61" t="n"/>
    </row>
    <row r="1400" ht="15.75" customHeight="1" s="38">
      <c r="A1400" s="66" t="inlineStr">
        <is>
          <t>Newtec Ltda.</t>
        </is>
      </c>
      <c r="B1400" s="66" t="inlineStr">
        <is>
          <t>Computación, Sistemas Digitales</t>
        </is>
      </c>
      <c r="C1400" s="66" t="inlineStr">
        <is>
          <t>Santiago</t>
        </is>
      </c>
      <c r="D1400" s="66" t="n"/>
      <c r="E1400" s="66" t="inlineStr">
        <is>
          <t>(56) 9 8409 2038</t>
        </is>
      </c>
      <c r="F1400" s="66" t="n"/>
      <c r="G1400" s="66" t="n"/>
      <c r="H1400" s="66" t="n"/>
      <c r="I1400" s="66" t="inlineStr">
        <is>
          <t>88.293.200-1</t>
        </is>
      </c>
      <c r="J1400" s="66" t="n"/>
      <c r="K1400" s="66" t="inlineStr">
        <is>
          <t>Ventas: PEQUEÑA 2 (5.000 - 10.000 UF) | Empleados: 9</t>
        </is>
      </c>
      <c r="L1400" s="61" t="n"/>
      <c r="M1400" s="61" t="n"/>
      <c r="N1400" s="61" t="n"/>
      <c r="O1400" s="61" t="n"/>
      <c r="P1400" s="61" t="n"/>
      <c r="Q1400" s="62" t="n"/>
      <c r="R1400" s="61" t="n"/>
    </row>
    <row r="1401" ht="15.75" customHeight="1" s="38">
      <c r="A1401" s="66" t="inlineStr">
        <is>
          <t>Nexans Chile S.A.</t>
        </is>
      </c>
      <c r="B1401" s="66" t="inlineStr">
        <is>
          <t>Cables Eléctricos, Conductores Eléctricos</t>
        </is>
      </c>
      <c r="C1401" s="66" t="inlineStr">
        <is>
          <t>Santiago</t>
        </is>
      </c>
      <c r="D1401" s="66" t="n"/>
      <c r="E1401" s="66" t="inlineStr">
        <is>
          <t>(56) 2 2352 0100</t>
        </is>
      </c>
      <c r="F1401" s="66" t="n"/>
      <c r="G1401" s="66" t="n"/>
      <c r="H1401" s="66" t="n"/>
      <c r="I1401" s="66" t="inlineStr">
        <is>
          <t>76.032.263-6</t>
        </is>
      </c>
      <c r="J1401" s="66" t="n"/>
      <c r="K1401" s="66" t="inlineStr">
        <is>
          <t>Ventas: GRANDE (Estimado por Empleados) | Empleados: 222</t>
        </is>
      </c>
      <c r="L1401" s="61" t="n"/>
      <c r="M1401" s="61" t="n"/>
      <c r="N1401" s="61" t="n"/>
      <c r="O1401" s="61" t="n"/>
      <c r="P1401" s="61" t="n"/>
      <c r="Q1401" s="62" t="n"/>
      <c r="R1401" s="61" t="n"/>
    </row>
    <row r="1402" ht="15.75" customHeight="1" s="38">
      <c r="A1402" s="66" t="inlineStr">
        <is>
          <t>NextWay</t>
        </is>
      </c>
      <c r="B1402" s="66" t="inlineStr">
        <is>
          <t>Automatización, Válvulas</t>
        </is>
      </c>
      <c r="C1402" s="66" t="inlineStr">
        <is>
          <t>Santiago</t>
        </is>
      </c>
      <c r="D1402" s="66" t="inlineStr">
        <is>
          <t>ventas@nextway.cl</t>
        </is>
      </c>
      <c r="E1402" s="66" t="inlineStr">
        <is>
          <t>(56) 2 2949 2222</t>
        </is>
      </c>
      <c r="F1402" s="66" t="n"/>
      <c r="G1402" s="66" t="n"/>
      <c r="H1402" s="66" t="n"/>
      <c r="I1402" s="66" t="inlineStr">
        <is>
          <t>77.669.410-k</t>
        </is>
      </c>
      <c r="J1402" s="66" t="n"/>
      <c r="K1402" s="66" t="inlineStr">
        <is>
          <t>Ventas: GRANDE 2 (200.000 - 600.000 UF) | Empleados: 33</t>
        </is>
      </c>
      <c r="L1402" s="61" t="inlineStr">
        <is>
          <t>Contactado Email</t>
        </is>
      </c>
      <c r="M1402" s="61" t="n"/>
      <c r="N1402" s="61" t="n"/>
      <c r="O1402" s="61" t="n"/>
      <c r="P1402" s="61" t="n"/>
      <c r="Q1402" s="62" t="n"/>
      <c r="R1402" s="61" t="n"/>
      <c r="S1402" s="37" t="inlineStr">
        <is>
          <t>2026-03-17</t>
        </is>
      </c>
    </row>
    <row r="1403" ht="15.75" customHeight="1" s="38">
      <c r="A1403" s="66" t="inlineStr">
        <is>
          <t>Nexus Logistics</t>
        </is>
      </c>
      <c r="B1403" s="66" t="inlineStr">
        <is>
          <t>Transporte y Logística</t>
        </is>
      </c>
      <c r="C1403" s="66" t="inlineStr">
        <is>
          <t>Santiago</t>
        </is>
      </c>
      <c r="D1403" s="66" t="inlineStr">
        <is>
          <t>contacto@nlnexus.com</t>
        </is>
      </c>
      <c r="E1403" s="66" t="inlineStr">
        <is>
          <t>(56) 2 2795 0100</t>
        </is>
      </c>
      <c r="F1403" s="66" t="n"/>
      <c r="G1403" s="66" t="n"/>
      <c r="H1403" s="66" t="n"/>
      <c r="I1403" s="66" t="inlineStr">
        <is>
          <t>76320340-9</t>
        </is>
      </c>
      <c r="J1403" s="66" t="n"/>
      <c r="K1403" s="66" t="inlineStr">
        <is>
          <t>Ventas: MEDIANA (Estimado por Empleados) | Empleados: 126</t>
        </is>
      </c>
      <c r="L1403" s="61" t="inlineStr">
        <is>
          <t>Contactado Email</t>
        </is>
      </c>
      <c r="M1403" s="61" t="n"/>
      <c r="N1403" s="61" t="n"/>
      <c r="O1403" s="61" t="n"/>
      <c r="P1403" s="61" t="n"/>
      <c r="Q1403" s="62" t="n"/>
      <c r="R1403" s="61" t="n"/>
      <c r="S1403" s="37" t="inlineStr">
        <is>
          <t>2026-03-17</t>
        </is>
      </c>
    </row>
    <row r="1404" ht="15.75" customHeight="1" s="38">
      <c r="A1404" s="66" t="inlineStr">
        <is>
          <t>Nibsa S.A.</t>
        </is>
      </c>
      <c r="B1404" s="66" t="inlineStr">
        <is>
          <t>Válvulas de Bronce</t>
        </is>
      </c>
      <c r="C1404" s="66" t="inlineStr">
        <is>
          <t>Santiago</t>
        </is>
      </c>
      <c r="D1404" s="66" t="inlineStr">
        <is>
          <t>contacto@nibsa.com</t>
        </is>
      </c>
      <c r="E1404" s="66" t="inlineStr">
        <is>
          <t>(56) 2 2489 8000</t>
        </is>
      </c>
      <c r="F1404" s="66" t="n"/>
      <c r="G1404" s="66" t="n"/>
      <c r="H1404" s="66" t="n"/>
      <c r="I1404" s="66" t="inlineStr">
        <is>
          <t>83.017.600-4</t>
        </is>
      </c>
      <c r="J1404" s="66" t="n"/>
      <c r="K1404" s="66" t="inlineStr">
        <is>
          <t>Ventas: GRANDE 2 (200.000 - 600.000 UF) | Empleados: 70</t>
        </is>
      </c>
      <c r="L1404" s="61" t="inlineStr">
        <is>
          <t>Contactado Email</t>
        </is>
      </c>
      <c r="M1404" s="61" t="n"/>
      <c r="N1404" s="61" t="n"/>
      <c r="O1404" s="61" t="n"/>
      <c r="P1404" s="61" t="n"/>
      <c r="Q1404" s="62" t="n"/>
      <c r="R1404" s="61" t="n"/>
      <c r="S1404" s="37" t="inlineStr">
        <is>
          <t>2026-03-17</t>
        </is>
      </c>
    </row>
    <row r="1405" ht="15.75" customHeight="1" s="38">
      <c r="A1405" s="66" t="inlineStr">
        <is>
          <t>Nicolaides Filtración S.A.</t>
        </is>
      </c>
      <c r="B1405" s="66" t="inlineStr">
        <is>
          <t>Proveedor Destacado, Arcillas Activas, Tratamiento de Orgánico en Plantas SX, Carbón Activado para Aplicaciones en Oro, Decloración, Tratamiento de Olores y Gases, Tierras Desmoldantes, Usadas en Fundición, Tierras Diatomeas para Filtración</t>
        </is>
      </c>
      <c r="C1405" s="66" t="inlineStr">
        <is>
          <t>Santiago</t>
        </is>
      </c>
      <c r="D1405" s="66" t="inlineStr">
        <is>
          <t>ventas@nicolaides.cl</t>
        </is>
      </c>
      <c r="E1405" s="66" t="inlineStr">
        <is>
          <t>(56) 2 2352 0000</t>
        </is>
      </c>
      <c r="F1405" s="66" t="n"/>
      <c r="G1405" s="66" t="n"/>
      <c r="H1405" s="66" t="inlineStr">
        <is>
          <t>http://www.nicolaides.cl</t>
        </is>
      </c>
      <c r="I1405" s="66" t="inlineStr">
        <is>
          <t>76.857.882-6</t>
        </is>
      </c>
      <c r="J1405" s="66" t="n"/>
      <c r="K1405" s="66" t="inlineStr">
        <is>
          <t>Ventas: GRANDE 1 (100.000 - 200.000 UF) | Empleados: 4</t>
        </is>
      </c>
      <c r="L1405" s="61" t="inlineStr">
        <is>
          <t>Contactado Email</t>
        </is>
      </c>
      <c r="M1405" s="61" t="n"/>
      <c r="N1405" s="61" t="n"/>
      <c r="O1405" s="61" t="n"/>
      <c r="P1405" s="61" t="n"/>
      <c r="Q1405" s="62" t="n"/>
      <c r="R1405" s="61" t="n"/>
      <c r="S1405" s="37" t="inlineStr">
        <is>
          <t>2026-03-17</t>
        </is>
      </c>
    </row>
    <row r="1406" ht="15.75" customHeight="1" s="38">
      <c r="A1406" s="66" t="inlineStr">
        <is>
          <t>Nicolaides Industrial S.A.</t>
        </is>
      </c>
      <c r="B1406" s="66" t="inlineStr">
        <is>
          <t>Proveedor Destacado, Aislación Acústica, Aislación Térmica, Equipos de Control y Automatización, Protección Antiácida, Sistemas de Monitoreo de Procesos, Sistemas de Monitoreo Preventivo de Condiciones, Sistemas para Control de Emisiones</t>
        </is>
      </c>
      <c r="C1406" s="66" t="inlineStr">
        <is>
          <t>Santiago</t>
        </is>
      </c>
      <c r="D1406" s="66" t="inlineStr">
        <is>
          <t>ventas@nicolaides.cl</t>
        </is>
      </c>
      <c r="E1406" s="66" t="inlineStr">
        <is>
          <t>(56) 2 2352 0000</t>
        </is>
      </c>
      <c r="F1406" s="66" t="inlineStr">
        <is>
          <t>Gerente de TI / CIO (Director de Tecnología)</t>
        </is>
      </c>
      <c r="G1406" s="66" t="n"/>
      <c r="H1406" s="66" t="inlineStr">
        <is>
          <t>http://www.nicolaides.cl</t>
        </is>
      </c>
      <c r="I1406" s="66" t="inlineStr">
        <is>
          <t>76.163.257-4</t>
        </is>
      </c>
      <c r="J1406" s="66" t="n"/>
      <c r="K1406" s="66" t="inlineStr">
        <is>
          <t>Ventas: GRANDE 3 (600.000 - 1.000.000 UF) | Empleados: 105</t>
        </is>
      </c>
      <c r="L1406" s="61" t="inlineStr">
        <is>
          <t>Contactado Email</t>
        </is>
      </c>
      <c r="M1406" s="61" t="n"/>
      <c r="N1406" s="61" t="n"/>
      <c r="O1406" s="61" t="n"/>
      <c r="P1406" s="61" t="n"/>
      <c r="Q1406" s="62" t="n"/>
      <c r="R1406" s="61" t="n"/>
      <c r="S1406" s="37" t="inlineStr">
        <is>
          <t>2026-03-17</t>
        </is>
      </c>
    </row>
    <row r="1407" ht="15.75" customHeight="1" s="38">
      <c r="A1407" s="59" t="inlineStr">
        <is>
          <t>Nicolaides Tratamiento de Aguas S.A.</t>
        </is>
      </c>
      <c r="B1407" s="59" t="inlineStr">
        <is>
          <t>Proveedor Destacado, Plantas para Osmosis Inversa, Plantas para Tratamiento de Aguas Servidas, Plantas para Tratamiento de Efluentes, Plantas para Tratamiento de Riles, Productos Químicos para Osmosis Inversa, Productos Químicos para Torres de Enfriamiento y Calderas, Sistemas para Tratamiento de Aguas Industriales y Residuales, Tratamiento de Aguas Industriales</t>
        </is>
      </c>
      <c r="C1407" s="59" t="inlineStr">
        <is>
          <t>Antofagasta</t>
        </is>
      </c>
      <c r="D1407" s="59" t="inlineStr">
        <is>
          <t>ventas@nicolaides.cl</t>
        </is>
      </c>
      <c r="E1407" s="59" t="inlineStr">
        <is>
          <t>(56) 2 2352 0000</t>
        </is>
      </c>
      <c r="F1407" s="59" t="inlineStr">
        <is>
          <t>Victor Gonzalez (Jefe de Informatica)</t>
        </is>
      </c>
      <c r="G1407" s="59" t="n"/>
      <c r="H1407" s="59" t="inlineStr">
        <is>
          <t>http://www.nicolaides.cl</t>
        </is>
      </c>
      <c r="I1407" s="59" t="inlineStr">
        <is>
          <t>77.469.040-9</t>
        </is>
      </c>
      <c r="J1407" s="59" t="inlineStr">
        <is>
          <t>Gestión Sistemas Internos</t>
        </is>
      </c>
      <c r="K1407" s="59" t="inlineStr">
        <is>
          <t>Ventas: GRANDE 2 (200.000 - 600.000 UF) | Empleados: 18</t>
        </is>
      </c>
      <c r="L1407" s="61" t="inlineStr">
        <is>
          <t>Contactado Email</t>
        </is>
      </c>
      <c r="M1407" s="61" t="n"/>
      <c r="N1407" s="61" t="n"/>
      <c r="O1407" s="61" t="n"/>
      <c r="P1407" s="61" t="n"/>
      <c r="Q1407" s="62" t="n"/>
      <c r="R1407" s="61" t="n"/>
      <c r="S1407" s="37" t="inlineStr">
        <is>
          <t>2026-03-17</t>
        </is>
      </c>
    </row>
    <row r="1408" ht="15.75" customHeight="1" s="38">
      <c r="A1408" s="66" t="inlineStr">
        <is>
          <t>Nilfisk</t>
        </is>
      </c>
      <c r="B1408" s="66" t="inlineStr">
        <is>
          <t>Proveedor Destacado, Aspiración Industrial, Barredoras Profesionales con Operador a Bordo y a Pie, Sistema de Aspiración Centralizada</t>
        </is>
      </c>
      <c r="C1408" s="66" t="inlineStr">
        <is>
          <t>Santiago</t>
        </is>
      </c>
      <c r="D1408" s="66" t="inlineStr">
        <is>
          <t>contacto.cl@nilfisk.com</t>
        </is>
      </c>
      <c r="E1408" s="66" t="inlineStr">
        <is>
          <t>(56) 2 2684 5000</t>
        </is>
      </c>
      <c r="F1408" s="66" t="n"/>
      <c r="G1408" s="66" t="n"/>
      <c r="H1408" s="66" t="inlineStr">
        <is>
          <t>http://www.nilfisk.com</t>
        </is>
      </c>
      <c r="I1408" s="66" t="inlineStr">
        <is>
          <t>76.036.110-0</t>
        </is>
      </c>
      <c r="J1408" s="66" t="n"/>
      <c r="K1408" s="66" t="inlineStr">
        <is>
          <t>Ventas: GRANDE 2 (200.000 - 600.000 UF) | Empleados: 23</t>
        </is>
      </c>
      <c r="L1408" s="61" t="inlineStr">
        <is>
          <t>Contactado Email</t>
        </is>
      </c>
      <c r="M1408" s="61" t="n"/>
      <c r="N1408" s="61" t="n"/>
      <c r="O1408" s="61" t="n"/>
      <c r="P1408" s="61" t="n"/>
      <c r="Q1408" s="62" t="n"/>
      <c r="R1408" s="61" t="n"/>
      <c r="S1408" s="37" t="inlineStr">
        <is>
          <t>2026-03-17</t>
        </is>
      </c>
    </row>
    <row r="1409" ht="15.75" customHeight="1" s="38">
      <c r="A1409" s="66" t="inlineStr">
        <is>
          <t>Nilos Latin America Ltda.</t>
        </is>
      </c>
      <c r="B1409" s="66" t="inlineStr">
        <is>
          <t>Accesorios para Correas Transportadoras, Adhesivos</t>
        </is>
      </c>
      <c r="C1409" s="66" t="inlineStr">
        <is>
          <t>Antofagasta</t>
        </is>
      </c>
      <c r="D1409" s="66" t="inlineStr">
        <is>
          <t>ventas@niloslatam.com</t>
        </is>
      </c>
      <c r="E1409" s="66" t="inlineStr">
        <is>
          <t>(56) 55 259 2593</t>
        </is>
      </c>
      <c r="F1409" s="66" t="n"/>
      <c r="G1409" s="66" t="n"/>
      <c r="H1409" s="66" t="n"/>
      <c r="I1409" s="66" t="inlineStr">
        <is>
          <t>76.083.318-5</t>
        </is>
      </c>
      <c r="J1409" s="66" t="n"/>
      <c r="K1409" s="66" t="inlineStr">
        <is>
          <t>Ventas: MEDIANA 2 (50.000 - 100.000 UF) | Empleados: 13</t>
        </is>
      </c>
      <c r="L1409" s="61" t="inlineStr">
        <is>
          <t>Contactado Email</t>
        </is>
      </c>
      <c r="M1409" s="61" t="n"/>
      <c r="N1409" s="61" t="n"/>
      <c r="O1409" s="61" t="n"/>
      <c r="P1409" s="61" t="n"/>
      <c r="Q1409" s="62" t="n"/>
      <c r="R1409" s="61" t="n"/>
      <c r="S1409" s="37" t="inlineStr">
        <is>
          <t>2026-03-17</t>
        </is>
      </c>
    </row>
    <row r="1410" ht="15.75" customHeight="1" s="38">
      <c r="A1410" s="66" t="inlineStr">
        <is>
          <t>Nissan Chile SpA</t>
        </is>
      </c>
      <c r="B1410" s="66" t="inlineStr">
        <is>
          <t>Camionetas</t>
        </is>
      </c>
      <c r="C1410" s="66" t="inlineStr">
        <is>
          <t>Santiago</t>
        </is>
      </c>
      <c r="D1410" s="66" t="n"/>
      <c r="E1410" s="66" t="inlineStr">
        <is>
          <t>800 379 379</t>
        </is>
      </c>
      <c r="F1410" s="66" t="n"/>
      <c r="G1410" s="66" t="n"/>
      <c r="H1410" s="66" t="n"/>
      <c r="I1410" s="66" t="inlineStr">
        <is>
          <t>76.390.989-1</t>
        </is>
      </c>
      <c r="J1410" s="66" t="n"/>
      <c r="K1410" s="66" t="inlineStr">
        <is>
          <t>Ventas: MEDIANA (Estimado por Empleados) | Empleados: 75</t>
        </is>
      </c>
      <c r="L1410" s="61" t="n"/>
      <c r="M1410" s="61" t="n"/>
      <c r="N1410" s="61" t="n"/>
      <c r="O1410" s="61" t="n"/>
      <c r="P1410" s="61" t="n"/>
      <c r="Q1410" s="62" t="n"/>
      <c r="R1410" s="61" t="n"/>
    </row>
    <row r="1411" ht="15.75" customHeight="1" s="38">
      <c r="A1411" s="66" t="inlineStr">
        <is>
          <t>NLT Chile</t>
        </is>
      </c>
      <c r="B1411" s="66" t="inlineStr">
        <is>
          <t>Detección de Gases: Instrumentos y Servicios</t>
        </is>
      </c>
      <c r="C1411" s="66" t="inlineStr">
        <is>
          <t>Santiago</t>
        </is>
      </c>
      <c r="D1411" s="66" t="inlineStr">
        <is>
          <t>info@nltchile.cl</t>
        </is>
      </c>
      <c r="E1411" s="66" t="inlineStr">
        <is>
          <t>(56) 2 2343 0506</t>
        </is>
      </c>
      <c r="F1411" s="66" t="n"/>
      <c r="G1411" s="66" t="n"/>
      <c r="H1411" s="66" t="n"/>
      <c r="I1411" s="66" t="inlineStr">
        <is>
          <t>78.952.610-9</t>
        </is>
      </c>
      <c r="J1411" s="66" t="n"/>
      <c r="K1411" s="66" t="inlineStr">
        <is>
          <t>Ventas: MEDIANA 2 (50.000 - 100.000 UF) | Empleados: 8</t>
        </is>
      </c>
      <c r="L1411" s="61" t="inlineStr">
        <is>
          <t>Contactado Email</t>
        </is>
      </c>
      <c r="M1411" s="61" t="n"/>
      <c r="N1411" s="61" t="n"/>
      <c r="O1411" s="61" t="n"/>
      <c r="P1411" s="61" t="n"/>
      <c r="Q1411" s="62" t="n"/>
      <c r="R1411" s="61" t="n"/>
      <c r="S1411" s="37" t="inlineStr">
        <is>
          <t>2026-03-17</t>
        </is>
      </c>
    </row>
    <row r="1412" ht="15.75" customHeight="1" s="38">
      <c r="A1412" s="66" t="inlineStr">
        <is>
          <t>Noatum Logistics</t>
        </is>
      </c>
      <c r="B1412" s="66" t="inlineStr">
        <is>
          <t>Transporte de Cargas de Grandes Dimensiones</t>
        </is>
      </c>
      <c r="C1412" s="66" t="inlineStr">
        <is>
          <t>Santiago</t>
        </is>
      </c>
      <c r="D1412" s="66" t="n"/>
      <c r="E1412" s="66" t="inlineStr">
        <is>
          <t>(56) 2 2652 9600</t>
        </is>
      </c>
      <c r="F1412" s="66" t="n"/>
      <c r="G1412" s="66" t="n"/>
      <c r="H1412" s="66" t="n"/>
      <c r="I1412" s="66" t="inlineStr">
        <is>
          <t>78423410-K</t>
        </is>
      </c>
      <c r="J1412" s="66" t="n"/>
      <c r="K1412" s="66" t="inlineStr">
        <is>
          <t>Ventas: GRANDE 3 (600.000 - 1.000.000 UF) | Empleados: 61</t>
        </is>
      </c>
      <c r="L1412" s="61" t="n"/>
      <c r="M1412" s="61" t="n"/>
      <c r="N1412" s="61" t="n"/>
      <c r="O1412" s="61" t="n"/>
      <c r="P1412" s="61" t="n"/>
      <c r="Q1412" s="62" t="n"/>
      <c r="R1412" s="61" t="n"/>
    </row>
    <row r="1413" ht="15.75" customHeight="1" s="38">
      <c r="A1413" s="66" t="inlineStr">
        <is>
          <t>Nofermaq Ltda.</t>
        </is>
      </c>
      <c r="B1413" s="66" t="inlineStr">
        <is>
          <t>Cilindros Hidráulicos</t>
        </is>
      </c>
      <c r="C1413" s="66" t="inlineStr">
        <is>
          <t>Santiago</t>
        </is>
      </c>
      <c r="D1413" s="66" t="inlineStr">
        <is>
          <t>administracion@nofermaq.cl</t>
        </is>
      </c>
      <c r="E1413" s="66" t="inlineStr">
        <is>
          <t>(56) 2 2554 5716</t>
        </is>
      </c>
      <c r="F1413" s="66" t="n"/>
      <c r="G1413" s="66" t="n"/>
      <c r="H1413" s="66" t="n"/>
      <c r="I1413" s="66" t="inlineStr">
        <is>
          <t>76.114.950-4</t>
        </is>
      </c>
      <c r="J1413" s="66" t="n"/>
      <c r="K1413" s="66" t="inlineStr">
        <is>
          <t>Ventas: PEQUEÑA 2 (5.000 - 10.000 UF) | Empleados: 0</t>
        </is>
      </c>
      <c r="L1413" s="61" t="inlineStr">
        <is>
          <t>Contactado Email</t>
        </is>
      </c>
      <c r="M1413" s="61" t="n"/>
      <c r="N1413" s="61" t="n"/>
      <c r="O1413" s="61" t="n"/>
      <c r="P1413" s="61" t="n"/>
      <c r="Q1413" s="62" t="n"/>
      <c r="R1413" s="61" t="n"/>
      <c r="S1413" s="37" t="inlineStr">
        <is>
          <t>2026-03-17</t>
        </is>
      </c>
    </row>
    <row r="1414" ht="15.75" customHeight="1" s="38">
      <c r="A1414" s="66" t="inlineStr">
        <is>
          <t>Nokia</t>
        </is>
      </c>
      <c r="B1414" s="66" t="inlineStr">
        <is>
          <t>Tecnología Minera, Telecomunicaciones</t>
        </is>
      </c>
      <c r="C1414" s="66" t="inlineStr">
        <is>
          <t>Santiago</t>
        </is>
      </c>
      <c r="D1414" s="66" t="inlineStr">
        <is>
          <t>gonzalo.oyarzun@nokia.com</t>
        </is>
      </c>
      <c r="E1414" s="66" t="inlineStr">
        <is>
          <t>(56) 9 9519 6097</t>
        </is>
      </c>
      <c r="F1414" s="66" t="n"/>
      <c r="G1414" s="66" t="n"/>
      <c r="H1414" s="66" t="n"/>
      <c r="I1414" s="66" t="inlineStr">
        <is>
          <t>96879420-5</t>
        </is>
      </c>
      <c r="J1414" s="66" t="n"/>
      <c r="K1414" s="66" t="inlineStr">
        <is>
          <t>Ventas: MEDIANA 1 (25.000 - 50.000 UF) | Empleados: 0</t>
        </is>
      </c>
      <c r="L1414" s="61" t="inlineStr">
        <is>
          <t>Contactado Email</t>
        </is>
      </c>
      <c r="M1414" s="61" t="n"/>
      <c r="N1414" s="61" t="n"/>
      <c r="O1414" s="61" t="n"/>
      <c r="P1414" s="61" t="n"/>
      <c r="Q1414" s="62" t="n"/>
      <c r="R1414" s="61" t="n"/>
      <c r="S1414" s="37" t="inlineStr">
        <is>
          <t>2026-03-17</t>
        </is>
      </c>
    </row>
    <row r="1415" ht="15.75" customHeight="1" s="38">
      <c r="A1415" s="66" t="inlineStr">
        <is>
          <t>Noracid</t>
        </is>
      </c>
      <c r="B1415" s="66" t="inlineStr">
        <is>
          <t>Acido Sulfúrico</t>
        </is>
      </c>
      <c r="C1415" s="66" t="inlineStr">
        <is>
          <t>Santiago</t>
        </is>
      </c>
      <c r="D1415" s="66" t="n"/>
      <c r="E1415" s="66" t="inlineStr">
        <is>
          <t>(56) 2 2360 1000</t>
        </is>
      </c>
      <c r="F1415" s="66" t="n"/>
      <c r="G1415" s="66" t="n"/>
      <c r="H1415" s="66" t="n"/>
      <c r="I1415" s="66" t="inlineStr">
        <is>
          <t>76858530-K</t>
        </is>
      </c>
      <c r="J1415" s="66" t="n"/>
      <c r="K1415" s="66" t="inlineStr">
        <is>
          <t>Ventas: MEDIANA (Estimado por Empleados) | Empleados: 90</t>
        </is>
      </c>
      <c r="L1415" s="61" t="n"/>
      <c r="M1415" s="61" t="n"/>
      <c r="N1415" s="61" t="n"/>
      <c r="O1415" s="61" t="n"/>
      <c r="P1415" s="61" t="n"/>
      <c r="Q1415" s="62" t="n"/>
      <c r="R1415" s="61" t="n"/>
    </row>
    <row r="1416" ht="15.75" customHeight="1" s="38">
      <c r="A1416" s="66" t="inlineStr">
        <is>
          <t>Nordex Chile SpA</t>
        </is>
      </c>
      <c r="B1416" s="66" t="inlineStr">
        <is>
          <t>Aerogeneradores</t>
        </is>
      </c>
      <c r="C1416" s="66" t="inlineStr">
        <is>
          <t>Santiago</t>
        </is>
      </c>
      <c r="D1416" s="66" t="n"/>
      <c r="E1416" s="66" t="inlineStr">
        <is>
          <t>(56) 9 4289 6736</t>
        </is>
      </c>
      <c r="F1416" s="66" t="n"/>
      <c r="G1416" s="66" t="n"/>
      <c r="H1416" s="66" t="n"/>
      <c r="I1416" s="66" t="inlineStr">
        <is>
          <t>76249642-9</t>
        </is>
      </c>
      <c r="J1416" s="66" t="n"/>
      <c r="K1416" s="66" t="inlineStr">
        <is>
          <t>Ventas: PEQUEÑA 1 (2.400 - 5.000 UF) | Empleados: 0</t>
        </is>
      </c>
      <c r="L1416" s="61" t="n"/>
      <c r="M1416" s="61" t="n"/>
      <c r="N1416" s="61" t="n"/>
      <c r="O1416" s="61" t="n"/>
      <c r="P1416" s="61" t="n"/>
      <c r="Q1416" s="62" t="n"/>
      <c r="R1416" s="61" t="n"/>
    </row>
    <row r="1417" ht="15.75" customHeight="1" s="38">
      <c r="A1417" s="66" t="inlineStr">
        <is>
          <t>Nordic Hands SpA - Dynaset Chile</t>
        </is>
      </c>
      <c r="B1417" s="66" t="inlineStr">
        <is>
          <t>Compresores, Electroimanes</t>
        </is>
      </c>
      <c r="C1417" s="66" t="inlineStr">
        <is>
          <t>Santiago</t>
        </is>
      </c>
      <c r="D1417" s="66" t="inlineStr">
        <is>
          <t>info@nordic.cl</t>
        </is>
      </c>
      <c r="E1417" s="66" t="inlineStr">
        <is>
          <t>(56) 9 3444 7526</t>
        </is>
      </c>
      <c r="F1417" s="66" t="n"/>
      <c r="G1417" s="66" t="n"/>
      <c r="H1417" s="66" t="n"/>
      <c r="I1417" s="66" t="inlineStr">
        <is>
          <t>76.413.301-3</t>
        </is>
      </c>
      <c r="J1417" s="66" t="n"/>
      <c r="K1417" s="66" t="inlineStr">
        <is>
          <t>Ventas: MEDIANA 1 (25.000 - 50.000 UF) | Empleados: 4</t>
        </is>
      </c>
      <c r="L1417" s="61" t="n"/>
      <c r="M1417" s="61" t="n"/>
      <c r="N1417" s="61" t="n"/>
      <c r="O1417" s="61" t="n"/>
      <c r="P1417" s="61" t="n"/>
      <c r="Q1417" s="62" t="n"/>
      <c r="R1417" s="61" t="n"/>
    </row>
    <row r="1418" ht="15.75" customHeight="1" s="38">
      <c r="A1418" s="66" t="inlineStr">
        <is>
          <t>Normet Chile Ltda.</t>
        </is>
      </c>
      <c r="B1418" s="66" t="inlineStr">
        <is>
          <t>Aditivos para Hormigón, Camiones</t>
        </is>
      </c>
      <c r="C1418" s="66" t="inlineStr">
        <is>
          <t>Santiago</t>
        </is>
      </c>
      <c r="D1418" s="66" t="n"/>
      <c r="E1418" s="66" t="inlineStr">
        <is>
          <t>(56) 2 2963 8600</t>
        </is>
      </c>
      <c r="F1418" s="66" t="inlineStr">
        <is>
          <t>Gerente de TI / CIO (Director de Tecnología)</t>
        </is>
      </c>
      <c r="G1418" s="66" t="n"/>
      <c r="H1418" s="66" t="n"/>
      <c r="I1418" s="66" t="inlineStr">
        <is>
          <t>76.000.937-7</t>
        </is>
      </c>
      <c r="J1418" s="66" t="n"/>
      <c r="K1418" s="66" t="inlineStr">
        <is>
          <t>Ventas: GRANDE 4 (Mas de 1.000.000 UF) | Empleados: 162</t>
        </is>
      </c>
      <c r="L1418" s="61" t="n"/>
      <c r="M1418" s="61" t="n"/>
      <c r="N1418" s="61" t="n"/>
      <c r="O1418" s="61" t="n"/>
      <c r="P1418" s="61" t="n"/>
      <c r="Q1418" s="62" t="n"/>
      <c r="R1418" s="61" t="n"/>
    </row>
    <row r="1419" ht="15.75" customHeight="1" s="38">
      <c r="A1419" s="66" t="inlineStr">
        <is>
          <t>Norseg</t>
        </is>
      </c>
      <c r="B1419" s="66" t="inlineStr">
        <is>
          <t>Calzado para Seguridad, Equipos de Protección Personal</t>
        </is>
      </c>
      <c r="C1419" s="66" t="inlineStr">
        <is>
          <t>Santiago</t>
        </is>
      </c>
      <c r="D1419" s="66" t="n"/>
      <c r="E1419" s="66" t="inlineStr">
        <is>
          <t>(56) 9 8228 7362</t>
        </is>
      </c>
      <c r="F1419" s="66" t="n"/>
      <c r="G1419" s="66" t="n"/>
      <c r="H1419" s="66" t="n"/>
      <c r="I1419" s="66" t="inlineStr">
        <is>
          <t>76977658-3</t>
        </is>
      </c>
      <c r="J1419" s="66" t="n"/>
      <c r="K1419" s="66" t="inlineStr">
        <is>
          <t>Ventas: MICRO 1 (0.01 - 200 UF) | Empleados: 0</t>
        </is>
      </c>
      <c r="L1419" s="61" t="n"/>
      <c r="M1419" s="61" t="n"/>
      <c r="N1419" s="61" t="n"/>
      <c r="O1419" s="61" t="n"/>
      <c r="P1419" s="61" t="n"/>
      <c r="Q1419" s="62" t="n"/>
      <c r="R1419" s="61" t="n"/>
    </row>
    <row r="1420" ht="15.75" customHeight="1" s="38">
      <c r="A1420" s="66" t="inlineStr">
        <is>
          <t>Norte Sustentable</t>
        </is>
      </c>
      <c r="B1420" s="66" t="inlineStr">
        <is>
          <t>Tratamiento de Residuos Industriales</t>
        </is>
      </c>
      <c r="C1420" s="66" t="inlineStr">
        <is>
          <t>Antofagasta</t>
        </is>
      </c>
      <c r="D1420" s="66" t="n"/>
      <c r="E1420" s="66" t="inlineStr">
        <is>
          <t>(56) 9 7865 1853</t>
        </is>
      </c>
      <c r="F1420" s="66" t="n"/>
      <c r="G1420" s="66" t="n"/>
      <c r="H1420" s="66" t="n"/>
      <c r="I1420" s="66" t="inlineStr">
        <is>
          <t>76520824-6</t>
        </is>
      </c>
      <c r="J1420" s="66" t="n"/>
      <c r="K1420" s="66" t="inlineStr">
        <is>
          <t>Ventas: PEQUEÑA 2 (5.000 - 10.000 UF) | Empleados: 12</t>
        </is>
      </c>
      <c r="L1420" s="61" t="n"/>
      <c r="M1420" s="61" t="n"/>
      <c r="N1420" s="61" t="n"/>
      <c r="O1420" s="61" t="n"/>
      <c r="P1420" s="61" t="n"/>
      <c r="Q1420" s="62" t="n"/>
      <c r="R1420" s="61" t="n"/>
    </row>
    <row r="1421" ht="15.75" customHeight="1" s="38">
      <c r="A1421" s="66" t="inlineStr">
        <is>
          <t>North Clothes Chile</t>
        </is>
      </c>
      <c r="B1421" s="66" t="inlineStr">
        <is>
          <t>Ropa para Seguridad</t>
        </is>
      </c>
      <c r="C1421" s="66" t="inlineStr">
        <is>
          <t>Arica</t>
        </is>
      </c>
      <c r="D1421" s="66" t="inlineStr">
        <is>
          <t>ventas@northclothes.cl</t>
        </is>
      </c>
      <c r="E1421" s="66" t="inlineStr">
        <is>
          <t>(56) 58 229 0197</t>
        </is>
      </c>
      <c r="F1421" s="66" t="n"/>
      <c r="G1421" s="66" t="n"/>
      <c r="H1421" s="66" t="n"/>
      <c r="I1421" s="66" t="inlineStr">
        <is>
          <t>76.114.164-3</t>
        </is>
      </c>
      <c r="J1421" s="66" t="n"/>
      <c r="K1421" s="66" t="inlineStr">
        <is>
          <t>Ventas: GRANDE 1 (100.000 - 200.000 UF) | Empleados: 11</t>
        </is>
      </c>
      <c r="L1421" s="61" t="inlineStr">
        <is>
          <t>Contactado Email</t>
        </is>
      </c>
      <c r="M1421" s="61" t="n"/>
      <c r="N1421" s="61" t="n"/>
      <c r="O1421" s="61" t="n"/>
      <c r="P1421" s="61" t="n"/>
      <c r="Q1421" s="62" t="n"/>
      <c r="R1421" s="61" t="n"/>
      <c r="S1421" s="37" t="inlineStr">
        <is>
          <t>2026-03-17</t>
        </is>
      </c>
    </row>
    <row r="1422" ht="15.75" customHeight="1" s="38">
      <c r="A1422" s="66" t="inlineStr">
        <is>
          <t>Northtek Ingeniería</t>
        </is>
      </c>
      <c r="B1422" s="66" t="inlineStr">
        <is>
          <t>Soluciones de Facilities para Centros de Datos y Salas Eléctricas</t>
        </is>
      </c>
      <c r="C1422" s="66" t="inlineStr">
        <is>
          <t>Antofagasta</t>
        </is>
      </c>
      <c r="D1422" s="66" t="inlineStr">
        <is>
          <t>ventas@northtek.cl</t>
        </is>
      </c>
      <c r="E1422" s="66" t="inlineStr">
        <is>
          <t>(56) 9 9753 0621</t>
        </is>
      </c>
      <c r="F1422" s="66" t="n"/>
      <c r="G1422" s="66" t="n"/>
      <c r="H1422" s="66" t="n"/>
      <c r="I1422" s="66" t="inlineStr">
        <is>
          <t>76.696.269-6</t>
        </is>
      </c>
      <c r="J1422" s="66" t="n"/>
      <c r="K1422" s="66" t="inlineStr">
        <is>
          <t>Ventas: GRANDE 1 (100.000 - 200.000 UF) | Empleados: 144</t>
        </is>
      </c>
      <c r="L1422" s="61" t="inlineStr">
        <is>
          <t>Contactado Email</t>
        </is>
      </c>
      <c r="M1422" s="61" t="n"/>
      <c r="N1422" s="61" t="n"/>
      <c r="O1422" s="61" t="n"/>
      <c r="P1422" s="61" t="n"/>
      <c r="Q1422" s="62" t="n"/>
      <c r="R1422" s="61" t="n"/>
      <c r="S1422" s="37" t="inlineStr">
        <is>
          <t>2026-03-17</t>
        </is>
      </c>
    </row>
    <row r="1423" ht="15.75" customHeight="1" s="38">
      <c r="A1423" s="66" t="inlineStr">
        <is>
          <t>Nortécnica</t>
        </is>
      </c>
      <c r="B1423" s="66" t="inlineStr">
        <is>
          <t>Servicios de Ingeniería</t>
        </is>
      </c>
      <c r="C1423" s="66" t="inlineStr">
        <is>
          <t>Iquique</t>
        </is>
      </c>
      <c r="D1423" s="66" t="inlineStr">
        <is>
          <t>contactos@nortecnica.cl</t>
        </is>
      </c>
      <c r="E1423" s="66" t="inlineStr">
        <is>
          <t>(56) 9 9125 3349</t>
        </is>
      </c>
      <c r="F1423" s="66" t="n"/>
      <c r="G1423" s="66" t="n"/>
      <c r="H1423" s="66" t="n"/>
      <c r="I1423" s="66" t="inlineStr">
        <is>
          <t>77.759.960-7</t>
        </is>
      </c>
      <c r="J1423" s="66" t="n"/>
      <c r="K1423" s="66" t="inlineStr">
        <is>
          <t>Ventas: MEDIANA 2 (50.000 - 100.000 UF) | Empleados: 8</t>
        </is>
      </c>
      <c r="L1423" s="61" t="inlineStr">
        <is>
          <t>Contactado Email</t>
        </is>
      </c>
      <c r="M1423" s="61" t="n"/>
      <c r="N1423" s="61" t="n"/>
      <c r="O1423" s="61" t="n"/>
      <c r="P1423" s="61" t="n"/>
      <c r="Q1423" s="62" t="n"/>
      <c r="R1423" s="61" t="n"/>
      <c r="S1423" s="37" t="inlineStr">
        <is>
          <t>2026-03-17</t>
        </is>
      </c>
    </row>
    <row r="1424" ht="15.75" customHeight="1" s="38">
      <c r="A1424" s="66" t="inlineStr">
        <is>
          <t>Norval Ltda.</t>
        </is>
      </c>
      <c r="B1424" s="66" t="inlineStr">
        <is>
          <t>Válvulas</t>
        </is>
      </c>
      <c r="C1424" s="66" t="inlineStr">
        <is>
          <t>Santiago</t>
        </is>
      </c>
      <c r="D1424" s="66" t="inlineStr">
        <is>
          <t>ventas@norval.cl</t>
        </is>
      </c>
      <c r="E1424" s="66" t="inlineStr">
        <is>
          <t>(56) 2 2773 2663</t>
        </is>
      </c>
      <c r="F1424" s="66" t="n"/>
      <c r="G1424" s="66" t="n"/>
      <c r="H1424" s="66" t="n"/>
      <c r="I1424" s="66" t="inlineStr">
        <is>
          <t>77.965.710-8</t>
        </is>
      </c>
      <c r="J1424" s="66" t="n"/>
      <c r="K1424" s="66" t="inlineStr">
        <is>
          <t>Ventas: MICRO 3 (600 - 2.400 UF) | Empleados: 0</t>
        </is>
      </c>
      <c r="L1424" s="61" t="inlineStr">
        <is>
          <t>Contactado Email</t>
        </is>
      </c>
      <c r="M1424" s="61" t="n"/>
      <c r="N1424" s="61" t="n"/>
      <c r="O1424" s="61" t="n"/>
      <c r="P1424" s="61" t="n"/>
      <c r="Q1424" s="62" t="n"/>
      <c r="R1424" s="61" t="n"/>
      <c r="S1424" s="37" t="inlineStr">
        <is>
          <t>2026-03-17</t>
        </is>
      </c>
    </row>
    <row r="1425" ht="15.75" customHeight="1" s="38">
      <c r="A1425" s="66" t="inlineStr">
        <is>
          <t>Nouryon Chemicals Chile</t>
        </is>
      </c>
      <c r="B1425" s="66" t="inlineStr">
        <is>
          <t>Anticorrosivos</t>
        </is>
      </c>
      <c r="C1425" s="66" t="inlineStr">
        <is>
          <t>Talcahuano</t>
        </is>
      </c>
      <c r="D1425" s="66" t="inlineStr">
        <is>
          <t>isaac.morend@nouryon.com</t>
        </is>
      </c>
      <c r="E1425" s="66" t="inlineStr">
        <is>
          <t>(56) 41 212 9200</t>
        </is>
      </c>
      <c r="F1425" s="66" t="n"/>
      <c r="G1425" s="66" t="n"/>
      <c r="H1425" s="66" t="n"/>
      <c r="I1425" s="66" t="inlineStr">
        <is>
          <t>76866196-0</t>
        </is>
      </c>
      <c r="J1425" s="66" t="n"/>
      <c r="K1425" s="66" t="inlineStr">
        <is>
          <t>Ventas: MEDIANA 2 (50.000 - 100.000 UF) | Empleados: 0</t>
        </is>
      </c>
      <c r="L1425" s="61" t="inlineStr">
        <is>
          <t>Contactado Email</t>
        </is>
      </c>
      <c r="M1425" s="61" t="n"/>
      <c r="N1425" s="61" t="n"/>
      <c r="O1425" s="61" t="n"/>
      <c r="P1425" s="61" t="n"/>
      <c r="Q1425" s="62" t="n"/>
      <c r="R1425" s="61" t="n"/>
      <c r="S1425" s="37" t="inlineStr">
        <is>
          <t>2026-03-17</t>
        </is>
      </c>
    </row>
    <row r="1426" ht="15.75" customHeight="1" s="38">
      <c r="A1426" s="66" t="inlineStr">
        <is>
          <t>Nova Mineralis</t>
        </is>
      </c>
      <c r="B1426" s="66" t="inlineStr">
        <is>
          <t>Procesamiento de Minerales</t>
        </is>
      </c>
      <c r="C1426" s="66" t="inlineStr">
        <is>
          <t>Santiago</t>
        </is>
      </c>
      <c r="D1426" s="66" t="inlineStr">
        <is>
          <t>info@novamineralis.com</t>
        </is>
      </c>
      <c r="E1426" s="66" t="inlineStr">
        <is>
          <t>(56 9) 9579 0509</t>
        </is>
      </c>
      <c r="F1426" s="66" t="n"/>
      <c r="G1426" s="66" t="n"/>
      <c r="H1426" s="66" t="n"/>
      <c r="I1426" s="66" t="inlineStr">
        <is>
          <t>76.409.094-2</t>
        </is>
      </c>
      <c r="J1426" s="66" t="n"/>
      <c r="K1426" s="66" t="inlineStr">
        <is>
          <t>Ventas: PEQUEÑA 3 (10.000 - 25.000 UF) | Empleados: 13</t>
        </is>
      </c>
      <c r="L1426" s="61" t="inlineStr">
        <is>
          <t>Contactado Email</t>
        </is>
      </c>
      <c r="M1426" s="61" t="n"/>
      <c r="N1426" s="61" t="n"/>
      <c r="O1426" s="61" t="n"/>
      <c r="P1426" s="61" t="n"/>
      <c r="Q1426" s="62" t="n"/>
      <c r="R1426" s="61" t="n"/>
      <c r="S1426" s="37" t="inlineStr">
        <is>
          <t>2026-03-17</t>
        </is>
      </c>
    </row>
    <row r="1427" ht="15.75" customHeight="1" s="38">
      <c r="A1427" s="66" t="inlineStr">
        <is>
          <t>Nova Seguridad Ltda.</t>
        </is>
      </c>
      <c r="B1427" s="66" t="inlineStr">
        <is>
          <t>Artículos para Protección Personal, Calzado para Seguridad</t>
        </is>
      </c>
      <c r="C1427" s="66" t="inlineStr">
        <is>
          <t>Santiago</t>
        </is>
      </c>
      <c r="D1427" s="66" t="inlineStr">
        <is>
          <t>canaldigital@novaseguridad.cl</t>
        </is>
      </c>
      <c r="E1427" s="66" t="inlineStr">
        <is>
          <t>(56) 2 2472 8400</t>
        </is>
      </c>
      <c r="F1427" s="66" t="inlineStr">
        <is>
          <t>Gerente de TI / CIO (Director de Tecnología)</t>
        </is>
      </c>
      <c r="G1427" s="66" t="n"/>
      <c r="H1427" s="66" t="n"/>
      <c r="I1427" s="66" t="inlineStr">
        <is>
          <t>78.610.360-6</t>
        </is>
      </c>
      <c r="J1427" s="66" t="n"/>
      <c r="K1427" s="66" t="inlineStr">
        <is>
          <t>Ventas: GRANDE 4 (Mas de 1.000.000 UF) | Empleados: 181</t>
        </is>
      </c>
      <c r="L1427" s="61" t="inlineStr">
        <is>
          <t>Contactado Email</t>
        </is>
      </c>
      <c r="M1427" s="61" t="n"/>
      <c r="N1427" s="61" t="n"/>
      <c r="O1427" s="61" t="n"/>
      <c r="P1427" s="61" t="n"/>
      <c r="Q1427" s="62" t="n"/>
      <c r="R1427" s="61" t="n"/>
      <c r="S1427" s="37" t="inlineStr">
        <is>
          <t>2026-03-17</t>
        </is>
      </c>
    </row>
    <row r="1428" ht="15.75" customHeight="1" s="38">
      <c r="A1428" s="66" t="inlineStr">
        <is>
          <t>Novamine</t>
        </is>
      </c>
      <c r="B1428" s="66" t="inlineStr">
        <is>
          <t>Equipos de Levante de Palas Eléctricas, Equipos para Cambio de Tolvas</t>
        </is>
      </c>
      <c r="C1428" s="66" t="inlineStr">
        <is>
          <t>Antofagasta</t>
        </is>
      </c>
      <c r="D1428" s="66" t="inlineStr">
        <is>
          <t>contacto@novamine.cl</t>
        </is>
      </c>
      <c r="E1428" s="66" t="inlineStr">
        <is>
          <t>(56) 9 6249 2110</t>
        </is>
      </c>
      <c r="F1428" s="66" t="n"/>
      <c r="G1428" s="66" t="n"/>
      <c r="H1428" s="66" t="n"/>
      <c r="I1428" s="66" t="inlineStr">
        <is>
          <t>76.196.424-0</t>
        </is>
      </c>
      <c r="J1428" s="66" t="n"/>
      <c r="K1428" s="66" t="inlineStr">
        <is>
          <t>Ventas: GRANDE 2 (200.000 - 600.000 UF) | Empleados: 35</t>
        </is>
      </c>
      <c r="L1428" s="61" t="inlineStr">
        <is>
          <t>Contactado Email</t>
        </is>
      </c>
      <c r="M1428" s="61" t="n"/>
      <c r="N1428" s="61" t="n"/>
      <c r="O1428" s="61" t="n"/>
      <c r="P1428" s="61" t="n"/>
      <c r="Q1428" s="62" t="n"/>
      <c r="R1428" s="61" t="n"/>
      <c r="S1428" s="37" t="inlineStr">
        <is>
          <t>2026-03-17</t>
        </is>
      </c>
    </row>
    <row r="1429" ht="15.75" customHeight="1" s="38">
      <c r="A1429" s="66" t="inlineStr">
        <is>
          <t>Novaotec Capacitación Empresarial</t>
        </is>
      </c>
      <c r="B1429" s="66" t="inlineStr">
        <is>
          <t>Capacitación en Operaciones Mineras, Capacitación en Sistemas de Gestión</t>
        </is>
      </c>
      <c r="C1429" s="66" t="inlineStr">
        <is>
          <t>Rancagua</t>
        </is>
      </c>
      <c r="D1429" s="66" t="n"/>
      <c r="E1429" s="66" t="inlineStr">
        <is>
          <t>(56) 72 276 7749</t>
        </is>
      </c>
      <c r="F1429" s="66" t="n"/>
      <c r="G1429" s="66" t="n"/>
      <c r="H1429" s="66" t="n"/>
      <c r="I1429" s="66" t="inlineStr">
        <is>
          <t>76.950.470-2</t>
        </is>
      </c>
      <c r="J1429" s="66" t="n"/>
      <c r="K1429" s="66" t="inlineStr">
        <is>
          <t>Ventas: MICRO 2 (200 - 600 UF) | Empleados: 0</t>
        </is>
      </c>
      <c r="L1429" s="61" t="n"/>
      <c r="M1429" s="61" t="n"/>
      <c r="N1429" s="61" t="n"/>
      <c r="O1429" s="61" t="n"/>
      <c r="P1429" s="61" t="n"/>
      <c r="Q1429" s="62" t="n"/>
      <c r="R1429" s="61" t="n"/>
    </row>
    <row r="1430" ht="15.75" customHeight="1" s="38">
      <c r="A1430" s="66" t="inlineStr">
        <is>
          <t>Novatech SpA</t>
        </is>
      </c>
      <c r="B1430" s="66" t="inlineStr">
        <is>
          <t>Rellenos Sanitarios</t>
        </is>
      </c>
      <c r="C1430" s="66" t="inlineStr">
        <is>
          <t>Santiago</t>
        </is>
      </c>
      <c r="D1430" s="66" t="inlineStr">
        <is>
          <t>contacto@novatech.cl</t>
        </is>
      </c>
      <c r="E1430" s="66" t="inlineStr">
        <is>
          <t>(56) 9 4406 9270</t>
        </is>
      </c>
      <c r="F1430" s="66" t="n"/>
      <c r="G1430" s="66" t="n"/>
      <c r="H1430" s="66" t="n"/>
      <c r="I1430" s="66" t="inlineStr">
        <is>
          <t>77990884-4</t>
        </is>
      </c>
      <c r="J1430" s="66" t="n"/>
      <c r="K1430" s="66" t="inlineStr">
        <is>
          <t>Ventas: MICRO 1 (0.01 - 200 UF) | Empleados: 0</t>
        </is>
      </c>
      <c r="L1430" s="61" t="inlineStr">
        <is>
          <t>Contactado Email</t>
        </is>
      </c>
      <c r="M1430" s="61" t="n"/>
      <c r="N1430" s="61" t="n"/>
      <c r="O1430" s="61" t="n"/>
      <c r="P1430" s="61" t="n"/>
      <c r="Q1430" s="62" t="n"/>
      <c r="R1430" s="61" t="n"/>
      <c r="S1430" s="37" t="inlineStr">
        <is>
          <t>2026-03-17</t>
        </is>
      </c>
    </row>
    <row r="1431" ht="15.75" customHeight="1" s="38">
      <c r="A1431" s="66" t="inlineStr">
        <is>
          <t>Novoplast</t>
        </is>
      </c>
      <c r="B1431" s="66" t="inlineStr">
        <is>
          <t>Tuberías en HDPE - PVC</t>
        </is>
      </c>
      <c r="C1431" s="66" t="inlineStr">
        <is>
          <t>Santiago</t>
        </is>
      </c>
      <c r="D1431" s="66" t="inlineStr">
        <is>
          <t>ventas@novoplast.cl</t>
        </is>
      </c>
      <c r="E1431" s="66" t="inlineStr">
        <is>
          <t>(56) 2 2658 5200</t>
        </is>
      </c>
      <c r="F1431" s="66" t="n"/>
      <c r="G1431" s="66" t="n"/>
      <c r="H1431" s="66" t="n"/>
      <c r="I1431" s="66" t="inlineStr">
        <is>
          <t>76.067.019-7</t>
        </is>
      </c>
      <c r="J1431" s="66" t="n"/>
      <c r="K1431" s="66" t="inlineStr">
        <is>
          <t>Ventas: GRANDE 3 (600.000 - 1.000.000 UF) | Empleados: 25</t>
        </is>
      </c>
      <c r="L1431" s="61" t="inlineStr">
        <is>
          <t>Contactado Email</t>
        </is>
      </c>
      <c r="M1431" s="61" t="n"/>
      <c r="N1431" s="61" t="n"/>
      <c r="O1431" s="61" t="n"/>
      <c r="P1431" s="61" t="n"/>
      <c r="Q1431" s="62" t="n"/>
      <c r="R1431" s="61" t="n"/>
      <c r="S1431" s="37" t="inlineStr">
        <is>
          <t>2026-03-17</t>
        </is>
      </c>
    </row>
    <row r="1432" ht="15.75" customHeight="1" s="38">
      <c r="A1432" s="66" t="inlineStr">
        <is>
          <t>Nueva Andimar VIP</t>
        </is>
      </c>
      <c r="B1432" s="66" t="inlineStr">
        <is>
          <t>Transporte de Personal</t>
        </is>
      </c>
      <c r="C1432" s="66" t="inlineStr">
        <is>
          <t>Santiago</t>
        </is>
      </c>
      <c r="D1432" s="66" t="inlineStr">
        <is>
          <t>hola@andimar.cl</t>
        </is>
      </c>
      <c r="E1432" s="66" t="inlineStr">
        <is>
          <t>(56) 9 4915 6683</t>
        </is>
      </c>
      <c r="F1432" s="66" t="inlineStr">
        <is>
          <t>Gerente de TI / CIO (Director de Tecnología)</t>
        </is>
      </c>
      <c r="G1432" s="66" t="n"/>
      <c r="H1432" s="66" t="n"/>
      <c r="I1432" s="66" t="inlineStr">
        <is>
          <t>78.511.870-7</t>
        </is>
      </c>
      <c r="J1432" s="66" t="n"/>
      <c r="K1432" s="66" t="inlineStr">
        <is>
          <t>Ventas: GRANDE 4 (Mas de 1.000.000 UF) | Empleados: 907</t>
        </is>
      </c>
      <c r="L1432" s="61" t="inlineStr">
        <is>
          <t>Contactado Email</t>
        </is>
      </c>
      <c r="M1432" s="61" t="n"/>
      <c r="N1432" s="61" t="n"/>
      <c r="O1432" s="61" t="n"/>
      <c r="P1432" s="61" t="n"/>
      <c r="Q1432" s="62" t="n"/>
      <c r="R1432" s="61" t="n"/>
      <c r="S1432" s="37" t="inlineStr">
        <is>
          <t>2026-03-17</t>
        </is>
      </c>
    </row>
    <row r="1433" ht="15.75" customHeight="1" s="38">
      <c r="A1433" s="59" t="inlineStr">
        <is>
          <t>Nómade Chile</t>
        </is>
      </c>
      <c r="B1433" s="59" t="inlineStr">
        <is>
          <t>Campamentos Mineros, Campamentos para Exploración</t>
        </is>
      </c>
      <c r="C1433" s="59" t="inlineStr">
        <is>
          <t>Santiago</t>
        </is>
      </c>
      <c r="D1433" s="59" t="inlineStr">
        <is>
          <t>contacto@nomadechile.cl</t>
        </is>
      </c>
      <c r="E1433" s="59" t="inlineStr">
        <is>
          <t>(56) 2 2933 0500</t>
        </is>
      </c>
      <c r="F1433" s="59" t="inlineStr">
        <is>
          <t>Randolph Rufatt Proestakis (CEO)</t>
        </is>
      </c>
      <c r="G1433" s="59" t="n"/>
      <c r="H1433" s="59" t="n"/>
      <c r="I1433" s="59" t="inlineStr">
        <is>
          <t>76.101.122-7</t>
        </is>
      </c>
      <c r="J1433" s="59" t="inlineStr">
        <is>
          <t>Proyectos PMO en Zonas Extremas (Minería/Energía)</t>
        </is>
      </c>
      <c r="K1433" s="59" t="inlineStr">
        <is>
          <t>Ventas: GRANDE 2 (200.000 - 600.000 UF) | Empleados: 215</t>
        </is>
      </c>
      <c r="L1433" s="61" t="inlineStr">
        <is>
          <t>Contactado Email</t>
        </is>
      </c>
      <c r="M1433" s="61" t="n"/>
      <c r="N1433" s="61" t="n"/>
      <c r="O1433" s="61" t="n"/>
      <c r="P1433" s="61" t="n"/>
      <c r="Q1433" s="62" t="n"/>
      <c r="R1433" s="61" t="n"/>
      <c r="S1433" s="37" t="inlineStr">
        <is>
          <t>2026-03-17</t>
        </is>
      </c>
    </row>
    <row r="1434" ht="15.75" customHeight="1" s="38">
      <c r="A1434" s="66" t="inlineStr">
        <is>
          <t>O-Tek International</t>
        </is>
      </c>
      <c r="B1434" s="66" t="inlineStr">
        <is>
          <t>Tubos de Fibra de Vidrio (PRFV)</t>
        </is>
      </c>
      <c r="C1434" s="66" t="inlineStr">
        <is>
          <t>Santiago</t>
        </is>
      </c>
      <c r="D1434" s="66" t="inlineStr">
        <is>
          <t>info.argentina@o-tek.com.ar</t>
        </is>
      </c>
      <c r="E1434" s="66" t="inlineStr">
        <is>
          <t>(56) 9 4451 0948</t>
        </is>
      </c>
      <c r="F1434" s="66" t="n"/>
      <c r="G1434" s="66" t="n"/>
      <c r="H1434" s="66" t="n"/>
      <c r="I1434" s="66" t="inlineStr">
        <is>
          <t>96.999.100-4</t>
        </is>
      </c>
      <c r="J1434" s="66" t="n"/>
      <c r="K1434" s="66" t="inlineStr">
        <is>
          <t>Ventas: MEDIANA 1 (25.000 - 50.000 UF) | Empleados: 1</t>
        </is>
      </c>
      <c r="L1434" s="61" t="inlineStr">
        <is>
          <t>Contactado Email</t>
        </is>
      </c>
      <c r="M1434" s="61" t="n"/>
      <c r="N1434" s="61" t="n"/>
      <c r="O1434" s="61" t="n"/>
      <c r="P1434" s="61" t="n"/>
      <c r="Q1434" s="62" t="n"/>
      <c r="R1434" s="61" t="n"/>
      <c r="S1434" s="37" t="inlineStr">
        <is>
          <t>2026-03-17</t>
        </is>
      </c>
    </row>
    <row r="1435" ht="15.75" customHeight="1" s="38">
      <c r="A1435" s="66" t="inlineStr">
        <is>
          <t>Octopus Mining</t>
        </is>
      </c>
      <c r="B1435" s="66" t="inlineStr">
        <is>
          <t>Software de Inteligencia Artificial (IA) para Procesos de Carguío y Transporte</t>
        </is>
      </c>
      <c r="C1435" s="66" t="inlineStr">
        <is>
          <t>Santiago</t>
        </is>
      </c>
      <c r="D1435" s="66" t="inlineStr">
        <is>
          <t>contacto@octodots.ai</t>
        </is>
      </c>
      <c r="E1435" s="66" t="inlineStr">
        <is>
          <t>(56) 9 9845 8975</t>
        </is>
      </c>
      <c r="F1435" s="66" t="n"/>
      <c r="G1435" s="66" t="n"/>
      <c r="H1435" s="66" t="n"/>
      <c r="I1435" s="66" t="inlineStr">
        <is>
          <t>77.104.709-2</t>
        </is>
      </c>
      <c r="J1435" s="66" t="n"/>
      <c r="K1435" s="66" t="inlineStr">
        <is>
          <t>Ventas: MICRO 1 (0.01 - 200 UF) | Empleados: 0</t>
        </is>
      </c>
      <c r="L1435" s="61" t="inlineStr">
        <is>
          <t>Contactado Email</t>
        </is>
      </c>
      <c r="M1435" s="61" t="n"/>
      <c r="N1435" s="61" t="n"/>
      <c r="O1435" s="61" t="n"/>
      <c r="P1435" s="61" t="n"/>
      <c r="Q1435" s="62" t="n"/>
      <c r="R1435" s="61" t="n"/>
      <c r="S1435" s="37" t="inlineStr">
        <is>
          <t>2026-03-17</t>
        </is>
      </c>
    </row>
    <row r="1436" ht="15.75" customHeight="1" s="38">
      <c r="A1436" s="66" t="inlineStr">
        <is>
          <t>Octopuss</t>
        </is>
      </c>
      <c r="B1436" s="66" t="inlineStr">
        <is>
          <t>Software para la Minería, Software para Reconocimiento Facial</t>
        </is>
      </c>
      <c r="C1436" s="66" t="inlineStr">
        <is>
          <t>Santiago</t>
        </is>
      </c>
      <c r="D1436" s="66" t="inlineStr">
        <is>
          <t>info@octopuss.cl</t>
        </is>
      </c>
      <c r="E1436" s="66" t="inlineStr">
        <is>
          <t>(56) 2 2946 2763</t>
        </is>
      </c>
      <c r="F1436" s="66" t="n"/>
      <c r="G1436" s="66" t="n"/>
      <c r="H1436" s="66" t="n"/>
      <c r="I1436" s="66" t="inlineStr">
        <is>
          <t>76.043.205-9</t>
        </is>
      </c>
      <c r="J1436" s="66" t="n"/>
      <c r="K1436" s="66" t="inlineStr">
        <is>
          <t>Ventas: GRANDE 1 (100.000 - 200.000 UF) | Empleados: 17</t>
        </is>
      </c>
      <c r="L1436" s="61" t="inlineStr">
        <is>
          <t>Contactado Email</t>
        </is>
      </c>
      <c r="M1436" s="61" t="n"/>
      <c r="N1436" s="61" t="n"/>
      <c r="O1436" s="61" t="n"/>
      <c r="P1436" s="61" t="n"/>
      <c r="Q1436" s="62" t="n"/>
      <c r="R1436" s="61" t="n"/>
      <c r="S1436" s="37" t="inlineStr">
        <is>
          <t>2026-03-17</t>
        </is>
      </c>
    </row>
    <row r="1437" ht="15.75" customHeight="1" s="38">
      <c r="A1437" s="66" t="inlineStr">
        <is>
          <t>Odis SpA</t>
        </is>
      </c>
      <c r="B1437" s="66" t="inlineStr">
        <is>
          <t>Candados para Alta Seguridad, Cerraduras, Cerrajería para Seguridad</t>
        </is>
      </c>
      <c r="C1437" s="66" t="inlineStr">
        <is>
          <t>Santiago</t>
        </is>
      </c>
      <c r="D1437" s="66" t="inlineStr">
        <is>
          <t>servicioalcliente@odis.cl</t>
        </is>
      </c>
      <c r="E1437" s="66" t="inlineStr">
        <is>
          <t>(56) 2 2816 6000</t>
        </is>
      </c>
      <c r="F1437" s="66" t="inlineStr">
        <is>
          <t>Gerente de TI / CIO (Director de Tecnología)</t>
        </is>
      </c>
      <c r="G1437" s="66" t="n"/>
      <c r="H1437" s="66" t="n"/>
      <c r="I1437" s="66" t="inlineStr">
        <is>
          <t>76.414.822-3</t>
        </is>
      </c>
      <c r="J1437" s="66" t="n"/>
      <c r="K1437" s="66" t="inlineStr">
        <is>
          <t>Ventas: GRANDE 4 (Mas de 1.000.000 UF) | Empleados: 254</t>
        </is>
      </c>
      <c r="L1437" s="61" t="inlineStr">
        <is>
          <t>Contactado Email</t>
        </is>
      </c>
      <c r="M1437" s="61" t="n"/>
      <c r="N1437" s="61" t="n"/>
      <c r="O1437" s="61" t="n"/>
      <c r="P1437" s="61" t="n"/>
      <c r="Q1437" s="62" t="n"/>
      <c r="R1437" s="61" t="n"/>
      <c r="S1437" s="37" t="inlineStr">
        <is>
          <t>2026-03-17</t>
        </is>
      </c>
    </row>
    <row r="1438" ht="15.75" customHeight="1" s="38">
      <c r="A1438" s="66" t="inlineStr">
        <is>
          <t>Offermanns Flood S.A.</t>
        </is>
      </c>
      <c r="B1438" s="66" t="inlineStr">
        <is>
          <t>Candados para Alta Seguridad, Cerraduras</t>
        </is>
      </c>
      <c r="C1438" s="66" t="inlineStr">
        <is>
          <t>Santiago</t>
        </is>
      </c>
      <c r="D1438" s="66" t="inlineStr">
        <is>
          <t>ventas@flood.cl</t>
        </is>
      </c>
      <c r="E1438" s="66" t="inlineStr">
        <is>
          <t>(56) 2 2699 1609</t>
        </is>
      </c>
      <c r="F1438" s="66" t="n"/>
      <c r="G1438" s="66" t="n"/>
      <c r="H1438" s="66" t="n"/>
      <c r="I1438" s="66" t="inlineStr">
        <is>
          <t>76.726.550-6</t>
        </is>
      </c>
      <c r="J1438" s="66" t="n"/>
      <c r="K1438" s="66" t="inlineStr">
        <is>
          <t>Ventas: GRANDE 1 (100.000 - 200.000 UF) | Empleados: 12</t>
        </is>
      </c>
      <c r="L1438" s="61" t="n"/>
      <c r="M1438" s="61" t="n"/>
      <c r="N1438" s="61" t="n"/>
      <c r="O1438" s="61" t="n"/>
      <c r="P1438" s="61" t="n"/>
      <c r="Q1438" s="62" t="n"/>
      <c r="R1438" s="61" t="n"/>
    </row>
    <row r="1439" ht="15.75" customHeight="1" s="38">
      <c r="A1439" s="66" t="inlineStr">
        <is>
          <t>OHLA</t>
        </is>
      </c>
      <c r="B1439" s="66" t="inlineStr">
        <is>
          <t>Constructoras</t>
        </is>
      </c>
      <c r="C1439" s="66" t="inlineStr">
        <is>
          <t>Santiago</t>
        </is>
      </c>
      <c r="D1439" s="66" t="inlineStr">
        <is>
          <t>ohlchile@ohl.cl</t>
        </is>
      </c>
      <c r="E1439" s="66" t="inlineStr">
        <is>
          <t>(56) 2 2731 9400</t>
        </is>
      </c>
      <c r="F1439" s="66" t="n"/>
      <c r="G1439" s="66" t="n"/>
      <c r="H1439" s="66" t="n"/>
      <c r="I1439" s="66" t="inlineStr">
        <is>
          <t>59.059.340-0</t>
        </is>
      </c>
      <c r="J1439" s="66" t="n"/>
      <c r="K1439" s="66" t="inlineStr">
        <is>
          <t>Ventas: GRANDE (Estimado por Empleados) | Empleados: 2272</t>
        </is>
      </c>
      <c r="L1439" s="61" t="n"/>
      <c r="M1439" s="61" t="n"/>
      <c r="N1439" s="61" t="n"/>
      <c r="O1439" s="61" t="n"/>
      <c r="P1439" s="61" t="n"/>
      <c r="Q1439" s="62" t="n"/>
      <c r="R1439" s="61" t="n"/>
    </row>
    <row r="1440" ht="15.75" customHeight="1" s="38">
      <c r="A1440" s="66" t="inlineStr">
        <is>
          <t>Olivos Riego</t>
        </is>
      </c>
      <c r="B1440" s="66" t="inlineStr">
        <is>
          <t>Asesorías y Capacitaciones de Mantención de Equipos de Riego, Productos especiales para Lixiviación en Minería, Proyectos de Riego</t>
        </is>
      </c>
      <c r="C1440" s="66" t="inlineStr">
        <is>
          <t>Rengo</t>
        </is>
      </c>
      <c r="D1440" s="66" t="inlineStr">
        <is>
          <t>ventas@olivos.cl</t>
        </is>
      </c>
      <c r="E1440" s="66" t="inlineStr">
        <is>
          <t>(56) 72 241 0100</t>
        </is>
      </c>
      <c r="F1440" s="66" t="n"/>
      <c r="G1440" s="66" t="n"/>
      <c r="H1440" s="66" t="n"/>
      <c r="I1440" s="66" t="inlineStr">
        <is>
          <t>89.489.700-7</t>
        </is>
      </c>
      <c r="J1440" s="66" t="n"/>
      <c r="K1440" s="66" t="inlineStr">
        <is>
          <t>Ventas: GRANDE 3 (600.000 - 1.000.000 UF) | Empleados: 177</t>
        </is>
      </c>
      <c r="L1440" s="61" t="n"/>
      <c r="M1440" s="61" t="n"/>
      <c r="N1440" s="61" t="n"/>
      <c r="O1440" s="61" t="n"/>
      <c r="P1440" s="61" t="n"/>
      <c r="Q1440" s="62" t="n"/>
      <c r="R1440" s="61" t="n"/>
    </row>
    <row r="1441" ht="15.75" customHeight="1" s="38">
      <c r="A1441" s="66" t="inlineStr">
        <is>
          <t>Omega Servicios</t>
        </is>
      </c>
      <c r="B1441" s="66" t="inlineStr">
        <is>
          <t>Desgaste de Chancadores, Plantas Concentradoras</t>
        </is>
      </c>
      <c r="C1441" s="66" t="inlineStr">
        <is>
          <t>Antofagasta</t>
        </is>
      </c>
      <c r="D1441" s="66" t="inlineStr">
        <is>
          <t>contacto@omserv.com</t>
        </is>
      </c>
      <c r="E1441" s="66" t="inlineStr">
        <is>
          <t>(56) 55 255 4145</t>
        </is>
      </c>
      <c r="F1441" s="66" t="n"/>
      <c r="G1441" s="66" t="n"/>
      <c r="H1441" s="66" t="n"/>
      <c r="I1441" s="66" t="inlineStr">
        <is>
          <t>76685105-3</t>
        </is>
      </c>
      <c r="J1441" s="66" t="n"/>
      <c r="K1441" s="66" t="inlineStr">
        <is>
          <t>Ventas: GRANDE 1 (100.000 - 200.000 UF) | Empleados: 73</t>
        </is>
      </c>
      <c r="L1441" s="61" t="n"/>
      <c r="M1441" s="61" t="n"/>
      <c r="N1441" s="61" t="n"/>
      <c r="O1441" s="61" t="n"/>
      <c r="P1441" s="61" t="n"/>
      <c r="Q1441" s="62" t="n"/>
      <c r="R1441" s="61" t="n"/>
    </row>
    <row r="1442" ht="15.75" customHeight="1" s="38">
      <c r="A1442" s="66" t="inlineStr">
        <is>
          <t>Onix Ingeniería</t>
        </is>
      </c>
      <c r="B1442" s="66" t="inlineStr">
        <is>
          <t>Control de Corrosión, Corrosión</t>
        </is>
      </c>
      <c r="C1442" s="66" t="inlineStr">
        <is>
          <t>Talcahuano</t>
        </is>
      </c>
      <c r="D1442" s="66" t="inlineStr">
        <is>
          <t>onix@onix.cl</t>
        </is>
      </c>
      <c r="E1442" s="66" t="inlineStr">
        <is>
          <t>(56) 41 295 9165</t>
        </is>
      </c>
      <c r="F1442" s="66" t="n"/>
      <c r="G1442" s="66" t="n"/>
      <c r="H1442" s="66" t="n"/>
      <c r="I1442" s="66" t="inlineStr">
        <is>
          <t>77.573.790-5</t>
        </is>
      </c>
      <c r="J1442" s="66" t="n"/>
      <c r="K1442" s="66" t="inlineStr">
        <is>
          <t>Ventas: MEDIANA 2 (50.000 - 100.000 UF) | Empleados: 51</t>
        </is>
      </c>
      <c r="L1442" s="61" t="n"/>
      <c r="M1442" s="61" t="n"/>
      <c r="N1442" s="61" t="n"/>
      <c r="O1442" s="61" t="n"/>
      <c r="P1442" s="61" t="n"/>
      <c r="Q1442" s="62" t="n"/>
      <c r="R1442" s="61" t="n"/>
    </row>
    <row r="1443" ht="15.75" customHeight="1" s="38">
      <c r="A1443" s="66" t="inlineStr">
        <is>
          <t>Openchannels</t>
        </is>
      </c>
      <c r="B1443" s="66" t="inlineStr">
        <is>
          <t>Comunicaciones Inalámbricas, Equipos Audiovisuales, Salas de Control y Monitoreo</t>
        </is>
      </c>
      <c r="C1443" s="66" t="inlineStr">
        <is>
          <t>Santiago</t>
        </is>
      </c>
      <c r="D1443" s="66" t="inlineStr">
        <is>
          <t>lnorero@openchannels.cl</t>
        </is>
      </c>
      <c r="E1443" s="66" t="inlineStr">
        <is>
          <t>(56) 2 2580 1110</t>
        </is>
      </c>
      <c r="F1443" s="66" t="n"/>
      <c r="G1443" s="66" t="n"/>
      <c r="H1443" s="66" t="n"/>
      <c r="I1443" s="66" t="inlineStr">
        <is>
          <t>76.035.015-K</t>
        </is>
      </c>
      <c r="J1443" s="66" t="n"/>
      <c r="K1443" s="66" t="inlineStr">
        <is>
          <t>Ventas: MEDIANA 1 (25.000 - 50.000 UF) | Empleados: 16</t>
        </is>
      </c>
      <c r="L1443" s="61" t="n"/>
      <c r="M1443" s="61" t="n"/>
      <c r="N1443" s="61" t="n"/>
      <c r="O1443" s="61" t="n"/>
      <c r="P1443" s="61" t="n"/>
      <c r="Q1443" s="62" t="n"/>
      <c r="R1443" s="61" t="n"/>
    </row>
    <row r="1444" ht="15.75" customHeight="1" s="38">
      <c r="A1444" s="66" t="inlineStr">
        <is>
          <t>Optimiza Ingeniería y Desarrollo</t>
        </is>
      </c>
      <c r="B1444" s="66" t="inlineStr">
        <is>
          <t>Consultoría en Ingeniería</t>
        </is>
      </c>
      <c r="C1444" s="66" t="inlineStr">
        <is>
          <t>Santiago</t>
        </is>
      </c>
      <c r="D1444" s="66" t="inlineStr">
        <is>
          <t>contact@optimizaid.com</t>
        </is>
      </c>
      <c r="E1444" s="66" t="inlineStr">
        <is>
          <t>(56) 2 2946 4040</t>
        </is>
      </c>
      <c r="F1444" s="66" t="n"/>
      <c r="G1444" s="66" t="n"/>
      <c r="H1444" s="66" t="n"/>
      <c r="I1444" s="66" t="inlineStr">
        <is>
          <t>96.921.000-2</t>
        </is>
      </c>
      <c r="J1444" s="66" t="n"/>
      <c r="K1444" s="66" t="inlineStr">
        <is>
          <t>Ventas: GRANDE 1 (100.000 - 200.000 UF) | Empleados: 39</t>
        </is>
      </c>
      <c r="L1444" s="61" t="n"/>
      <c r="M1444" s="61" t="n"/>
      <c r="N1444" s="61" t="n"/>
      <c r="O1444" s="61" t="n"/>
      <c r="P1444" s="61" t="n"/>
      <c r="Q1444" s="62" t="n"/>
      <c r="R1444" s="61" t="n"/>
    </row>
    <row r="1445" ht="15.75" customHeight="1" s="38">
      <c r="A1445" s="66" t="inlineStr">
        <is>
          <t>Optytek</t>
        </is>
      </c>
      <c r="B1445" s="66" t="inlineStr">
        <is>
          <t>Servicios Informáticos, Telecomunicaciones</t>
        </is>
      </c>
      <c r="C1445" s="66" t="inlineStr">
        <is>
          <t>Santiago</t>
        </is>
      </c>
      <c r="D1445" s="66" t="inlineStr">
        <is>
          <t>office@optytek.cl</t>
        </is>
      </c>
      <c r="E1445" s="66" t="inlineStr">
        <is>
          <t>(56) 9 7768 1879</t>
        </is>
      </c>
      <c r="F1445" s="66" t="n"/>
      <c r="G1445" s="66" t="n"/>
      <c r="H1445" s="66" t="n"/>
      <c r="I1445" s="66" t="inlineStr">
        <is>
          <t>76607437-5</t>
        </is>
      </c>
      <c r="J1445" s="66" t="n"/>
      <c r="K1445" s="66" t="inlineStr">
        <is>
          <t>Ventas: GRANDE 2 (200.000 - 600.000 UF) | Empleados: 112</t>
        </is>
      </c>
      <c r="L1445" s="61" t="n"/>
      <c r="M1445" s="61" t="n"/>
      <c r="N1445" s="61" t="n"/>
      <c r="O1445" s="61" t="n"/>
      <c r="P1445" s="61" t="n"/>
      <c r="Q1445" s="62" t="n"/>
      <c r="R1445" s="61" t="n"/>
    </row>
    <row r="1446" ht="15.75" customHeight="1" s="38">
      <c r="A1446" s="66" t="inlineStr">
        <is>
          <t>Oracle de Chile S.A.</t>
        </is>
      </c>
      <c r="B1446" s="66" t="inlineStr">
        <is>
          <t>Software, Software para la Minería</t>
        </is>
      </c>
      <c r="C1446" s="66" t="inlineStr">
        <is>
          <t>Santiago</t>
        </is>
      </c>
      <c r="D1446" s="66" t="n"/>
      <c r="E1446" s="66" t="inlineStr">
        <is>
          <t>(56) 2 2213 4014</t>
        </is>
      </c>
      <c r="F1446" s="66" t="n"/>
      <c r="G1446" s="66" t="n"/>
      <c r="H1446" s="66" t="n"/>
      <c r="I1446" s="66" t="inlineStr">
        <is>
          <t>96.557.720-3</t>
        </is>
      </c>
      <c r="J1446" s="66" t="n"/>
      <c r="K1446" s="66" t="inlineStr">
        <is>
          <t>Ventas: GRANDE (Estimado por Empleados) | Empleados: 424</t>
        </is>
      </c>
      <c r="L1446" s="61" t="n"/>
      <c r="M1446" s="61" t="n"/>
      <c r="N1446" s="61" t="n"/>
      <c r="O1446" s="61" t="n"/>
      <c r="P1446" s="61" t="n"/>
      <c r="Q1446" s="62" t="n"/>
      <c r="R1446" s="61" t="n"/>
    </row>
    <row r="1447" ht="15.75" customHeight="1" s="38">
      <c r="A1447" s="66" t="inlineStr">
        <is>
          <t>Orbinox Chile</t>
        </is>
      </c>
      <c r="B1447" s="66" t="inlineStr">
        <is>
          <t>Válvulas de Guillotina</t>
        </is>
      </c>
      <c r="C1447" s="66" t="inlineStr">
        <is>
          <t>Santiago</t>
        </is>
      </c>
      <c r="D1447" s="66" t="inlineStr">
        <is>
          <t>chile@orbinox.com</t>
        </is>
      </c>
      <c r="E1447" s="66" t="inlineStr">
        <is>
          <t>(56) 2 2303 5950</t>
        </is>
      </c>
      <c r="F1447" s="66" t="n"/>
      <c r="G1447" s="66" t="n"/>
      <c r="H1447" s="66" t="n"/>
      <c r="I1447" s="66" t="inlineStr">
        <is>
          <t>76.442.397-6</t>
        </is>
      </c>
      <c r="J1447" s="66" t="n"/>
      <c r="K1447" s="66" t="inlineStr">
        <is>
          <t>Ventas: GRANDE 2 (200.000 - 600.000 UF) | Empleados: 13</t>
        </is>
      </c>
      <c r="L1447" s="61" t="n"/>
      <c r="M1447" s="61" t="n"/>
      <c r="N1447" s="61" t="n"/>
      <c r="O1447" s="61" t="n"/>
      <c r="P1447" s="61" t="n"/>
      <c r="Q1447" s="62" t="n"/>
      <c r="R1447" s="61" t="n"/>
    </row>
    <row r="1448" ht="15.75" customHeight="1" s="38">
      <c r="A1448" s="66" t="inlineStr">
        <is>
          <t>Orbitec</t>
        </is>
      </c>
      <c r="B1448" s="66" t="inlineStr">
        <is>
          <t>Cañón Nebulizador de Agua para Control de Polvo, Robots y Bombas para Limpieza de Piscinas con Lodos</t>
        </is>
      </c>
      <c r="C1448" s="66" t="inlineStr">
        <is>
          <t>Santiago</t>
        </is>
      </c>
      <c r="D1448" s="66" t="inlineStr">
        <is>
          <t>contacto@orbitec.cl</t>
        </is>
      </c>
      <c r="E1448" s="66" t="inlineStr">
        <is>
          <t>(56) 2 2429 4190</t>
        </is>
      </c>
      <c r="F1448" s="66" t="n"/>
      <c r="G1448" s="66" t="n"/>
      <c r="H1448" s="66" t="n"/>
      <c r="I1448" s="66" t="inlineStr">
        <is>
          <t>76.011.181-3</t>
        </is>
      </c>
      <c r="J1448" s="66" t="n"/>
      <c r="K1448" s="66" t="inlineStr">
        <is>
          <t>Ventas: GRANDE 3 (600.000 - 1.000.000 UF) | Empleados: 79</t>
        </is>
      </c>
      <c r="L1448" s="61" t="n"/>
      <c r="M1448" s="61" t="n"/>
      <c r="N1448" s="61" t="n"/>
      <c r="O1448" s="61" t="n"/>
      <c r="P1448" s="61" t="n"/>
      <c r="Q1448" s="62" t="n"/>
      <c r="R1448" s="61" t="n"/>
    </row>
    <row r="1449" ht="15.75" customHeight="1" s="38">
      <c r="A1449" s="66" t="inlineStr">
        <is>
          <t>Orco Ingeniería Ltda.</t>
        </is>
      </c>
      <c r="B1449" s="66" t="inlineStr">
        <is>
          <t>Arriendo de Bombas para Agua</t>
        </is>
      </c>
      <c r="C1449" s="66" t="inlineStr">
        <is>
          <t>Santiago</t>
        </is>
      </c>
      <c r="D1449" s="66" t="inlineStr">
        <is>
          <t>bombas@orco.cl</t>
        </is>
      </c>
      <c r="E1449" s="66" t="inlineStr">
        <is>
          <t>(56) 2 2799 3420</t>
        </is>
      </c>
      <c r="F1449" s="66" t="n"/>
      <c r="G1449" s="66" t="n"/>
      <c r="H1449" s="66" t="n"/>
      <c r="I1449" s="66" t="inlineStr">
        <is>
          <t>88.335.300-5</t>
        </is>
      </c>
      <c r="J1449" s="66" t="n"/>
      <c r="K1449" s="66" t="inlineStr">
        <is>
          <t>Ventas: MEDIANA 1 (25.000 - 50.000 UF) | Empleados: 10</t>
        </is>
      </c>
      <c r="L1449" s="61" t="n"/>
      <c r="M1449" s="61" t="n"/>
      <c r="N1449" s="61" t="n"/>
      <c r="O1449" s="61" t="n"/>
      <c r="P1449" s="61" t="n"/>
      <c r="Q1449" s="62" t="n"/>
      <c r="R1449" s="61" t="n"/>
    </row>
    <row r="1450" ht="15.75" customHeight="1" s="38">
      <c r="A1450" s="66" t="inlineStr">
        <is>
          <t>Orica</t>
        </is>
      </c>
      <c r="B1450" s="66" t="inlineStr">
        <is>
          <t>Soluciones de Voladura</t>
        </is>
      </c>
      <c r="C1450" s="66" t="inlineStr">
        <is>
          <t>Santiago</t>
        </is>
      </c>
      <c r="D1450" s="66" t="n"/>
      <c r="E1450" s="66" t="inlineStr">
        <is>
          <t>(56) 2 2715 3800</t>
        </is>
      </c>
      <c r="F1450" s="66" t="n"/>
      <c r="G1450" s="66" t="n"/>
      <c r="H1450" s="66" t="n"/>
      <c r="I1450" s="66" t="inlineStr">
        <is>
          <t>95.467.000-7</t>
        </is>
      </c>
      <c r="J1450" s="66" t="n"/>
      <c r="K1450" s="66" t="inlineStr">
        <is>
          <t>Ventas: GRANDE (Estimado por Empleados) | Empleados: 893</t>
        </is>
      </c>
      <c r="L1450" s="61" t="n"/>
      <c r="M1450" s="61" t="n"/>
      <c r="N1450" s="61" t="n"/>
      <c r="O1450" s="61" t="n"/>
      <c r="P1450" s="61" t="n"/>
      <c r="Q1450" s="62" t="n"/>
      <c r="R1450" s="61" t="n"/>
    </row>
    <row r="1451" ht="15.75" customHeight="1" s="38">
      <c r="A1451" s="66" t="inlineStr">
        <is>
          <t>Orión 2000 S.A.</t>
        </is>
      </c>
      <c r="B1451" s="66" t="inlineStr">
        <is>
          <t>Servicios Computacionales, Software</t>
        </is>
      </c>
      <c r="C1451" s="66" t="inlineStr">
        <is>
          <t>Santiago</t>
        </is>
      </c>
      <c r="D1451" s="66" t="inlineStr">
        <is>
          <t>info@solucionesorion.com</t>
        </is>
      </c>
      <c r="E1451" s="66" t="inlineStr">
        <is>
          <t>(56) 2 2640 3900</t>
        </is>
      </c>
      <c r="F1451" s="66" t="inlineStr">
        <is>
          <t>Gerente de TI / CIO (Director de Tecnología)</t>
        </is>
      </c>
      <c r="G1451" s="66" t="n"/>
      <c r="H1451" s="66" t="n"/>
      <c r="I1451" s="66" t="inlineStr">
        <is>
          <t>96.899.890-0</t>
        </is>
      </c>
      <c r="J1451" s="66" t="n"/>
      <c r="K1451" s="66" t="inlineStr">
        <is>
          <t>Ventas: GRANDE 4 (Mas de 1.000.000 UF) | Empleados: 55</t>
        </is>
      </c>
      <c r="L1451" s="61" t="n"/>
      <c r="M1451" s="61" t="n"/>
      <c r="N1451" s="61" t="n"/>
      <c r="O1451" s="61" t="n"/>
      <c r="P1451" s="61" t="n"/>
      <c r="Q1451" s="62" t="n"/>
      <c r="R1451" s="61" t="n"/>
    </row>
    <row r="1452" ht="15.75" customHeight="1" s="38">
      <c r="A1452" s="66" t="inlineStr">
        <is>
          <t>Oryxeio Ltda.</t>
        </is>
      </c>
      <c r="B1452" s="66" t="inlineStr">
        <is>
          <t>Servicios de Ingeniería en Hidrometalurgia</t>
        </is>
      </c>
      <c r="C1452" s="66" t="inlineStr">
        <is>
          <t>Santiago</t>
        </is>
      </c>
      <c r="D1452" s="66" t="inlineStr">
        <is>
          <t>contacto@oryxeio.com</t>
        </is>
      </c>
      <c r="E1452" s="66" t="inlineStr">
        <is>
          <t>(56) 9 9231 2389</t>
        </is>
      </c>
      <c r="F1452" s="66" t="n"/>
      <c r="G1452" s="66" t="n"/>
      <c r="H1452" s="66" t="n"/>
      <c r="I1452" s="66" t="inlineStr">
        <is>
          <t>76.131.791-1</t>
        </is>
      </c>
      <c r="J1452" s="66" t="n"/>
      <c r="K1452" s="66" t="inlineStr">
        <is>
          <t>Ventas: PEQUEÑA 1 (2.400 - 5.000 UF) | Empleados: 4</t>
        </is>
      </c>
      <c r="L1452" s="61" t="n"/>
      <c r="M1452" s="61" t="n"/>
      <c r="N1452" s="61" t="n"/>
      <c r="O1452" s="61" t="n"/>
      <c r="P1452" s="61" t="n"/>
      <c r="Q1452" s="62" t="n"/>
      <c r="R1452" s="61" t="n"/>
    </row>
    <row r="1453" ht="15.75" customHeight="1" s="38">
      <c r="A1453" s="66" t="inlineStr">
        <is>
          <t>Osesa SpA</t>
        </is>
      </c>
      <c r="B1453" s="66" t="inlineStr">
        <is>
          <t>Seguridad Electrónica y Protección de Alta Seguridad</t>
        </is>
      </c>
      <c r="C1453" s="66" t="inlineStr">
        <is>
          <t>Santiago</t>
        </is>
      </c>
      <c r="D1453" s="66" t="inlineStr">
        <is>
          <t>contacto@osesa.cl</t>
        </is>
      </c>
      <c r="E1453" s="66" t="inlineStr">
        <is>
          <t>(56) 2 2840 7565</t>
        </is>
      </c>
      <c r="F1453" s="66" t="n"/>
      <c r="G1453" s="66" t="n"/>
      <c r="H1453" s="66" t="n"/>
      <c r="I1453" s="66" t="inlineStr">
        <is>
          <t>76.017.001-1</t>
        </is>
      </c>
      <c r="J1453" s="66" t="n"/>
      <c r="K1453" s="66" t="inlineStr">
        <is>
          <t>Ventas: GRANDE 1 (100.000 - 200.000 UF) | Empleados: 55</t>
        </is>
      </c>
      <c r="L1453" s="61" t="n"/>
      <c r="M1453" s="61" t="n"/>
      <c r="N1453" s="61" t="n"/>
      <c r="O1453" s="61" t="n"/>
      <c r="P1453" s="61" t="n"/>
      <c r="Q1453" s="62" t="n"/>
      <c r="R1453" s="61" t="n"/>
    </row>
    <row r="1454" ht="15.75" customHeight="1" s="38">
      <c r="A1454" s="66" t="inlineStr">
        <is>
          <t>Ossa Obras Subterráneas</t>
        </is>
      </c>
      <c r="B1454" s="66" t="inlineStr">
        <is>
          <t>Construcción de Obras para Minería Subterránea, Túneles</t>
        </is>
      </c>
      <c r="C1454" s="66" t="inlineStr">
        <is>
          <t>Santiago</t>
        </is>
      </c>
      <c r="D1454" s="66" t="inlineStr">
        <is>
          <t>info@ossaint.com</t>
        </is>
      </c>
      <c r="E1454" s="66" t="inlineStr">
        <is>
          <t>(56) 2 3203 3840</t>
        </is>
      </c>
      <c r="F1454" s="66" t="n"/>
      <c r="G1454" s="66" t="n"/>
      <c r="H1454" s="66" t="inlineStr">
        <is>
          <t>http://www.ossaint.com</t>
        </is>
      </c>
      <c r="I1454" s="66" t="inlineStr">
        <is>
          <t>76.140.162-9</t>
        </is>
      </c>
      <c r="J1454" s="66" t="n"/>
      <c r="K1454" s="66" t="inlineStr">
        <is>
          <t>Ventas: GRANDE 3 (600.000 - 1.000.000 UF) | Empleados: 101</t>
        </is>
      </c>
      <c r="L1454" s="61" t="n"/>
      <c r="M1454" s="61" t="n"/>
      <c r="N1454" s="61" t="n"/>
      <c r="O1454" s="61" t="n"/>
      <c r="P1454" s="61" t="n"/>
      <c r="Q1454" s="62" t="n"/>
      <c r="R1454" s="61" t="n"/>
    </row>
    <row r="1455" ht="15.75" customHeight="1" s="38">
      <c r="A1455" s="66" t="inlineStr">
        <is>
          <t>Otero y Domínguez Ltda.</t>
        </is>
      </c>
      <c r="B1455" s="66" t="inlineStr">
        <is>
          <t>Aceros Antiabrasivos, Aceros Especiales</t>
        </is>
      </c>
      <c r="C1455" s="66" t="inlineStr">
        <is>
          <t>Santiago</t>
        </is>
      </c>
      <c r="D1455" s="66" t="inlineStr">
        <is>
          <t>servicioalcliente@empresasotero.cl</t>
        </is>
      </c>
      <c r="E1455" s="66" t="inlineStr">
        <is>
          <t>(56) 2 2889 6007</t>
        </is>
      </c>
      <c r="F1455" s="66" t="n"/>
      <c r="G1455" s="66" t="n"/>
      <c r="H1455" s="66" t="n"/>
      <c r="I1455" s="66" t="inlineStr">
        <is>
          <t>88.855.300-2</t>
        </is>
      </c>
      <c r="J1455" s="66" t="n"/>
      <c r="K1455" s="66" t="inlineStr">
        <is>
          <t>Ventas: GRANDE (Estimado por Empleados) | Empleados: 322</t>
        </is>
      </c>
      <c r="L1455" s="61" t="n"/>
      <c r="M1455" s="61" t="n"/>
      <c r="N1455" s="61" t="n"/>
      <c r="O1455" s="61" t="n"/>
      <c r="P1455" s="61" t="n"/>
      <c r="Q1455" s="62" t="n"/>
      <c r="R1455" s="61" t="n"/>
    </row>
    <row r="1456" ht="15.75" customHeight="1" s="38">
      <c r="A1456" s="66" t="inlineStr">
        <is>
          <t>Otic Asimet</t>
        </is>
      </c>
      <c r="B1456" s="66" t="inlineStr">
        <is>
          <t>Servicios para el Area de Personas</t>
        </is>
      </c>
      <c r="C1456" s="66" t="inlineStr">
        <is>
          <t>Santiago</t>
        </is>
      </c>
      <c r="D1456" s="66" t="inlineStr">
        <is>
          <t>oticasimet@asimet.cl</t>
        </is>
      </c>
      <c r="E1456" s="66" t="inlineStr">
        <is>
          <t>(56) 2 2421 6550</t>
        </is>
      </c>
      <c r="F1456" s="66" t="n"/>
      <c r="G1456" s="66" t="n"/>
      <c r="H1456" s="66" t="n"/>
      <c r="I1456" s="66" t="inlineStr">
        <is>
          <t>70.533.700-4</t>
        </is>
      </c>
      <c r="J1456" s="66" t="n"/>
      <c r="K1456" s="66" t="inlineStr">
        <is>
          <t>Ventas: MICRO 1 (0.01 - 200 UF) | Empleados: 20</t>
        </is>
      </c>
      <c r="L1456" s="61" t="n"/>
      <c r="M1456" s="61" t="n"/>
      <c r="N1456" s="61" t="n"/>
      <c r="O1456" s="61" t="n"/>
      <c r="P1456" s="61" t="n"/>
      <c r="Q1456" s="62" t="n"/>
      <c r="R1456" s="61" t="n"/>
    </row>
    <row r="1457" ht="15.75" customHeight="1" s="38">
      <c r="A1457" s="66" t="inlineStr">
        <is>
          <t>Otis Chile Ltda.</t>
        </is>
      </c>
      <c r="B1457" s="66" t="inlineStr">
        <is>
          <t>Ascensores</t>
        </is>
      </c>
      <c r="C1457" s="66" t="inlineStr">
        <is>
          <t>Santiago</t>
        </is>
      </c>
      <c r="D1457" s="66" t="n"/>
      <c r="E1457" s="66" t="inlineStr">
        <is>
          <t>(56) 2 2355 2132</t>
        </is>
      </c>
      <c r="F1457" s="66" t="inlineStr">
        <is>
          <t>Gerente de TI / CIO (Director de Tecnología)</t>
        </is>
      </c>
      <c r="G1457" s="66" t="n"/>
      <c r="H1457" s="66" t="n"/>
      <c r="I1457" s="66" t="inlineStr">
        <is>
          <t>96.797.340-8</t>
        </is>
      </c>
      <c r="J1457" s="66" t="n"/>
      <c r="K1457" s="66" t="inlineStr">
        <is>
          <t>Ventas: GRANDE 4 (Mas de 1.000.000 UF) | Empleados: 198</t>
        </is>
      </c>
      <c r="L1457" s="61" t="n"/>
      <c r="M1457" s="61" t="n"/>
      <c r="N1457" s="61" t="n"/>
      <c r="O1457" s="61" t="n"/>
      <c r="P1457" s="61" t="n"/>
      <c r="Q1457" s="62" t="n"/>
      <c r="R1457" s="61" t="n"/>
    </row>
    <row r="1458" ht="15.75" customHeight="1" s="38">
      <c r="A1458" s="66" t="inlineStr">
        <is>
          <t>Outrust Integrity SpA</t>
        </is>
      </c>
      <c r="B1458" s="66" t="inlineStr">
        <is>
          <t>Corrosión, Ductos Mineros</t>
        </is>
      </c>
      <c r="C1458" s="66" t="inlineStr">
        <is>
          <t>Viña del Mar</t>
        </is>
      </c>
      <c r="D1458" s="66" t="inlineStr">
        <is>
          <t>gleinenweber@outrustintegrity.cl</t>
        </is>
      </c>
      <c r="E1458" s="66" t="inlineStr">
        <is>
          <t>(56) 9 7374 1111</t>
        </is>
      </c>
      <c r="F1458" s="66" t="n"/>
      <c r="G1458" s="66" t="n"/>
      <c r="H1458" s="66" t="n"/>
      <c r="I1458" s="66" t="inlineStr">
        <is>
          <t>76.451.232-4</t>
        </is>
      </c>
      <c r="J1458" s="66" t="n"/>
      <c r="K1458" s="66" t="inlineStr">
        <is>
          <t>Ventas: PEQUEÑA 1 (2.400 - 5.000 UF) | Empleados: 1</t>
        </is>
      </c>
      <c r="L1458" s="61" t="n"/>
      <c r="M1458" s="61" t="n"/>
      <c r="N1458" s="61" t="n"/>
      <c r="O1458" s="61" t="n"/>
      <c r="P1458" s="61" t="n"/>
      <c r="Q1458" s="62" t="n"/>
      <c r="R1458" s="61" t="n"/>
    </row>
    <row r="1459" ht="15.75" customHeight="1" s="38">
      <c r="A1459" s="66" t="inlineStr">
        <is>
          <t>Overseas Logistics Chile S.A.</t>
        </is>
      </c>
      <c r="B1459" s="66" t="inlineStr">
        <is>
          <t>Transporte de Carga</t>
        </is>
      </c>
      <c r="C1459" s="66" t="inlineStr">
        <is>
          <t>Santiago</t>
        </is>
      </c>
      <c r="D1459" s="66" t="inlineStr">
        <is>
          <t>etomicic@olc.cl</t>
        </is>
      </c>
      <c r="E1459" s="66" t="inlineStr">
        <is>
          <t>(56) 2 2211 1020</t>
        </is>
      </c>
      <c r="F1459" s="66" t="n"/>
      <c r="G1459" s="66" t="n"/>
      <c r="H1459" s="66" t="n"/>
      <c r="I1459" s="66" t="inlineStr">
        <is>
          <t>76.566.000-9</t>
        </is>
      </c>
      <c r="J1459" s="66" t="n"/>
      <c r="K1459" s="66" t="inlineStr">
        <is>
          <t>Ventas: GRANDE 1 (100.000 - 200.000 UF) | Empleados: 11</t>
        </is>
      </c>
      <c r="L1459" s="61" t="n"/>
      <c r="M1459" s="61" t="n"/>
      <c r="N1459" s="61" t="n"/>
      <c r="O1459" s="61" t="n"/>
      <c r="P1459" s="61" t="n"/>
      <c r="Q1459" s="62" t="n"/>
      <c r="R1459" s="61" t="n"/>
    </row>
    <row r="1460" ht="15.75" customHeight="1" s="38">
      <c r="A1460" s="66" t="inlineStr">
        <is>
          <t>OX Medio Ambiente</t>
        </is>
      </c>
      <c r="B1460" s="66" t="inlineStr">
        <is>
          <t>Control de Plagas, Sanitización</t>
        </is>
      </c>
      <c r="C1460" s="66" t="inlineStr">
        <is>
          <t>Santiago</t>
        </is>
      </c>
      <c r="D1460" s="66" t="inlineStr">
        <is>
          <t>contacto@oxchilespa.com</t>
        </is>
      </c>
      <c r="E1460" s="66" t="inlineStr">
        <is>
          <t>(56) 9 9770 4237</t>
        </is>
      </c>
      <c r="F1460" s="66" t="n"/>
      <c r="G1460" s="66" t="n"/>
      <c r="H1460" s="66" t="n"/>
      <c r="I1460" s="66" t="inlineStr">
        <is>
          <t>76.755.682-9</t>
        </is>
      </c>
      <c r="J1460" s="66" t="n"/>
      <c r="K1460" s="66" t="inlineStr">
        <is>
          <t>Ventas: GRANDE 1 (100.000 - 200.000 UF) | Empleados: 59</t>
        </is>
      </c>
      <c r="L1460" s="61" t="n"/>
      <c r="M1460" s="61" t="n"/>
      <c r="N1460" s="61" t="n"/>
      <c r="O1460" s="61" t="n"/>
      <c r="P1460" s="61" t="n"/>
      <c r="Q1460" s="62" t="n"/>
      <c r="R1460" s="61" t="n"/>
    </row>
    <row r="1461" ht="15.75" customHeight="1" s="38">
      <c r="A1461" s="66" t="inlineStr">
        <is>
          <t>Oxiquim S.A.</t>
        </is>
      </c>
      <c r="B1461" s="66" t="inlineStr">
        <is>
          <t>Proveedor Destacado, Cianuro de Sodio, Coagulantes, Colectores, Depresores, Productos Químicos, Soda Cáustica, Solventes para SX/EW</t>
        </is>
      </c>
      <c r="C1461" s="66" t="inlineStr">
        <is>
          <t>Santiago</t>
        </is>
      </c>
      <c r="D1461" s="66" t="inlineStr">
        <is>
          <t>mineria@oxiquim.com</t>
        </is>
      </c>
      <c r="E1461" s="66" t="inlineStr">
        <is>
          <t>(56) 2 2478 8000</t>
        </is>
      </c>
      <c r="F1461" s="66" t="n"/>
      <c r="G1461" s="66" t="n"/>
      <c r="H1461" s="66" t="inlineStr">
        <is>
          <t>http://www.oxiquim.com</t>
        </is>
      </c>
      <c r="I1461" s="66" t="inlineStr">
        <is>
          <t>80.326.500-3</t>
        </is>
      </c>
      <c r="J1461" s="66" t="n"/>
      <c r="K1461" s="66" t="inlineStr">
        <is>
          <t>Ventas: GRANDE (Estimado por Empleados) | Empleados: 451</t>
        </is>
      </c>
      <c r="L1461" s="61" t="n"/>
      <c r="M1461" s="61" t="n"/>
      <c r="N1461" s="61" t="n"/>
      <c r="O1461" s="61" t="n"/>
      <c r="P1461" s="61" t="n"/>
      <c r="Q1461" s="62" t="n"/>
      <c r="R1461" s="61" t="n"/>
    </row>
    <row r="1462" ht="15.75" customHeight="1" s="38">
      <c r="A1462" s="66" t="inlineStr">
        <is>
          <t>OXY</t>
        </is>
      </c>
      <c r="B1462" s="66" t="inlineStr">
        <is>
          <t>Soda Cáustica</t>
        </is>
      </c>
      <c r="C1462" s="66" t="inlineStr">
        <is>
          <t>Santiago</t>
        </is>
      </c>
      <c r="D1462" s="66" t="n"/>
      <c r="E1462" s="66" t="inlineStr">
        <is>
          <t>(56) 2 2718 5000</t>
        </is>
      </c>
      <c r="F1462" s="66" t="n"/>
      <c r="G1462" s="66" t="n"/>
      <c r="H1462" s="66" t="n"/>
      <c r="I1462" s="66" t="inlineStr">
        <is>
          <t>93.797.000-5</t>
        </is>
      </c>
      <c r="J1462" s="66" t="n"/>
      <c r="K1462" s="66" t="inlineStr">
        <is>
          <t>Ventas: MEDIANA (Estimado por Empleados) | Empleados: 109</t>
        </is>
      </c>
      <c r="L1462" s="61" t="n"/>
      <c r="M1462" s="61" t="n"/>
      <c r="N1462" s="61" t="n"/>
      <c r="O1462" s="61" t="n"/>
      <c r="P1462" s="61" t="n"/>
      <c r="Q1462" s="62" t="n"/>
      <c r="R1462" s="61" t="n"/>
    </row>
    <row r="1463" ht="15.75" customHeight="1" s="38">
      <c r="A1463" s="66" t="inlineStr">
        <is>
          <t>P &amp; C Tecnología</t>
        </is>
      </c>
      <c r="B1463" s="66" t="inlineStr">
        <is>
          <t>Analizadores de Fallas por Ultrasonido, Ensayos no Destructivos</t>
        </is>
      </c>
      <c r="C1463" s="66" t="inlineStr">
        <is>
          <t>Concepción</t>
        </is>
      </c>
      <c r="D1463" s="66" t="inlineStr">
        <is>
          <t>ndt@pyctecnologia.cl</t>
        </is>
      </c>
      <c r="E1463" s="66" t="inlineStr">
        <is>
          <t>(56) 41 285 1354</t>
        </is>
      </c>
      <c r="F1463" s="66" t="n"/>
      <c r="G1463" s="66" t="n"/>
      <c r="H1463" s="66" t="n"/>
      <c r="I1463" s="66" t="inlineStr">
        <is>
          <t>77.720.300-2</t>
        </is>
      </c>
      <c r="J1463" s="66" t="n"/>
      <c r="K1463" s="66" t="inlineStr">
        <is>
          <t>Ventas: MEDIANA 2 (50.000 - 100.000 UF) | Empleados: 23</t>
        </is>
      </c>
      <c r="L1463" s="61" t="n"/>
      <c r="M1463" s="61" t="n"/>
      <c r="N1463" s="61" t="n"/>
      <c r="O1463" s="61" t="n"/>
      <c r="P1463" s="61" t="n"/>
      <c r="Q1463" s="62" t="n"/>
      <c r="R1463" s="61" t="n"/>
    </row>
    <row r="1464" ht="15.75" customHeight="1" s="38">
      <c r="A1464" s="66" t="inlineStr">
        <is>
          <t>P &amp; E Soluciones Industriales Ltda.</t>
        </is>
      </c>
      <c r="B1464" s="66" t="inlineStr">
        <is>
          <t>Ablandadores para Agua, Equipos para Cocinas Industriales</t>
        </is>
      </c>
      <c r="C1464" s="66" t="inlineStr">
        <is>
          <t>Santiago</t>
        </is>
      </c>
      <c r="D1464" s="66" t="inlineStr">
        <is>
          <t>ventas@grupopye.com</t>
        </is>
      </c>
      <c r="E1464" s="66" t="inlineStr">
        <is>
          <t>(56) 2 2371 0701</t>
        </is>
      </c>
      <c r="F1464" s="66" t="n"/>
      <c r="G1464" s="66" t="n"/>
      <c r="H1464" s="66" t="n"/>
      <c r="I1464" s="66" t="inlineStr">
        <is>
          <t>76.035.740-5</t>
        </is>
      </c>
      <c r="J1464" s="66" t="n"/>
      <c r="K1464" s="66" t="inlineStr">
        <is>
          <t>Ventas: GRANDE 3 (600.000 - 1.000.000 UF) | Empleados: 50</t>
        </is>
      </c>
      <c r="L1464" s="61" t="n"/>
      <c r="M1464" s="61" t="n"/>
      <c r="N1464" s="61" t="n"/>
      <c r="O1464" s="61" t="n"/>
      <c r="P1464" s="61" t="n"/>
      <c r="Q1464" s="62" t="n"/>
      <c r="R1464" s="61" t="n"/>
    </row>
    <row r="1465" ht="15.75" customHeight="1" s="38">
      <c r="A1465" s="66" t="inlineStr">
        <is>
          <t>Pacific Hydro Chile</t>
        </is>
      </c>
      <c r="B1465" s="66" t="inlineStr">
        <is>
          <t>Proyectos de Energías Renovables</t>
        </is>
      </c>
      <c r="C1465" s="66" t="inlineStr">
        <is>
          <t>Santiago</t>
        </is>
      </c>
      <c r="D1465" s="66" t="inlineStr">
        <is>
          <t>pacifichydro@pacifichydro.cl</t>
        </is>
      </c>
      <c r="E1465" s="66" t="inlineStr">
        <is>
          <t>(56) 2 2519 4200</t>
        </is>
      </c>
      <c r="F1465" s="66" t="n"/>
      <c r="G1465" s="66" t="n"/>
      <c r="H1465" s="66" t="n"/>
      <c r="I1465" s="66" t="inlineStr">
        <is>
          <t>96990040-8</t>
        </is>
      </c>
      <c r="J1465" s="66" t="n"/>
      <c r="K1465" s="66" t="inlineStr">
        <is>
          <t>Ventas: MEDIANA (Estimado por Empleados) | Empleados: 193</t>
        </is>
      </c>
      <c r="L1465" s="61" t="n"/>
      <c r="M1465" s="61" t="n"/>
      <c r="N1465" s="61" t="n"/>
      <c r="O1465" s="61" t="n"/>
      <c r="P1465" s="61" t="n"/>
      <c r="Q1465" s="62" t="n"/>
      <c r="R1465" s="61" t="n"/>
    </row>
    <row r="1466" ht="15.75" customHeight="1" s="38">
      <c r="A1466" s="66" t="inlineStr">
        <is>
          <t>Pacific Resources SpA</t>
        </is>
      </c>
      <c r="B1466" s="66" t="inlineStr">
        <is>
          <t>Productos Químicos para el Procesamiento de Metales</t>
        </is>
      </c>
      <c r="C1466" s="66" t="inlineStr">
        <is>
          <t>Santiago</t>
        </is>
      </c>
      <c r="D1466" s="66" t="inlineStr">
        <is>
          <t>infopacific@pacificresources.cl</t>
        </is>
      </c>
      <c r="E1466" s="66" t="inlineStr">
        <is>
          <t>(56) 9 9230 3234</t>
        </is>
      </c>
      <c r="F1466" s="66" t="n"/>
      <c r="G1466" s="66" t="n"/>
      <c r="H1466" s="66" t="n"/>
      <c r="I1466" s="66" t="inlineStr">
        <is>
          <t>78.062.050-1</t>
        </is>
      </c>
      <c r="J1466" s="66" t="n"/>
      <c r="K1466" s="66" t="inlineStr">
        <is>
          <t>Ventas: MEDIANA 2 (50.000 - 100.000 UF) | Empleados: 6</t>
        </is>
      </c>
      <c r="L1466" s="61" t="n"/>
      <c r="M1466" s="61" t="n"/>
      <c r="N1466" s="61" t="n"/>
      <c r="O1466" s="61" t="n"/>
      <c r="P1466" s="61" t="n"/>
      <c r="Q1466" s="62" t="n"/>
      <c r="R1466" s="61" t="n"/>
    </row>
    <row r="1467" ht="15.75" customHeight="1" s="38">
      <c r="A1467" s="66" t="inlineStr">
        <is>
          <t>Packem Chile SpA</t>
        </is>
      </c>
      <c r="B1467" s="66" t="inlineStr">
        <is>
          <t>Empaquetaduras, Envases Industriales</t>
        </is>
      </c>
      <c r="C1467" s="66" t="inlineStr">
        <is>
          <t>Santiago</t>
        </is>
      </c>
      <c r="D1467" s="66" t="n"/>
      <c r="E1467" s="66" t="inlineStr">
        <is>
          <t>(56) 9 9872 6006</t>
        </is>
      </c>
      <c r="F1467" s="66" t="n"/>
      <c r="G1467" s="66" t="n"/>
      <c r="H1467" s="66" t="n"/>
      <c r="I1467" s="66" t="inlineStr">
        <is>
          <t>77.334.678-5</t>
        </is>
      </c>
      <c r="J1467" s="66" t="n"/>
      <c r="K1467" s="66" t="inlineStr">
        <is>
          <t>Ventas: MICRO 3 (600 - 2.400 UF) | Empleados: 1</t>
        </is>
      </c>
      <c r="L1467" s="61" t="n"/>
      <c r="M1467" s="61" t="n"/>
      <c r="N1467" s="61" t="n"/>
      <c r="O1467" s="61" t="n"/>
      <c r="P1467" s="61" t="n"/>
      <c r="Q1467" s="62" t="n"/>
      <c r="R1467" s="61" t="n"/>
    </row>
    <row r="1468" ht="15.75" customHeight="1" s="38">
      <c r="A1468" s="66" t="inlineStr">
        <is>
          <t>PAH SpA</t>
        </is>
      </c>
      <c r="B1468" s="66" t="inlineStr">
        <is>
          <t>Refinadores de Grano para Cátodos de Cobre</t>
        </is>
      </c>
      <c r="C1468" s="66" t="inlineStr">
        <is>
          <t>Viña del Mar</t>
        </is>
      </c>
      <c r="D1468" s="66" t="inlineStr">
        <is>
          <t>epalacios@pah.cl</t>
        </is>
      </c>
      <c r="E1468" s="66" t="inlineStr">
        <is>
          <t>(56) 9 9438 2584</t>
        </is>
      </c>
      <c r="F1468" s="66" t="n"/>
      <c r="G1468" s="66" t="n"/>
      <c r="H1468" s="66" t="n"/>
      <c r="I1468" s="66" t="inlineStr">
        <is>
          <t>76.460.444-K</t>
        </is>
      </c>
      <c r="J1468" s="66" t="n"/>
      <c r="K1468" s="66" t="inlineStr">
        <is>
          <t>Ventas: MEDIANA 1 (25.000 - 50.000 UF) | Empleados: 1</t>
        </is>
      </c>
      <c r="L1468" s="61" t="n"/>
      <c r="M1468" s="61" t="n"/>
      <c r="N1468" s="61" t="n"/>
      <c r="O1468" s="61" t="n"/>
      <c r="P1468" s="61" t="n"/>
      <c r="Q1468" s="62" t="n"/>
      <c r="R1468" s="61" t="n"/>
    </row>
    <row r="1469" ht="15.75" customHeight="1" s="38">
      <c r="A1469" s="66" t="inlineStr">
        <is>
          <t>PAR Servicios Integrales S.A.</t>
        </is>
      </c>
      <c r="B1469" s="66" t="inlineStr">
        <is>
          <t>Servicios de Negociación entre Empresas</t>
        </is>
      </c>
      <c r="C1469" s="66" t="inlineStr">
        <is>
          <t>Santiago</t>
        </is>
      </c>
      <c r="D1469" s="66" t="inlineStr">
        <is>
          <t>contactenos@parservicios.com</t>
        </is>
      </c>
      <c r="E1469" s="66" t="inlineStr">
        <is>
          <t>(56) 9 5450 2080</t>
        </is>
      </c>
      <c r="F1469" s="66" t="n"/>
      <c r="G1469" s="66" t="n"/>
      <c r="H1469" s="66" t="n"/>
      <c r="I1469" s="66" t="inlineStr">
        <is>
          <t>77086276-0</t>
        </is>
      </c>
      <c r="J1469" s="66" t="n"/>
      <c r="K1469" s="66" t="inlineStr">
        <is>
          <t>Ventas: MICRO 1 (0.01 - 200 UF) | Empleados: 0</t>
        </is>
      </c>
      <c r="L1469" s="61" t="n"/>
      <c r="M1469" s="61" t="n"/>
      <c r="N1469" s="61" t="n"/>
      <c r="O1469" s="61" t="n"/>
      <c r="P1469" s="61" t="n"/>
      <c r="Q1469" s="62" t="n"/>
      <c r="R1469" s="61" t="n"/>
    </row>
    <row r="1470" ht="15.75" customHeight="1" s="38">
      <c r="A1470" s="66" t="inlineStr">
        <is>
          <t>Parker Hannifin Corporation Chile</t>
        </is>
      </c>
      <c r="B1470" s="66" t="inlineStr">
        <is>
          <t>Equipos para la Minería</t>
        </is>
      </c>
      <c r="C1470" s="66" t="inlineStr">
        <is>
          <t>Santiago</t>
        </is>
      </c>
      <c r="D1470" s="66" t="inlineStr">
        <is>
          <t>support.chile@parker.com</t>
        </is>
      </c>
      <c r="E1470" s="66" t="inlineStr">
        <is>
          <t>(56) 2 2303 9640</t>
        </is>
      </c>
      <c r="F1470" s="66" t="inlineStr">
        <is>
          <t>Gerente de TI / CIO (Director de Tecnología)</t>
        </is>
      </c>
      <c r="G1470" s="66" t="n"/>
      <c r="H1470" s="66" t="n"/>
      <c r="I1470" s="66" t="inlineStr">
        <is>
          <t>77.343.790-4</t>
        </is>
      </c>
      <c r="J1470" s="66" t="n"/>
      <c r="K1470" s="66" t="inlineStr">
        <is>
          <t>Ventas: GRANDE 3 (600.000 - 1.000.000 UF) | Empleados: 37</t>
        </is>
      </c>
      <c r="L1470" s="61" t="n"/>
      <c r="M1470" s="61" t="n"/>
      <c r="N1470" s="61" t="n"/>
      <c r="O1470" s="61" t="n"/>
      <c r="P1470" s="61" t="n"/>
      <c r="Q1470" s="62" t="n"/>
      <c r="R1470" s="61" t="n"/>
    </row>
    <row r="1471" ht="15.75" customHeight="1" s="38">
      <c r="A1471" s="66" t="inlineStr">
        <is>
          <t>Parts Supply Ltda.</t>
        </is>
      </c>
      <c r="B1471" s="66" t="inlineStr">
        <is>
          <t>Componentes para Equipos Mineros, Revestimientos para Chancadores</t>
        </is>
      </c>
      <c r="C1471" s="66" t="inlineStr">
        <is>
          <t>Antofagasta</t>
        </is>
      </c>
      <c r="D1471" s="66" t="inlineStr">
        <is>
          <t>ventasmineras02@partssupply.cl</t>
        </is>
      </c>
      <c r="E1471" s="66" t="inlineStr">
        <is>
          <t>(56) 55 255 6016</t>
        </is>
      </c>
      <c r="F1471" s="66" t="n"/>
      <c r="G1471" s="66" t="n"/>
      <c r="H1471" s="66" t="n"/>
      <c r="I1471" s="66" t="inlineStr">
        <is>
          <t>76.270.940-6</t>
        </is>
      </c>
      <c r="J1471" s="66" t="n"/>
      <c r="K1471" s="66" t="inlineStr">
        <is>
          <t>Ventas: MEDIANA 2 (50.000 - 100.000 UF) | Empleados: 25</t>
        </is>
      </c>
      <c r="L1471" s="61" t="n"/>
      <c r="M1471" s="61" t="n"/>
      <c r="N1471" s="61" t="n"/>
      <c r="O1471" s="61" t="n"/>
      <c r="P1471" s="61" t="n"/>
      <c r="Q1471" s="62" t="n"/>
      <c r="R1471" s="61" t="n"/>
    </row>
    <row r="1472" ht="15.75" customHeight="1" s="38">
      <c r="A1472" s="66" t="inlineStr">
        <is>
          <t>Patel Ltda.</t>
        </is>
      </c>
      <c r="B1472" s="66" t="inlineStr">
        <is>
          <t>Adhesivos Químicos</t>
        </is>
      </c>
      <c r="C1472" s="66" t="inlineStr">
        <is>
          <t>Santiago</t>
        </is>
      </c>
      <c r="D1472" s="66" t="inlineStr">
        <is>
          <t>info@patel.cl</t>
        </is>
      </c>
      <c r="E1472" s="66" t="inlineStr">
        <is>
          <t>(56) 2 2856 5500</t>
        </is>
      </c>
      <c r="F1472" s="66" t="n"/>
      <c r="G1472" s="66" t="n"/>
      <c r="H1472" s="66" t="n"/>
      <c r="I1472" s="66" t="inlineStr">
        <is>
          <t>76.013.880-0</t>
        </is>
      </c>
      <c r="J1472" s="66" t="n"/>
      <c r="K1472" s="66" t="inlineStr">
        <is>
          <t>Ventas: GRANDE 1 (100.000 - 200.000 UF) | Empleados: 28</t>
        </is>
      </c>
      <c r="L1472" s="61" t="n"/>
      <c r="M1472" s="61" t="n"/>
      <c r="N1472" s="61" t="n"/>
      <c r="O1472" s="61" t="n"/>
      <c r="P1472" s="61" t="n"/>
      <c r="Q1472" s="62" t="n"/>
      <c r="R1472" s="61" t="n"/>
    </row>
    <row r="1473" ht="15.75" customHeight="1" s="38">
      <c r="A1473" s="66" t="inlineStr">
        <is>
          <t>Paterson Cooke Chile</t>
        </is>
      </c>
      <c r="B1473" s="66" t="inlineStr">
        <is>
          <t>Desaguado de Relaves (clasificación, espesamiento, filtrado), Relaves No Convencionales (espesados, en pasta, filtrados), Relleno de Minas (backfill)</t>
        </is>
      </c>
      <c r="C1473" s="66" t="inlineStr">
        <is>
          <t>Santiago</t>
        </is>
      </c>
      <c r="D1473" s="66" t="inlineStr">
        <is>
          <t>santiago@patersoncooke.com</t>
        </is>
      </c>
      <c r="E1473" s="66" t="inlineStr">
        <is>
          <t>(56) 2 3293 8300</t>
        </is>
      </c>
      <c r="F1473" s="66" t="n"/>
      <c r="G1473" s="66" t="n"/>
      <c r="H1473" s="66" t="n"/>
      <c r="I1473" s="66" t="inlineStr">
        <is>
          <t>76.328.960-5</t>
        </is>
      </c>
      <c r="J1473" s="66" t="n"/>
      <c r="K1473" s="66" t="inlineStr">
        <is>
          <t>Ventas: GRANDE 1 (100.000 - 200.000 UF) | Empleados: 47</t>
        </is>
      </c>
      <c r="L1473" s="61" t="n"/>
      <c r="M1473" s="61" t="n"/>
      <c r="N1473" s="61" t="n"/>
      <c r="O1473" s="61" t="n"/>
      <c r="P1473" s="61" t="n"/>
      <c r="Q1473" s="62" t="n"/>
      <c r="R1473" s="61" t="n"/>
    </row>
    <row r="1474" ht="15.75" customHeight="1" s="38">
      <c r="A1474" s="66" t="inlineStr">
        <is>
          <t>Patiño y Compañía SpA</t>
        </is>
      </c>
      <c r="B1474" s="66" t="inlineStr">
        <is>
          <t>Recubrimientos de Poliuretano, Revestimientos Anticorrosivos</t>
        </is>
      </c>
      <c r="C1474" s="66" t="inlineStr">
        <is>
          <t>Santiago</t>
        </is>
      </c>
      <c r="D1474" s="66" t="inlineStr">
        <is>
          <t>ventas@patinoycia.cl</t>
        </is>
      </c>
      <c r="E1474" s="66" t="inlineStr">
        <is>
          <t>(56) 2 2283 6975</t>
        </is>
      </c>
      <c r="F1474" s="66" t="n"/>
      <c r="G1474" s="66" t="n"/>
      <c r="H1474" s="66" t="n"/>
      <c r="I1474" s="66" t="inlineStr">
        <is>
          <t>76.030.945-1</t>
        </is>
      </c>
      <c r="J1474" s="66" t="n"/>
      <c r="K1474" s="66" t="inlineStr">
        <is>
          <t>Ventas: MEDIANA 1 (25.000 - 50.000 UF) | Empleados: 6</t>
        </is>
      </c>
      <c r="L1474" s="61" t="n"/>
      <c r="M1474" s="61" t="n"/>
      <c r="N1474" s="61" t="n"/>
      <c r="O1474" s="61" t="n"/>
      <c r="P1474" s="61" t="n"/>
      <c r="Q1474" s="62" t="n"/>
      <c r="R1474" s="61" t="n"/>
    </row>
    <row r="1475" ht="15.75" customHeight="1" s="38">
      <c r="A1475" s="66" t="inlineStr">
        <is>
          <t>Pcelectric S.A.</t>
        </is>
      </c>
      <c r="B1475" s="66" t="inlineStr">
        <is>
          <t>Conductores para Líneas de Transmisión, Seguridad Eléctrica</t>
        </is>
      </c>
      <c r="C1475" s="66" t="inlineStr">
        <is>
          <t>Santiago</t>
        </is>
      </c>
      <c r="D1475" s="66" t="inlineStr">
        <is>
          <t>ventas2@pcelectric.cl</t>
        </is>
      </c>
      <c r="E1475" s="66" t="inlineStr">
        <is>
          <t>(56) 2 2957 4343</t>
        </is>
      </c>
      <c r="F1475" s="66" t="n"/>
      <c r="G1475" s="66" t="n"/>
      <c r="H1475" s="66" t="n"/>
      <c r="I1475" s="66" t="inlineStr">
        <is>
          <t>77.712.750-0</t>
        </is>
      </c>
      <c r="J1475" s="66" t="n"/>
      <c r="K1475" s="66" t="inlineStr">
        <is>
          <t>Ventas: GRANDE 1 (100.000 - 200.000 UF) | Empleados: 13</t>
        </is>
      </c>
      <c r="L1475" s="61" t="n"/>
      <c r="M1475" s="61" t="n"/>
      <c r="N1475" s="61" t="n"/>
      <c r="O1475" s="61" t="n"/>
      <c r="P1475" s="61" t="n"/>
      <c r="Q1475" s="62" t="n"/>
      <c r="R1475" s="61" t="n"/>
    </row>
    <row r="1476" ht="15.75" customHeight="1" s="38">
      <c r="A1476" s="66" t="inlineStr">
        <is>
          <t>Perfimet S.A.</t>
        </is>
      </c>
      <c r="B1476" s="66" t="inlineStr">
        <is>
          <t>Tubos de Acero</t>
        </is>
      </c>
      <c r="C1476" s="66" t="inlineStr">
        <is>
          <t>Santiago</t>
        </is>
      </c>
      <c r="D1476" s="66" t="inlineStr">
        <is>
          <t>atencionclientes@perfimet.cl</t>
        </is>
      </c>
      <c r="E1476" s="66" t="inlineStr">
        <is>
          <t>(56) 2 2757 8600</t>
        </is>
      </c>
      <c r="F1476" s="66" t="n"/>
      <c r="G1476" s="66" t="n"/>
      <c r="H1476" s="66" t="n"/>
      <c r="I1476" s="66" t="inlineStr">
        <is>
          <t>96.854.790-9</t>
        </is>
      </c>
      <c r="J1476" s="66" t="n"/>
      <c r="K1476" s="66" t="inlineStr">
        <is>
          <t>Ventas: GRANDE (Estimado por Empleados) | Empleados: 296</t>
        </is>
      </c>
      <c r="L1476" s="61" t="n"/>
      <c r="M1476" s="61" t="n"/>
      <c r="N1476" s="61" t="n"/>
      <c r="O1476" s="61" t="n"/>
      <c r="P1476" s="61" t="n"/>
      <c r="Q1476" s="62" t="n"/>
      <c r="R1476" s="61" t="n"/>
    </row>
    <row r="1477" ht="15.75" customHeight="1" s="38">
      <c r="A1477" s="66" t="inlineStr">
        <is>
          <t>Perfofer, Ferretería del Perforador</t>
        </is>
      </c>
      <c r="B1477" s="66" t="inlineStr">
        <is>
          <t>Bits para Perforaciones, Repuestos para Equipos de Perforación</t>
        </is>
      </c>
      <c r="C1477" s="66" t="inlineStr">
        <is>
          <t>Santiago</t>
        </is>
      </c>
      <c r="D1477" s="66" t="inlineStr">
        <is>
          <t>contacto@perfofer.cl</t>
        </is>
      </c>
      <c r="E1477" s="66" t="inlineStr">
        <is>
          <t>(56) 9 7610 3134</t>
        </is>
      </c>
      <c r="F1477" s="66" t="n"/>
      <c r="G1477" s="66" t="n"/>
      <c r="H1477" s="66" t="n"/>
      <c r="I1477" s="66" t="inlineStr">
        <is>
          <t>77.213.285-7</t>
        </is>
      </c>
      <c r="J1477" s="66" t="n"/>
      <c r="K1477" s="66" t="inlineStr">
        <is>
          <t>Ventas: MICRO 3 (600 - 2.400 UF) | Empleados: 0</t>
        </is>
      </c>
      <c r="L1477" s="61" t="n"/>
      <c r="M1477" s="61" t="n"/>
      <c r="N1477" s="61" t="n"/>
      <c r="O1477" s="61" t="n"/>
      <c r="P1477" s="61" t="n"/>
      <c r="Q1477" s="62" t="n"/>
      <c r="R1477" s="61" t="n"/>
    </row>
    <row r="1478" ht="15.75" customHeight="1" s="38">
      <c r="A1478" s="59" t="inlineStr">
        <is>
          <t>Perforock</t>
        </is>
      </c>
      <c r="B1478" s="59" t="inlineStr">
        <is>
          <t>Aceros para Perforación, Arriendo de Equipos para la Minería, Equipos para Perforación</t>
        </is>
      </c>
      <c r="C1478" s="59" t="inlineStr">
        <is>
          <t>Santiago</t>
        </is>
      </c>
      <c r="D1478" s="59" t="inlineStr">
        <is>
          <t>contacto@perforock.com</t>
        </is>
      </c>
      <c r="E1478" s="59" t="inlineStr">
        <is>
          <t>(56) 2 2617 2380</t>
        </is>
      </c>
      <c r="F1478" s="59" t="inlineStr">
        <is>
          <t>Patricio Reinoso (Gerente General)</t>
        </is>
      </c>
      <c r="G1478" s="59" t="n"/>
      <c r="H1478" s="59" t="n"/>
      <c r="I1478" s="59" t="inlineStr">
        <is>
          <t>79.511.120-4</t>
        </is>
      </c>
      <c r="J1478" s="59" t="inlineStr">
        <is>
          <t>Monitoreo Remoto Perforación</t>
        </is>
      </c>
      <c r="K1478" s="59" t="inlineStr">
        <is>
          <t>Ventas: GRANDE 2 (200.000 - 600.000 UF) | Empleados: 36</t>
        </is>
      </c>
      <c r="L1478" s="61" t="n"/>
      <c r="M1478" s="61" t="n"/>
      <c r="N1478" s="61" t="n"/>
      <c r="O1478" s="61" t="n"/>
      <c r="P1478" s="61" t="n"/>
      <c r="Q1478" s="62" t="n"/>
      <c r="R1478" s="61" t="n"/>
    </row>
    <row r="1479" ht="15.75" customHeight="1" s="38">
      <c r="A1479" s="66" t="inlineStr">
        <is>
          <t>Peri Chile Ltda.</t>
        </is>
      </c>
      <c r="B1479" s="66" t="inlineStr">
        <is>
          <t>Andamios, Encofrados, Plataformas para Trabajo en Altura</t>
        </is>
      </c>
      <c r="C1479" s="66" t="inlineStr">
        <is>
          <t>Santiago</t>
        </is>
      </c>
      <c r="D1479" s="66" t="inlineStr">
        <is>
          <t>peri.chile@peri.cl</t>
        </is>
      </c>
      <c r="E1479" s="66" t="inlineStr">
        <is>
          <t>(56) 2 2444 6000</t>
        </is>
      </c>
      <c r="F1479" s="66" t="inlineStr">
        <is>
          <t>Gerente de TI / CIO (Director de Tecnología)</t>
        </is>
      </c>
      <c r="G1479" s="66" t="n"/>
      <c r="H1479" s="66" t="n"/>
      <c r="I1479" s="66" t="inlineStr">
        <is>
          <t>78.874.090-5</t>
        </is>
      </c>
      <c r="J1479" s="66" t="n"/>
      <c r="K1479" s="66" t="inlineStr">
        <is>
          <t>Ventas: GRANDE 4 (Mas de 1.000.000 UF) | Empleados: 205</t>
        </is>
      </c>
      <c r="L1479" s="61" t="n"/>
      <c r="M1479" s="61" t="n"/>
      <c r="N1479" s="61" t="n"/>
      <c r="O1479" s="61" t="n"/>
      <c r="P1479" s="61" t="n"/>
      <c r="Q1479" s="62" t="n"/>
      <c r="R1479" s="61" t="n"/>
    </row>
    <row r="1480" ht="15.75" customHeight="1" s="38">
      <c r="A1480" s="59" t="inlineStr">
        <is>
          <t>Pernostock Ltda.</t>
        </is>
      </c>
      <c r="B1480" s="59" t="inlineStr">
        <is>
          <t>Aceros Especiales, Artículos para Fijación y Sujeción</t>
        </is>
      </c>
      <c r="C1480" s="59" t="inlineStr">
        <is>
          <t>Santiago</t>
        </is>
      </c>
      <c r="D1480" s="59" t="inlineStr">
        <is>
          <t>ventas@pernostock.cl</t>
        </is>
      </c>
      <c r="E1480" s="59" t="inlineStr">
        <is>
          <t>(56) 2 2636 6100</t>
        </is>
      </c>
      <c r="F1480" s="59" t="inlineStr">
        <is>
          <t>Alberto Harrison (General Manager)</t>
        </is>
      </c>
      <c r="G1480" s="59" t="n"/>
      <c r="H1480" s="59" t="n"/>
      <c r="I1480" s="59" t="inlineStr">
        <is>
          <t>78.012.550-0</t>
        </is>
      </c>
      <c r="J1480" s="59" t="inlineStr">
        <is>
          <t>Upgrade WMS Control Stock Especializado</t>
        </is>
      </c>
      <c r="K1480" s="59" t="inlineStr">
        <is>
          <t>Ventas: GRANDE 2 (200.000 - 600.000 UF) | Empleados: 51</t>
        </is>
      </c>
      <c r="L1480" s="61" t="n"/>
      <c r="M1480" s="61" t="n"/>
      <c r="N1480" s="61" t="n"/>
      <c r="O1480" s="61" t="n"/>
      <c r="P1480" s="61" t="n"/>
      <c r="Q1480" s="62" t="n"/>
      <c r="R1480" s="61" t="n"/>
    </row>
    <row r="1481" ht="15.75" customHeight="1" s="38">
      <c r="A1481" s="59" t="inlineStr">
        <is>
          <t>Pesamatic S.A.</t>
        </is>
      </c>
      <c r="B1481" s="59" t="inlineStr">
        <is>
          <t>Automatización Industrial, Básculas</t>
        </is>
      </c>
      <c r="C1481" s="59" t="inlineStr">
        <is>
          <t>Santiago</t>
        </is>
      </c>
      <c r="D1481" s="59" t="inlineStr">
        <is>
          <t>ventas@pesamatic.cl</t>
        </is>
      </c>
      <c r="E1481" s="59" t="inlineStr">
        <is>
          <t>(56) 2 2790 4000</t>
        </is>
      </c>
      <c r="F1481" s="59" t="inlineStr">
        <is>
          <t>Carlos Cortés (Jefe Post Venta)</t>
        </is>
      </c>
      <c r="G1481" s="59" t="n"/>
      <c r="H1481" s="59" t="n"/>
      <c r="I1481" s="59" t="inlineStr">
        <is>
          <t>80.975.200-3</t>
        </is>
      </c>
      <c r="J1481" s="59" t="inlineStr">
        <is>
          <t>Automatización Pesaje Industrial</t>
        </is>
      </c>
      <c r="K1481" s="59" t="inlineStr">
        <is>
          <t>Ventas: GRANDE 2 (200.000 - 600.000 UF) | Empleados: 137</t>
        </is>
      </c>
      <c r="L1481" s="61" t="n"/>
      <c r="M1481" s="61" t="n"/>
      <c r="N1481" s="61" t="n"/>
      <c r="O1481" s="61" t="n"/>
      <c r="P1481" s="61" t="n"/>
      <c r="Q1481" s="62" t="n"/>
      <c r="R1481" s="61" t="n"/>
    </row>
    <row r="1482" ht="15.75" customHeight="1" s="38">
      <c r="A1482" s="66" t="inlineStr">
        <is>
          <t>Pesco S.A.</t>
        </is>
      </c>
      <c r="B1482" s="66" t="inlineStr">
        <is>
          <t>Vehículos Motorizados</t>
        </is>
      </c>
      <c r="C1482" s="66" t="inlineStr">
        <is>
          <t>Santiago</t>
        </is>
      </c>
      <c r="D1482" s="66" t="inlineStr">
        <is>
          <t>ventas@pesco.cl</t>
        </is>
      </c>
      <c r="E1482" s="66" t="inlineStr">
        <is>
          <t>(56) 2 3241 8900</t>
        </is>
      </c>
      <c r="F1482" s="66" t="n"/>
      <c r="G1482" s="66" t="n"/>
      <c r="H1482" s="66" t="n"/>
      <c r="I1482" s="66" t="inlineStr">
        <is>
          <t>96.877.150-7</t>
        </is>
      </c>
      <c r="J1482" s="66" t="n"/>
      <c r="K1482" s="66" t="inlineStr">
        <is>
          <t>Ventas: GRANDE (Estimado por Empleados) | Empleados: 263</t>
        </is>
      </c>
      <c r="L1482" s="61" t="n"/>
      <c r="M1482" s="61" t="n"/>
      <c r="N1482" s="61" t="n"/>
      <c r="O1482" s="61" t="n"/>
      <c r="P1482" s="61" t="n"/>
      <c r="Q1482" s="62" t="n"/>
      <c r="R1482" s="61" t="n"/>
    </row>
    <row r="1483" ht="15.75" customHeight="1" s="38">
      <c r="A1483" s="66" t="inlineStr">
        <is>
          <t>Petricio Industrial S.A.</t>
        </is>
      </c>
      <c r="B1483" s="66" t="inlineStr">
        <is>
          <t>Calderería</t>
        </is>
      </c>
      <c r="C1483" s="66" t="inlineStr">
        <is>
          <t>Santiago</t>
        </is>
      </c>
      <c r="D1483" s="66" t="inlineStr">
        <is>
          <t>petricio@petricio.cl</t>
        </is>
      </c>
      <c r="E1483" s="66" t="inlineStr">
        <is>
          <t>(56) 2 2623 0117</t>
        </is>
      </c>
      <c r="F1483" s="66" t="inlineStr">
        <is>
          <t>Gerente de TI / CIO (Director de Tecnología)</t>
        </is>
      </c>
      <c r="G1483" s="66" t="n"/>
      <c r="H1483" s="66" t="n"/>
      <c r="I1483" s="66" t="inlineStr">
        <is>
          <t>96.048.000-7</t>
        </is>
      </c>
      <c r="J1483" s="66" t="n"/>
      <c r="K1483" s="66" t="inlineStr">
        <is>
          <t>Ventas: GRANDE 3 (600.000 - 1.000.000 UF) | Empleados: 313</t>
        </is>
      </c>
      <c r="L1483" s="61" t="n"/>
      <c r="M1483" s="61" t="n"/>
      <c r="N1483" s="61" t="n"/>
      <c r="O1483" s="61" t="n"/>
      <c r="P1483" s="61" t="n"/>
      <c r="Q1483" s="62" t="n"/>
      <c r="R1483" s="61" t="n"/>
    </row>
    <row r="1484" ht="15.75" customHeight="1" s="38">
      <c r="A1484" s="66" t="inlineStr">
        <is>
          <t>Petrinovic Centro de Evaluaciones</t>
        </is>
      </c>
      <c r="B1484" s="66" t="inlineStr">
        <is>
          <t>Control de Conducción de Vehículos, Equipos para Certificación de Conducción</t>
        </is>
      </c>
      <c r="C1484" s="66" t="inlineStr">
        <is>
          <t>Santiago</t>
        </is>
      </c>
      <c r="D1484" s="66" t="inlineStr">
        <is>
          <t>evaluaciones@petrinovic.cl</t>
        </is>
      </c>
      <c r="E1484" s="66" t="inlineStr">
        <is>
          <t>(56) 2 2204 6157</t>
        </is>
      </c>
      <c r="F1484" s="66" t="n"/>
      <c r="G1484" s="66" t="n"/>
      <c r="H1484" s="66" t="n"/>
      <c r="I1484" s="66" t="inlineStr">
        <is>
          <t>79.534.260-5</t>
        </is>
      </c>
      <c r="J1484" s="66" t="n"/>
      <c r="K1484" s="66" t="inlineStr">
        <is>
          <t>Ventas: GRANDE 1 (100.000 - 200.000 UF) | Empleados: 30</t>
        </is>
      </c>
      <c r="L1484" s="61" t="n"/>
      <c r="M1484" s="61" t="n"/>
      <c r="N1484" s="61" t="n"/>
      <c r="O1484" s="61" t="n"/>
      <c r="P1484" s="61" t="n"/>
      <c r="Q1484" s="62" t="n"/>
      <c r="R1484" s="61" t="n"/>
    </row>
    <row r="1485" ht="15.75" customHeight="1" s="38">
      <c r="A1485" s="66" t="inlineStr">
        <is>
          <t>Petroflex</t>
        </is>
      </c>
      <c r="B1485" s="66" t="inlineStr">
        <is>
          <t>Tuberías en HDPE</t>
        </is>
      </c>
      <c r="C1485" s="66" t="inlineStr">
        <is>
          <t>Santiago</t>
        </is>
      </c>
      <c r="D1485" s="66" t="inlineStr">
        <is>
          <t>ventas@petroflex.cl</t>
        </is>
      </c>
      <c r="E1485" s="66" t="inlineStr">
        <is>
          <t>(56) 2 2482 6400</t>
        </is>
      </c>
      <c r="F1485" s="66" t="inlineStr">
        <is>
          <t>Gerente de TI / CIO (Director de Tecnología)</t>
        </is>
      </c>
      <c r="G1485" s="66" t="n"/>
      <c r="H1485" s="66" t="n"/>
      <c r="I1485" s="66" t="inlineStr">
        <is>
          <t>96.832.300-8</t>
        </is>
      </c>
      <c r="J1485" s="66" t="n"/>
      <c r="K1485" s="66" t="inlineStr">
        <is>
          <t>Ventas: GRANDE 4 (Mas de 1.000.000 UF) | Empleados: 168</t>
        </is>
      </c>
      <c r="L1485" s="61" t="n"/>
      <c r="M1485" s="61" t="n"/>
      <c r="N1485" s="61" t="n"/>
      <c r="O1485" s="61" t="n"/>
      <c r="P1485" s="61" t="n"/>
      <c r="Q1485" s="62" t="n"/>
      <c r="R1485" s="61" t="n"/>
    </row>
    <row r="1486" ht="15.75" customHeight="1" s="38">
      <c r="A1486" s="66" t="inlineStr">
        <is>
          <t>Petroline S.A.</t>
        </is>
      </c>
      <c r="B1486" s="66" t="inlineStr">
        <is>
          <t>Accesorios para Combustibles</t>
        </is>
      </c>
      <c r="C1486" s="66" t="inlineStr">
        <is>
          <t>Peñaflor</t>
        </is>
      </c>
      <c r="D1486" s="66" t="inlineStr">
        <is>
          <t>petroline@petroline.cl</t>
        </is>
      </c>
      <c r="E1486" s="66" t="inlineStr">
        <is>
          <t>(56) 2 2819 0103</t>
        </is>
      </c>
      <c r="F1486" s="66" t="n"/>
      <c r="G1486" s="66" t="n"/>
      <c r="H1486" s="66" t="n"/>
      <c r="I1486" s="66" t="inlineStr">
        <is>
          <t>76.150.004-K</t>
        </is>
      </c>
      <c r="J1486" s="66" t="n"/>
      <c r="K1486" s="66" t="inlineStr">
        <is>
          <t>Ventas: GRANDE 2 (200.000 - 600.000 UF) | Empleados: 22</t>
        </is>
      </c>
      <c r="L1486" s="61" t="n"/>
      <c r="M1486" s="61" t="n"/>
      <c r="N1486" s="61" t="n"/>
      <c r="O1486" s="61" t="n"/>
      <c r="P1486" s="61" t="n"/>
      <c r="Q1486" s="62" t="n"/>
      <c r="R1486" s="61" t="n"/>
    </row>
    <row r="1487" ht="15.75" customHeight="1" s="38">
      <c r="A1487" s="66" t="inlineStr">
        <is>
          <t>Petromin</t>
        </is>
      </c>
      <c r="B1487" s="66" t="inlineStr">
        <is>
          <t>Equipos para Carguío de Combustibles, Equipos para Lubricación</t>
        </is>
      </c>
      <c r="C1487" s="66" t="inlineStr">
        <is>
          <t>Santiago</t>
        </is>
      </c>
      <c r="D1487" s="66" t="inlineStr">
        <is>
          <t>petromin@petromin.cl</t>
        </is>
      </c>
      <c r="E1487" s="66" t="inlineStr">
        <is>
          <t>(56) 2 2634 7400</t>
        </is>
      </c>
      <c r="F1487" s="66" t="n"/>
      <c r="G1487" s="66" t="n"/>
      <c r="H1487" s="66" t="n"/>
      <c r="I1487" s="66" t="inlineStr">
        <is>
          <t>77.236.510-1</t>
        </is>
      </c>
      <c r="J1487" s="66" t="n"/>
      <c r="K1487" s="66" t="inlineStr">
        <is>
          <t>Ventas: GRANDE 1 (100.000 - 200.000 UF) | Empleados: 14</t>
        </is>
      </c>
      <c r="L1487" s="61" t="n"/>
      <c r="M1487" s="61" t="n"/>
      <c r="N1487" s="61" t="n"/>
      <c r="O1487" s="61" t="n"/>
      <c r="P1487" s="61" t="n"/>
      <c r="Q1487" s="62" t="n"/>
      <c r="R1487" s="61" t="n"/>
    </row>
    <row r="1488" ht="15.75" customHeight="1" s="38">
      <c r="A1488" s="66" t="inlineStr">
        <is>
          <t>Pfenniger</t>
        </is>
      </c>
      <c r="B1488" s="66" t="inlineStr">
        <is>
          <t>Torres para Enfriamiento</t>
        </is>
      </c>
      <c r="C1488" s="66" t="inlineStr">
        <is>
          <t>Santiago</t>
        </is>
      </c>
      <c r="D1488" s="66" t="inlineStr">
        <is>
          <t>mailbox@pfenniger.cl</t>
        </is>
      </c>
      <c r="E1488" s="66" t="inlineStr">
        <is>
          <t>(56) 2 2963 3500</t>
        </is>
      </c>
      <c r="F1488" s="66" t="n"/>
      <c r="G1488" s="66" t="n"/>
      <c r="H1488" s="66" t="n"/>
      <c r="I1488" s="66" t="inlineStr">
        <is>
          <t>91.632.000-0</t>
        </is>
      </c>
      <c r="J1488" s="66" t="n"/>
      <c r="K1488" s="66" t="inlineStr">
        <is>
          <t>Ventas: MEDIANA 2 (50.000 - 100.000 UF) | Empleados: 14</t>
        </is>
      </c>
      <c r="L1488" s="61" t="n"/>
      <c r="M1488" s="61" t="n"/>
      <c r="N1488" s="61" t="n"/>
      <c r="O1488" s="61" t="n"/>
      <c r="P1488" s="61" t="n"/>
      <c r="Q1488" s="62" t="n"/>
      <c r="R1488" s="61" t="n"/>
    </row>
    <row r="1489" ht="15.75" customHeight="1" s="38">
      <c r="A1489" s="66" t="inlineStr">
        <is>
          <t>PGIC</t>
        </is>
      </c>
      <c r="B1489" s="66" t="inlineStr">
        <is>
          <t>Bombas Autocebantes, Bombas Centrifugas de Pulpa Mineral, Bombas Centrifugas Horizontales para Procesos en General, Bombas de Desplazamiento Positivo, Bombas de Pozo Profundo, Bombas para Dosificación, Bombas Sumergibles para Dewatering de Agua y Fluidos con Sólidos, Bombas Verticales para Bombeo de Fluidos con Sólidos y Fluidos Limpios</t>
        </is>
      </c>
      <c r="C1489" s="66" t="inlineStr">
        <is>
          <t>Santiago</t>
        </is>
      </c>
      <c r="D1489" s="66" t="inlineStr">
        <is>
          <t>ventas@pgic.cl</t>
        </is>
      </c>
      <c r="E1489" s="66" t="inlineStr">
        <is>
          <t>(56) 2 2496 9700</t>
        </is>
      </c>
      <c r="F1489" s="66" t="inlineStr">
        <is>
          <t>Gerente de TI / CIO (Director de Tecnología)</t>
        </is>
      </c>
      <c r="G1489" s="66" t="n"/>
      <c r="H1489" s="66" t="inlineStr">
        <is>
          <t>http://www.pgic.cl</t>
        </is>
      </c>
      <c r="I1489" s="66" t="inlineStr">
        <is>
          <t>78.110.590-2</t>
        </is>
      </c>
      <c r="J1489" s="66" t="n"/>
      <c r="K1489" s="66" t="inlineStr">
        <is>
          <t>Ventas: GRANDE 4 (Mas de 1.000.000 UF) | Empleados: 165</t>
        </is>
      </c>
      <c r="L1489" s="61" t="n"/>
      <c r="M1489" s="61" t="n"/>
      <c r="N1489" s="61" t="n"/>
      <c r="O1489" s="61" t="n"/>
      <c r="P1489" s="61" t="n"/>
      <c r="Q1489" s="62" t="n"/>
      <c r="R1489" s="61" t="n"/>
    </row>
    <row r="1490" ht="15.75" customHeight="1" s="38">
      <c r="A1490" s="59" t="inlineStr">
        <is>
          <t>Phoenix Contact Chile S.A.</t>
        </is>
      </c>
      <c r="B1490" s="59" t="inlineStr">
        <is>
          <t>Automatización, Conectores Eléctricos</t>
        </is>
      </c>
      <c r="C1490" s="59" t="inlineStr">
        <is>
          <t>Santiago</t>
        </is>
      </c>
      <c r="D1490" s="59" t="inlineStr">
        <is>
          <t>info@phoenixcontact.cl</t>
        </is>
      </c>
      <c r="E1490" s="59" t="inlineStr">
        <is>
          <t>(56) 2 2652 2000</t>
        </is>
      </c>
      <c r="F1490" s="59" t="inlineStr">
        <is>
          <t>Eduardo Tapia (Tech Lead / Product Manager)</t>
        </is>
      </c>
      <c r="G1490" s="59" t="inlineStr">
        <is>
          <t>etapia@phoenixcontact.cl</t>
        </is>
      </c>
      <c r="H1490" s="59" t="n"/>
      <c r="I1490" s="59" t="inlineStr">
        <is>
          <t>76.445.140-6</t>
        </is>
      </c>
      <c r="J1490" s="59" t="inlineStr">
        <is>
          <t>Investigación en Proceso</t>
        </is>
      </c>
      <c r="K1490" s="59" t="inlineStr">
        <is>
          <t>Ventas: GRANDE 3 (600.000 - 1.000.000 UF) | Empleados: 42</t>
        </is>
      </c>
      <c r="L1490" s="61" t="n"/>
      <c r="M1490" s="61" t="n"/>
      <c r="N1490" s="61" t="n"/>
      <c r="O1490" s="61" t="n"/>
      <c r="P1490" s="61" t="n"/>
      <c r="Q1490" s="62" t="n"/>
      <c r="R1490" s="61" t="n"/>
    </row>
    <row r="1491" ht="15.75" customHeight="1" s="38">
      <c r="A1491" s="59" t="inlineStr">
        <is>
          <t>Piddo, Jorge Piddo y Cía. Ltda.</t>
        </is>
      </c>
      <c r="B1491" s="59" t="inlineStr">
        <is>
          <t>Administración de Proyectos</t>
        </is>
      </c>
      <c r="C1491" s="59" t="inlineStr">
        <is>
          <t>Santiago</t>
        </is>
      </c>
      <c r="D1491" s="59" t="n"/>
      <c r="E1491" s="59" t="inlineStr">
        <is>
          <t>(56) 2 2233 6000</t>
        </is>
      </c>
      <c r="F1491" s="59" t="inlineStr">
        <is>
          <t>Efraín Jaque Carreño (Gerente Ingeniería)</t>
        </is>
      </c>
      <c r="G1491" s="59" t="n"/>
      <c r="H1491" s="59" t="n"/>
      <c r="I1491" s="59" t="inlineStr">
        <is>
          <t>87.786.100-7</t>
        </is>
      </c>
      <c r="J1491" s="59" t="inlineStr">
        <is>
          <t>Grandes Proyectos Infraestructura</t>
        </is>
      </c>
      <c r="K1491" s="59" t="inlineStr">
        <is>
          <t>Ventas: GRANDE 2 (200.000 - 600.000 UF) | Empleados: 140</t>
        </is>
      </c>
      <c r="L1491" s="61" t="n"/>
      <c r="M1491" s="61" t="n"/>
      <c r="N1491" s="61" t="n"/>
      <c r="O1491" s="61" t="n"/>
      <c r="P1491" s="61" t="n"/>
      <c r="Q1491" s="62" t="n"/>
      <c r="R1491" s="61" t="n"/>
    </row>
    <row r="1492" ht="15.75" customHeight="1" s="38">
      <c r="A1492" s="66" t="inlineStr">
        <is>
          <t>Pignus</t>
        </is>
      </c>
      <c r="B1492" s="66" t="inlineStr">
        <is>
          <t>Seguridad Industrial y Minera, Tecnología de Seguridad</t>
        </is>
      </c>
      <c r="C1492" s="66" t="inlineStr">
        <is>
          <t>Antofagasta</t>
        </is>
      </c>
      <c r="D1492" s="66" t="inlineStr">
        <is>
          <t>contacto@pignusvr.cl</t>
        </is>
      </c>
      <c r="E1492" s="66" t="inlineStr">
        <is>
          <t>(56) 9 4593 0661</t>
        </is>
      </c>
      <c r="F1492" s="66" t="n"/>
      <c r="G1492" s="66" t="n"/>
      <c r="H1492" s="66" t="n"/>
      <c r="I1492" s="66" t="inlineStr">
        <is>
          <t>76949536-3</t>
        </is>
      </c>
      <c r="J1492" s="66" t="n"/>
      <c r="K1492" s="66" t="inlineStr">
        <is>
          <t>Ventas: MICRO 1 (0.01 - 200 UF) | Empleados: 0</t>
        </is>
      </c>
      <c r="L1492" s="61" t="n"/>
      <c r="M1492" s="61" t="n"/>
      <c r="N1492" s="61" t="n"/>
      <c r="O1492" s="61" t="n"/>
      <c r="P1492" s="61" t="n"/>
      <c r="Q1492" s="62" t="n"/>
      <c r="R1492" s="61" t="n"/>
    </row>
    <row r="1493" ht="15.75" customHeight="1" s="38">
      <c r="A1493" s="66" t="inlineStr">
        <is>
          <t>Pilotes Terratest S.A.</t>
        </is>
      </c>
      <c r="B1493" s="66" t="inlineStr">
        <is>
          <t>Anclajes</t>
        </is>
      </c>
      <c r="C1493" s="66" t="inlineStr">
        <is>
          <t>Santiago</t>
        </is>
      </c>
      <c r="D1493" s="66" t="inlineStr">
        <is>
          <t>comercial@terratest.cl</t>
        </is>
      </c>
      <c r="E1493" s="66" t="inlineStr">
        <is>
          <t>(56) 2 2437 2900</t>
        </is>
      </c>
      <c r="F1493" s="66" t="n"/>
      <c r="G1493" s="66" t="n"/>
      <c r="H1493" s="66" t="n"/>
      <c r="I1493" s="66" t="inlineStr">
        <is>
          <t>96.588.560-9</t>
        </is>
      </c>
      <c r="J1493" s="66" t="n"/>
      <c r="K1493" s="66" t="inlineStr">
        <is>
          <t>Ventas: GRANDE (Estimado por Empleados) | Empleados: 848</t>
        </is>
      </c>
      <c r="L1493" s="61" t="n"/>
      <c r="M1493" s="61" t="n"/>
      <c r="N1493" s="61" t="n"/>
      <c r="O1493" s="61" t="n"/>
      <c r="P1493" s="61" t="n"/>
      <c r="Q1493" s="62" t="n"/>
      <c r="R1493" s="61" t="n"/>
    </row>
    <row r="1494" ht="15.75" customHeight="1" s="38">
      <c r="A1494" s="66" t="inlineStr">
        <is>
          <t>Pimasa S.A.</t>
        </is>
      </c>
      <c r="B1494" s="66" t="inlineStr">
        <is>
          <t>Sistemas para Control de Polvo</t>
        </is>
      </c>
      <c r="C1494" s="66" t="inlineStr">
        <is>
          <t>Santiago</t>
        </is>
      </c>
      <c r="D1494" s="66" t="inlineStr">
        <is>
          <t>info@pimasa.com</t>
        </is>
      </c>
      <c r="E1494" s="66" t="inlineStr">
        <is>
          <t>(56) 2 2499 1000</t>
        </is>
      </c>
      <c r="F1494" s="66" t="inlineStr">
        <is>
          <t>Gerente de TI / CIO (Director de Tecnología)</t>
        </is>
      </c>
      <c r="G1494" s="66" t="n"/>
      <c r="H1494" s="66" t="n"/>
      <c r="I1494" s="66" t="inlineStr">
        <is>
          <t>93.305.000-9</t>
        </is>
      </c>
      <c r="J1494" s="66" t="n"/>
      <c r="K1494" s="66" t="inlineStr">
        <is>
          <t>Ventas: GRANDE 4 (Mas de 1.000.000 UF) | Empleados: 177</t>
        </is>
      </c>
      <c r="L1494" s="61" t="n"/>
      <c r="M1494" s="61" t="n"/>
      <c r="N1494" s="61" t="n"/>
      <c r="O1494" s="61" t="n"/>
      <c r="P1494" s="61" t="n"/>
      <c r="Q1494" s="62" t="n"/>
      <c r="R1494" s="61" t="n"/>
    </row>
    <row r="1495" ht="15.75" customHeight="1" s="38">
      <c r="A1495" s="66" t="inlineStr">
        <is>
          <t>Pingon</t>
        </is>
      </c>
      <c r="B1495" s="66" t="inlineStr">
        <is>
          <t>Arriendo de Grúas Torre</t>
        </is>
      </c>
      <c r="C1495" s="66" t="inlineStr">
        <is>
          <t>Santiago</t>
        </is>
      </c>
      <c r="D1495" s="66" t="inlineStr">
        <is>
          <t>ventas@pingon.cl</t>
        </is>
      </c>
      <c r="E1495" s="66" t="inlineStr">
        <is>
          <t>(56) 2 2622 2828</t>
        </is>
      </c>
      <c r="F1495" s="66" t="inlineStr">
        <is>
          <t>Gerente de TI / CIO (Director de Tecnología)</t>
        </is>
      </c>
      <c r="G1495" s="66" t="n"/>
      <c r="H1495" s="66" t="n"/>
      <c r="I1495" s="66" t="inlineStr">
        <is>
          <t>77.953.640-8</t>
        </is>
      </c>
      <c r="J1495" s="66" t="n"/>
      <c r="K1495" s="66" t="inlineStr">
        <is>
          <t>Ventas: GRANDE 3 (600.000 - 1.000.000 UF) | Empleados: 276</t>
        </is>
      </c>
      <c r="L1495" s="61" t="n"/>
      <c r="M1495" s="61" t="n"/>
      <c r="N1495" s="61" t="n"/>
      <c r="O1495" s="61" t="n"/>
      <c r="P1495" s="61" t="n"/>
      <c r="Q1495" s="62" t="n"/>
      <c r="R1495" s="61" t="n"/>
    </row>
    <row r="1496" ht="15.75" customHeight="1" s="38">
      <c r="A1496" s="66" t="inlineStr">
        <is>
          <t>Pipeline Intelligence SpA</t>
        </is>
      </c>
      <c r="B1496" s="66" t="inlineStr">
        <is>
          <t>Recubrimiento para Tuberías, Recubrimientos para Protección de Infraestructuras, Transporte de Fluidos</t>
        </is>
      </c>
      <c r="C1496" s="66" t="inlineStr">
        <is>
          <t>Santiago</t>
        </is>
      </c>
      <c r="D1496" s="66" t="inlineStr">
        <is>
          <t>contacto@pipelint.com</t>
        </is>
      </c>
      <c r="E1496" s="66" t="inlineStr">
        <is>
          <t>(56) 2 3329 6785</t>
        </is>
      </c>
      <c r="F1496" s="66" t="n"/>
      <c r="G1496" s="66" t="n"/>
      <c r="H1496" s="66" t="n"/>
      <c r="I1496" s="66" t="inlineStr">
        <is>
          <t>76.734.288-8</t>
        </is>
      </c>
      <c r="J1496" s="66" t="n"/>
      <c r="K1496" s="66" t="inlineStr">
        <is>
          <t>Ventas: MEDIANA 2 (50.000 - 100.000 UF) | Empleados: 13</t>
        </is>
      </c>
      <c r="L1496" s="61" t="n"/>
      <c r="M1496" s="61" t="n"/>
      <c r="N1496" s="61" t="n"/>
      <c r="O1496" s="61" t="n"/>
      <c r="P1496" s="61" t="n"/>
      <c r="Q1496" s="62" t="n"/>
      <c r="R1496" s="61" t="n"/>
    </row>
    <row r="1497" ht="15.75" customHeight="1" s="38">
      <c r="A1497" s="66" t="inlineStr">
        <is>
          <t>Piston Hydraulics of Canada Ltda.</t>
        </is>
      </c>
      <c r="B1497" s="66" t="inlineStr">
        <is>
          <t>Reacondicionamiento de Bombas</t>
        </is>
      </c>
      <c r="C1497" s="66" t="inlineStr">
        <is>
          <t>Santiago</t>
        </is>
      </c>
      <c r="D1497" s="66" t="inlineStr">
        <is>
          <t>ventas@phc.cl</t>
        </is>
      </c>
      <c r="E1497" s="66" t="inlineStr">
        <is>
          <t>(56) 2 2591 9500</t>
        </is>
      </c>
      <c r="F1497" s="66" t="n"/>
      <c r="G1497" s="66" t="n"/>
      <c r="H1497" s="66" t="n"/>
      <c r="I1497" s="66" t="inlineStr">
        <is>
          <t>96.684.040-4</t>
        </is>
      </c>
      <c r="J1497" s="66" t="n"/>
      <c r="K1497" s="66" t="inlineStr">
        <is>
          <t>Ventas: GRANDE 1 (100.000 - 200.000 UF) | Empleados: 22</t>
        </is>
      </c>
      <c r="L1497" s="61" t="n"/>
      <c r="M1497" s="61" t="n"/>
      <c r="N1497" s="61" t="n"/>
      <c r="O1497" s="61" t="n"/>
      <c r="P1497" s="61" t="n"/>
      <c r="Q1497" s="62" t="n"/>
      <c r="R1497" s="61" t="n"/>
    </row>
    <row r="1498" ht="15.75" customHeight="1" s="38">
      <c r="A1498" s="59" t="inlineStr">
        <is>
          <t>Pizarreño S.A.</t>
        </is>
      </c>
      <c r="B1498" s="59" t="inlineStr">
        <is>
          <t>Productos para la Construcción</t>
        </is>
      </c>
      <c r="C1498" s="59" t="inlineStr">
        <is>
          <t>Santiago</t>
        </is>
      </c>
      <c r="D1498" s="59" t="inlineStr">
        <is>
          <t>contacto.cl@etexgroup.com</t>
        </is>
      </c>
      <c r="E1498" s="59" t="inlineStr">
        <is>
          <t>(56) 2 2391 2200</t>
        </is>
      </c>
      <c r="F1498" s="59" t="inlineStr">
        <is>
          <t>Cristian Celedón (Jefe de Sistemas)</t>
        </is>
      </c>
      <c r="G1498" s="59" t="inlineStr">
        <is>
          <t>cristian.celedon@etexgroup.com</t>
        </is>
      </c>
      <c r="H1498" s="59" t="n"/>
      <c r="I1498" s="59" t="inlineStr">
        <is>
          <t>90.707.000-K</t>
        </is>
      </c>
      <c r="J1498" s="59" t="inlineStr">
        <is>
          <t>Investigación en Proceso</t>
        </is>
      </c>
      <c r="K1498" s="59" t="inlineStr">
        <is>
          <t>Ventas: GRANDE 3 (600.000 - 1.000.000 UF) | Empleados: 23</t>
        </is>
      </c>
      <c r="L1498" s="61" t="n"/>
      <c r="M1498" s="61" t="n"/>
      <c r="N1498" s="61" t="n"/>
      <c r="O1498" s="61" t="n"/>
      <c r="P1498" s="61" t="n"/>
      <c r="Q1498" s="62" t="n"/>
      <c r="R1498" s="61" t="n"/>
    </row>
    <row r="1499" ht="15.75" customHeight="1" s="38">
      <c r="A1499" s="66" t="inlineStr">
        <is>
          <t>Plainhill</t>
        </is>
      </c>
      <c r="B1499" s="66" t="inlineStr">
        <is>
          <t>BIM</t>
        </is>
      </c>
      <c r="C1499" s="66" t="inlineStr">
        <is>
          <t>Santiago</t>
        </is>
      </c>
      <c r="D1499" s="66" t="inlineStr">
        <is>
          <t>contact@plainhill.com</t>
        </is>
      </c>
      <c r="E1499" s="66" t="inlineStr">
        <is>
          <t>(56) 9 7568 3936</t>
        </is>
      </c>
      <c r="F1499" s="66" t="n"/>
      <c r="G1499" s="66" t="n"/>
      <c r="H1499" s="66" t="inlineStr">
        <is>
          <t>http://www.plainhill.com</t>
        </is>
      </c>
      <c r="I1499" s="66" t="inlineStr">
        <is>
          <t>77.048.281-K</t>
        </is>
      </c>
      <c r="J1499" s="66" t="n"/>
      <c r="K1499" s="66" t="inlineStr">
        <is>
          <t>Ventas: MICRO 1 (0.01 - 200 UF) | Empleados: 0</t>
        </is>
      </c>
      <c r="L1499" s="61" t="n"/>
      <c r="M1499" s="61" t="n"/>
      <c r="N1499" s="61" t="n"/>
      <c r="O1499" s="61" t="n"/>
      <c r="P1499" s="61" t="n"/>
      <c r="Q1499" s="62" t="n"/>
      <c r="R1499" s="61" t="n"/>
    </row>
    <row r="1500" ht="15.75" customHeight="1" s="38">
      <c r="A1500" s="66" t="inlineStr">
        <is>
          <t>Plasticentro</t>
        </is>
      </c>
      <c r="B1500" s="66" t="inlineStr">
        <is>
          <t>Plásticos, Poliuretanos</t>
        </is>
      </c>
      <c r="C1500" s="66" t="inlineStr">
        <is>
          <t>Santiago</t>
        </is>
      </c>
      <c r="D1500" s="66" t="inlineStr">
        <is>
          <t>rafael@plasticentro.cl</t>
        </is>
      </c>
      <c r="E1500" s="66" t="inlineStr">
        <is>
          <t>(56) 2 2622 3030</t>
        </is>
      </c>
      <c r="F1500" s="66" t="n"/>
      <c r="G1500" s="66" t="n"/>
      <c r="H1500" s="66" t="n"/>
      <c r="I1500" s="66" t="inlineStr">
        <is>
          <t>76.163.793-2</t>
        </is>
      </c>
      <c r="J1500" s="66" t="n"/>
      <c r="K1500" s="66" t="inlineStr">
        <is>
          <t>Ventas: GRANDE 1 (100.000 - 200.000 UF) | Empleados: 64</t>
        </is>
      </c>
      <c r="L1500" s="61" t="n"/>
      <c r="M1500" s="61" t="n"/>
      <c r="N1500" s="61" t="n"/>
      <c r="O1500" s="61" t="n"/>
      <c r="P1500" s="61" t="n"/>
      <c r="Q1500" s="62" t="n"/>
      <c r="R1500" s="61" t="n"/>
    </row>
    <row r="1501" ht="15.75" customHeight="1" s="38">
      <c r="A1501" s="59" t="inlineStr">
        <is>
          <t>Plastigen</t>
        </is>
      </c>
      <c r="B1501" s="59" t="inlineStr">
        <is>
          <t>Plásticos</t>
        </is>
      </c>
      <c r="C1501" s="59" t="inlineStr">
        <is>
          <t>Santiago</t>
        </is>
      </c>
      <c r="D1501" s="59" t="inlineStr">
        <is>
          <t>contacto@plastigen.cl</t>
        </is>
      </c>
      <c r="E1501" s="59" t="inlineStr">
        <is>
          <t>(56) 2 2332 3900</t>
        </is>
      </c>
      <c r="F1501" s="59" t="inlineStr">
        <is>
          <t>Erika Santibañez (Gerente TI)</t>
        </is>
      </c>
      <c r="G1501" s="59" t="inlineStr">
        <is>
          <t>esantibanez@plastigen.cl</t>
        </is>
      </c>
      <c r="H1501" s="59" t="n"/>
      <c r="I1501" s="59" t="inlineStr">
        <is>
          <t>96.501.500-0</t>
        </is>
      </c>
      <c r="J1501" s="59" t="inlineStr">
        <is>
          <t>Investigación en Proceso</t>
        </is>
      </c>
      <c r="K1501" s="59" t="inlineStr">
        <is>
          <t>Ventas: GRANDE 3 (600.000 - 1.000.000 UF) | Empleados: 142</t>
        </is>
      </c>
      <c r="L1501" s="61" t="n"/>
      <c r="M1501" s="61" t="n"/>
      <c r="N1501" s="61" t="n"/>
      <c r="O1501" s="61" t="n"/>
      <c r="P1501" s="61" t="n"/>
      <c r="Q1501" s="62" t="n"/>
      <c r="R1501" s="61" t="n"/>
    </row>
    <row r="1502" ht="15.75" customHeight="1" s="38">
      <c r="A1502" s="66" t="inlineStr">
        <is>
          <t>PlastiQuímica Ltda.</t>
        </is>
      </c>
      <c r="B1502" s="66" t="inlineStr">
        <is>
          <t>Celdas Electrolíticas, Tuberías</t>
        </is>
      </c>
      <c r="C1502" s="66" t="inlineStr">
        <is>
          <t>Santiago</t>
        </is>
      </c>
      <c r="D1502" s="66" t="inlineStr">
        <is>
          <t>info@plastiquimica.cl</t>
        </is>
      </c>
      <c r="E1502" s="66" t="inlineStr">
        <is>
          <t>(56) 2 2495 2400</t>
        </is>
      </c>
      <c r="F1502" s="66" t="inlineStr">
        <is>
          <t>Gerente de TI / CIO (Director de Tecnología)</t>
        </is>
      </c>
      <c r="G1502" s="66" t="n"/>
      <c r="H1502" s="66" t="n"/>
      <c r="I1502" s="66" t="inlineStr">
        <is>
          <t>83.007.600-K</t>
        </is>
      </c>
      <c r="J1502" s="66" t="n"/>
      <c r="K1502" s="66" t="inlineStr">
        <is>
          <t>Ventas: GRANDE 3 (600.000 - 1.000.000 UF) | Empleados: 36</t>
        </is>
      </c>
      <c r="L1502" s="61" t="n"/>
      <c r="M1502" s="61" t="n"/>
      <c r="N1502" s="61" t="n"/>
      <c r="O1502" s="61" t="n"/>
      <c r="P1502" s="61" t="n"/>
      <c r="Q1502" s="62" t="n"/>
      <c r="R1502" s="61" t="n"/>
    </row>
    <row r="1503" ht="15.75" customHeight="1" s="38">
      <c r="A1503" s="66" t="inlineStr">
        <is>
          <t>Plastyverg S.A.</t>
        </is>
      </c>
      <c r="B1503" s="66" t="inlineStr">
        <is>
          <t>Bolsas de Polietileno</t>
        </is>
      </c>
      <c r="C1503" s="66" t="inlineStr">
        <is>
          <t>Santiago</t>
        </is>
      </c>
      <c r="D1503" s="66" t="inlineStr">
        <is>
          <t>ventas@plastyverg.cl</t>
        </is>
      </c>
      <c r="E1503" s="66" t="inlineStr">
        <is>
          <t>(56) 2 2827 9000</t>
        </is>
      </c>
      <c r="F1503" s="66" t="inlineStr">
        <is>
          <t>Gerente de TI / CIO (Director de Tecnología)</t>
        </is>
      </c>
      <c r="G1503" s="66" t="n"/>
      <c r="H1503" s="66" t="n"/>
      <c r="I1503" s="66" t="inlineStr">
        <is>
          <t>79.835.560-0</t>
        </is>
      </c>
      <c r="J1503" s="66" t="n"/>
      <c r="K1503" s="66" t="inlineStr">
        <is>
          <t>Ventas: GRANDE 4 (Mas de 1.000.000 UF) | Empleados: 190</t>
        </is>
      </c>
      <c r="L1503" s="61" t="n"/>
      <c r="M1503" s="61" t="n"/>
      <c r="N1503" s="61" t="n"/>
      <c r="O1503" s="61" t="n"/>
      <c r="P1503" s="61" t="n"/>
      <c r="Q1503" s="62" t="n"/>
      <c r="R1503" s="61" t="n"/>
    </row>
    <row r="1504" ht="15.75" customHeight="1" s="38">
      <c r="A1504" s="66" t="inlineStr">
        <is>
          <t>Plásticos Filmamérica Ltda.</t>
        </is>
      </c>
      <c r="B1504" s="66" t="inlineStr">
        <is>
          <t>Plásticos</t>
        </is>
      </c>
      <c r="C1504" s="66" t="inlineStr">
        <is>
          <t>Santiago</t>
        </is>
      </c>
      <c r="D1504" s="66" t="inlineStr">
        <is>
          <t>ventas@filmamerica.cl</t>
        </is>
      </c>
      <c r="E1504" s="66" t="inlineStr">
        <is>
          <t>(56) 2 2666 4000</t>
        </is>
      </c>
      <c r="F1504" s="66" t="n"/>
      <c r="G1504" s="66" t="n"/>
      <c r="H1504" s="66" t="n"/>
      <c r="I1504" s="66" t="inlineStr">
        <is>
          <t>77.019.350-8</t>
        </is>
      </c>
      <c r="J1504" s="66" t="n"/>
      <c r="K1504" s="66" t="inlineStr">
        <is>
          <t>Ventas: GRANDE 2 (200.000 - 600.000 UF) | Empleados: 35</t>
        </is>
      </c>
      <c r="L1504" s="61" t="n"/>
      <c r="M1504" s="61" t="n"/>
      <c r="N1504" s="61" t="n"/>
      <c r="O1504" s="61" t="n"/>
      <c r="P1504" s="61" t="n"/>
      <c r="Q1504" s="62" t="n"/>
      <c r="R1504" s="61" t="n"/>
    </row>
    <row r="1505" ht="15.75" customHeight="1" s="38">
      <c r="A1505" s="59" t="inlineStr">
        <is>
          <t>Plásticos Haddad S.A.</t>
        </is>
      </c>
      <c r="B1505" s="59" t="inlineStr">
        <is>
          <t>Señalética Vial, Tambores de Plástico</t>
        </is>
      </c>
      <c r="C1505" s="59" t="inlineStr">
        <is>
          <t>Santiago</t>
        </is>
      </c>
      <c r="D1505" s="59" t="inlineStr">
        <is>
          <t>ventas@haddad.cl</t>
        </is>
      </c>
      <c r="E1505" s="59" t="inlineStr">
        <is>
          <t>(56) 2 2462 7200</t>
        </is>
      </c>
      <c r="F1505" s="59" t="inlineStr">
        <is>
          <t>Carlos Donoso Leyton (Ing. Informática)</t>
        </is>
      </c>
      <c r="G1505" s="59" t="inlineStr">
        <is>
          <t>cdonoso@haddad.cl</t>
        </is>
      </c>
      <c r="H1505" s="59" t="n"/>
      <c r="I1505" s="59" t="inlineStr">
        <is>
          <t>86.778.100-5</t>
        </is>
      </c>
      <c r="J1505" s="59" t="inlineStr">
        <is>
          <t>Investigación en Proceso</t>
        </is>
      </c>
      <c r="K1505" s="59" t="inlineStr">
        <is>
          <t>Ventas: GRANDE 3 (600.000 - 1.000.000 UF) | Empleados: 345</t>
        </is>
      </c>
      <c r="L1505" s="61" t="n"/>
      <c r="M1505" s="61" t="n"/>
      <c r="N1505" s="61" t="n"/>
      <c r="O1505" s="61" t="n"/>
      <c r="P1505" s="61" t="n"/>
      <c r="Q1505" s="62" t="n"/>
      <c r="R1505" s="61" t="n"/>
    </row>
    <row r="1506" ht="15.75" customHeight="1" s="38">
      <c r="A1506" s="66" t="inlineStr">
        <is>
          <t>Pochteca Chile S.A.</t>
        </is>
      </c>
      <c r="B1506" s="66" t="inlineStr">
        <is>
          <t>Procesamiento de Minerales, Procesos Hidrometalúrgicos, Productos Químicos para la Minería</t>
        </is>
      </c>
      <c r="C1506" s="66" t="inlineStr">
        <is>
          <t>Santiago</t>
        </is>
      </c>
      <c r="D1506" s="66" t="inlineStr">
        <is>
          <t>contacto.chile@pochteca.net</t>
        </is>
      </c>
      <c r="E1506" s="66" t="inlineStr">
        <is>
          <t>(56) 9 3254 9272</t>
        </is>
      </c>
      <c r="F1506" s="66" t="n"/>
      <c r="G1506" s="66" t="n"/>
      <c r="H1506" s="66" t="n"/>
      <c r="I1506" s="66" t="inlineStr">
        <is>
          <t>96.959.480-3</t>
        </is>
      </c>
      <c r="J1506" s="66" t="n"/>
      <c r="K1506" s="66" t="inlineStr">
        <is>
          <t>Ventas: MEDIANA (Estimado por Empleados) | Empleados: 133</t>
        </is>
      </c>
      <c r="L1506" s="61" t="n"/>
      <c r="M1506" s="61" t="n"/>
      <c r="N1506" s="61" t="n"/>
      <c r="O1506" s="61" t="n"/>
      <c r="P1506" s="61" t="n"/>
      <c r="Q1506" s="62" t="n"/>
      <c r="R1506" s="61" t="n"/>
    </row>
    <row r="1507" ht="15.75" customHeight="1" s="38">
      <c r="A1507" s="59" t="inlineStr">
        <is>
          <t>Polimin Ltda.</t>
        </is>
      </c>
      <c r="B1507" s="59" t="inlineStr">
        <is>
          <t>Chancadores de Rodillos</t>
        </is>
      </c>
      <c r="C1507" s="59" t="inlineStr">
        <is>
          <t>Santiago</t>
        </is>
      </c>
      <c r="D1507" s="59" t="inlineStr">
        <is>
          <t>polimin@polimin.com</t>
        </is>
      </c>
      <c r="E1507" s="59" t="inlineStr">
        <is>
          <t>(56) 2 2770 9000</t>
        </is>
      </c>
      <c r="F1507" s="59" t="inlineStr">
        <is>
          <t>Carlos Stipicic Vial (Gerente General)</t>
        </is>
      </c>
      <c r="G1507" s="59" t="inlineStr">
        <is>
          <t>cstipicic@polimin.cl</t>
        </is>
      </c>
      <c r="H1507" s="59" t="n"/>
      <c r="I1507" s="59" t="inlineStr">
        <is>
          <t>79.760.310-4</t>
        </is>
      </c>
      <c r="J1507" s="59" t="inlineStr">
        <is>
          <t>Investigación en Proceso</t>
        </is>
      </c>
      <c r="K1507" s="59" t="inlineStr">
        <is>
          <t>Ventas: GRANDE 3 (600.000 - 1.000.000 UF) | Empleados: 68</t>
        </is>
      </c>
      <c r="L1507" s="61" t="n"/>
      <c r="M1507" s="61" t="n"/>
      <c r="N1507" s="61" t="n"/>
      <c r="O1507" s="61" t="n"/>
      <c r="P1507" s="61" t="n"/>
      <c r="Q1507" s="62" t="n"/>
      <c r="R1507" s="61" t="n"/>
    </row>
    <row r="1508" ht="15.75" customHeight="1" s="38">
      <c r="A1508" s="59" t="inlineStr">
        <is>
          <t>Politec S.A.</t>
        </is>
      </c>
      <c r="B1508" s="59" t="inlineStr">
        <is>
          <t>Bandejas y Escalerillas Portaconductores</t>
        </is>
      </c>
      <c r="C1508" s="59" t="inlineStr">
        <is>
          <t>Santiago</t>
        </is>
      </c>
      <c r="D1508" s="59" t="inlineStr">
        <is>
          <t>info@femoglas.com</t>
        </is>
      </c>
      <c r="E1508" s="59" t="inlineStr">
        <is>
          <t>(56) 2 2394 7100</t>
        </is>
      </c>
      <c r="F1508" s="59" t="inlineStr">
        <is>
          <t>Julio Pino (Gerente de Operaciones)</t>
        </is>
      </c>
      <c r="G1508" s="59" t="inlineStr">
        <is>
          <t>jpino@politec.cl</t>
        </is>
      </c>
      <c r="H1508" s="59" t="n"/>
      <c r="I1508" s="59" t="inlineStr">
        <is>
          <t>96.567.010-6</t>
        </is>
      </c>
      <c r="J1508" s="59" t="inlineStr">
        <is>
          <t>Investigación en Proceso</t>
        </is>
      </c>
      <c r="K1508" s="59" t="inlineStr">
        <is>
          <t>Ventas: GRANDE 3 (600.000 - 1.000.000 UF) | Empleados: 225</t>
        </is>
      </c>
      <c r="L1508" s="61" t="n"/>
      <c r="M1508" s="61" t="n"/>
      <c r="N1508" s="61" t="n"/>
      <c r="O1508" s="61" t="n"/>
      <c r="P1508" s="61" t="n"/>
      <c r="Q1508" s="62" t="n"/>
      <c r="R1508" s="61" t="n"/>
    </row>
    <row r="1509" ht="15.75" customHeight="1" s="38">
      <c r="A1509" s="66" t="inlineStr">
        <is>
          <t>Polpaico Soluciones</t>
        </is>
      </c>
      <c r="B1509" s="66" t="inlineStr">
        <is>
          <t>Cementos, Plantas Dosificadoras para Hormigón</t>
        </is>
      </c>
      <c r="C1509" s="66" t="inlineStr">
        <is>
          <t>Santiago</t>
        </is>
      </c>
      <c r="D1509" s="66" t="inlineStr">
        <is>
          <t>clientes@polpaico.cl</t>
        </is>
      </c>
      <c r="E1509" s="66" t="inlineStr">
        <is>
          <t>(56) 2 2595 5700</t>
        </is>
      </c>
      <c r="F1509" s="66" t="n"/>
      <c r="G1509" s="66" t="n"/>
      <c r="H1509" s="66" t="n"/>
      <c r="I1509" s="66" t="inlineStr">
        <is>
          <t>91.337.000-7</t>
        </is>
      </c>
      <c r="J1509" s="66" t="n"/>
      <c r="K1509" s="66" t="inlineStr">
        <is>
          <t>Ventas: GRANDE (Estimado por Empleados) | Empleados: 608</t>
        </is>
      </c>
      <c r="L1509" s="61" t="n"/>
      <c r="M1509" s="61" t="n"/>
      <c r="N1509" s="61" t="n"/>
      <c r="O1509" s="61" t="n"/>
      <c r="P1509" s="61" t="n"/>
      <c r="Q1509" s="62" t="n"/>
      <c r="R1509" s="61" t="n"/>
    </row>
    <row r="1510" ht="15.75" customHeight="1" s="38">
      <c r="A1510" s="66" t="inlineStr">
        <is>
          <t>Polybandas Ltda.</t>
        </is>
      </c>
      <c r="B1510" s="66" t="inlineStr">
        <is>
          <t>Correas Transportadoras, Polines Centradores para Correas Transportadoras</t>
        </is>
      </c>
      <c r="C1510" s="66" t="inlineStr">
        <is>
          <t>Santiago</t>
        </is>
      </c>
      <c r="D1510" s="66" t="inlineStr">
        <is>
          <t>ventas@polybandas.cl</t>
        </is>
      </c>
      <c r="E1510" s="66" t="inlineStr">
        <is>
          <t>(56) 2 2775 1925</t>
        </is>
      </c>
      <c r="F1510" s="66" t="n"/>
      <c r="G1510" s="66" t="n"/>
      <c r="H1510" s="66" t="n"/>
      <c r="I1510" s="66" t="inlineStr">
        <is>
          <t>77.595.150-6</t>
        </is>
      </c>
      <c r="J1510" s="66" t="n"/>
      <c r="K1510" s="66" t="inlineStr">
        <is>
          <t>Ventas: No en base SII | Empleados: S/I</t>
        </is>
      </c>
      <c r="L1510" s="61" t="n"/>
      <c r="M1510" s="61" t="n"/>
      <c r="N1510" s="61" t="n"/>
      <c r="O1510" s="61" t="n"/>
      <c r="P1510" s="61" t="n"/>
      <c r="Q1510" s="62" t="n"/>
      <c r="R1510" s="61" t="n"/>
    </row>
    <row r="1511" ht="15.75" customHeight="1" s="38">
      <c r="A1511" s="66" t="inlineStr">
        <is>
          <t>Polycompany International Group S.A.</t>
        </is>
      </c>
      <c r="B1511" s="66" t="inlineStr">
        <is>
          <t>Cromatografía</t>
        </is>
      </c>
      <c r="C1511" s="66" t="inlineStr">
        <is>
          <t>Santiago</t>
        </is>
      </c>
      <c r="D1511" s="66" t="inlineStr">
        <is>
          <t>contacto@polycompany.com</t>
        </is>
      </c>
      <c r="E1511" s="66" t="inlineStr">
        <is>
          <t>(56) 2 2221 7760</t>
        </is>
      </c>
      <c r="F1511" s="66" t="n"/>
      <c r="G1511" s="66" t="n"/>
      <c r="H1511" s="66" t="n"/>
      <c r="I1511" s="66" t="inlineStr">
        <is>
          <t>76.125.662-9</t>
        </is>
      </c>
      <c r="J1511" s="66" t="n"/>
      <c r="K1511" s="66" t="inlineStr">
        <is>
          <t>Ventas: MEDIANA 1 (25.000 - 50.000 UF) | Empleados: 4</t>
        </is>
      </c>
      <c r="L1511" s="61" t="n"/>
      <c r="M1511" s="61" t="n"/>
      <c r="N1511" s="61" t="n"/>
      <c r="O1511" s="61" t="n"/>
      <c r="P1511" s="61" t="n"/>
      <c r="Q1511" s="62" t="n"/>
      <c r="R1511" s="61" t="n"/>
    </row>
    <row r="1512" ht="15.75" customHeight="1" s="38">
      <c r="A1512" s="66" t="inlineStr">
        <is>
          <t>Polydeck Chile Ltda.</t>
        </is>
      </c>
      <c r="B1512" s="66" t="inlineStr">
        <is>
          <t>Sistemas de Bastidores de Harnero</t>
        </is>
      </c>
      <c r="C1512" s="66" t="inlineStr">
        <is>
          <t>Santiago</t>
        </is>
      </c>
      <c r="D1512" s="66" t="n"/>
      <c r="E1512" s="66" t="inlineStr">
        <is>
          <t>(56) 2 2380 1319</t>
        </is>
      </c>
      <c r="F1512" s="66" t="inlineStr">
        <is>
          <t>Gerente de TI / CIO (Director de Tecnología)</t>
        </is>
      </c>
      <c r="G1512" s="66" t="n"/>
      <c r="H1512" s="66" t="n"/>
      <c r="I1512" s="66" t="inlineStr">
        <is>
          <t>96875320-7</t>
        </is>
      </c>
      <c r="J1512" s="66" t="n"/>
      <c r="K1512" s="66" t="inlineStr">
        <is>
          <t>Ventas: GRANDE 3 (600.000 - 1.000.000 UF) | Empleados: 94</t>
        </is>
      </c>
      <c r="L1512" s="61" t="n"/>
      <c r="M1512" s="61" t="n"/>
      <c r="N1512" s="61" t="n"/>
      <c r="O1512" s="61" t="n"/>
      <c r="P1512" s="61" t="n"/>
      <c r="Q1512" s="62" t="n"/>
      <c r="R1512" s="61" t="n"/>
    </row>
    <row r="1513" ht="15.75" customHeight="1" s="38">
      <c r="A1513" s="66" t="inlineStr">
        <is>
          <t>Polymer Check</t>
        </is>
      </c>
      <c r="B1513" s="66" t="inlineStr">
        <is>
          <t>Ensayos Destructivos</t>
        </is>
      </c>
      <c r="C1513" s="66" t="inlineStr">
        <is>
          <t>Vicuña</t>
        </is>
      </c>
      <c r="D1513" s="66" t="inlineStr">
        <is>
          <t>contacto@polymercheck.cl</t>
        </is>
      </c>
      <c r="E1513" s="66" t="inlineStr">
        <is>
          <t>(56) 9 9095 2271</t>
        </is>
      </c>
      <c r="F1513" s="66" t="n"/>
      <c r="G1513" s="66" t="n"/>
      <c r="H1513" s="66" t="n"/>
      <c r="I1513" s="66" t="inlineStr">
        <is>
          <t>77056745-9</t>
        </is>
      </c>
      <c r="J1513" s="66" t="n"/>
      <c r="K1513" s="66" t="inlineStr">
        <is>
          <t>Ventas: MICRO 3 (600 - 2.400 UF) | Empleados: 0</t>
        </is>
      </c>
      <c r="L1513" s="61" t="n"/>
      <c r="M1513" s="61" t="n"/>
      <c r="N1513" s="61" t="n"/>
      <c r="O1513" s="61" t="n"/>
      <c r="P1513" s="61" t="n"/>
      <c r="Q1513" s="62" t="n"/>
      <c r="R1513" s="61" t="n"/>
    </row>
    <row r="1514" ht="15.75" customHeight="1" s="38">
      <c r="A1514" s="59" t="inlineStr">
        <is>
          <t>Polymershapes</t>
        </is>
      </c>
      <c r="B1514" s="59" t="inlineStr">
        <is>
          <t>Planchas de Policarbonato</t>
        </is>
      </c>
      <c r="C1514" s="59" t="inlineStr">
        <is>
          <t>Santiago</t>
        </is>
      </c>
      <c r="D1514" s="59" t="inlineStr">
        <is>
          <t>serviciocliente@polymerland.cl</t>
        </is>
      </c>
      <c r="E1514" s="59" t="inlineStr">
        <is>
          <t>(56) 9 9139 3845</t>
        </is>
      </c>
      <c r="F1514" s="59" t="inlineStr">
        <is>
          <t>Daniel Cristi (Country Manager)</t>
        </is>
      </c>
      <c r="G1514" s="59" t="n"/>
      <c r="H1514" s="59" t="n"/>
      <c r="I1514" s="59" t="inlineStr">
        <is>
          <t>96.823.070-0</t>
        </is>
      </c>
      <c r="J1514" s="59" t="inlineStr">
        <is>
          <t>Distribución Materiales Healthcare &amp; Life Sciences</t>
        </is>
      </c>
      <c r="K1514" s="59" t="inlineStr">
        <is>
          <t>Ventas: GRANDE 2 (200.000 - 600.000 UF) | Empleados: 30</t>
        </is>
      </c>
      <c r="L1514" s="61" t="n"/>
      <c r="M1514" s="61" t="n"/>
      <c r="N1514" s="61" t="n"/>
      <c r="O1514" s="61" t="n"/>
      <c r="P1514" s="61" t="n"/>
      <c r="Q1514" s="62" t="n"/>
      <c r="R1514" s="61" t="n"/>
    </row>
    <row r="1515" ht="15.75" customHeight="1" s="38">
      <c r="A1515" s="66" t="inlineStr">
        <is>
          <t>Polytex S.A.</t>
        </is>
      </c>
      <c r="B1515" s="66" t="inlineStr">
        <is>
          <t>Tubos de Polietileno de Alta Densidad (HDPE)</t>
        </is>
      </c>
      <c r="C1515" s="66" t="inlineStr">
        <is>
          <t>Santiago</t>
        </is>
      </c>
      <c r="D1515" s="66" t="n"/>
      <c r="E1515" s="66" t="inlineStr">
        <is>
          <t>(56) 2 2677 1000</t>
        </is>
      </c>
      <c r="F1515" s="66" t="n"/>
      <c r="G1515" s="66" t="n"/>
      <c r="H1515" s="66" t="n"/>
      <c r="I1515" s="66" t="inlineStr">
        <is>
          <t>96.777.810-9</t>
        </is>
      </c>
      <c r="J1515" s="66" t="n"/>
      <c r="K1515" s="66" t="inlineStr">
        <is>
          <t>Ventas: GRANDE (Estimado por Empleados) | Empleados: 476</t>
        </is>
      </c>
      <c r="L1515" s="61" t="n"/>
      <c r="M1515" s="61" t="n"/>
      <c r="N1515" s="61" t="n"/>
      <c r="O1515" s="61" t="n"/>
      <c r="P1515" s="61" t="n"/>
      <c r="Q1515" s="62" t="n"/>
      <c r="R1515" s="61" t="n"/>
    </row>
    <row r="1516" ht="15.75" customHeight="1" s="38">
      <c r="A1516" s="66" t="inlineStr">
        <is>
          <t>Porsche Chile /MAN Truck &amp; Bus</t>
        </is>
      </c>
      <c r="B1516" s="66" t="inlineStr">
        <is>
          <t>Buses, Camiones, Vehículos Especiales</t>
        </is>
      </c>
      <c r="C1516" s="66" t="inlineStr">
        <is>
          <t>Santiago</t>
        </is>
      </c>
      <c r="D1516" s="66" t="n"/>
      <c r="E1516" s="66" t="inlineStr">
        <is>
          <t>600 712 7000</t>
        </is>
      </c>
      <c r="F1516" s="66" t="n"/>
      <c r="G1516" s="66" t="n"/>
      <c r="H1516" s="66" t="n"/>
      <c r="I1516" s="66" t="inlineStr">
        <is>
          <t>76.245.828-4</t>
        </is>
      </c>
      <c r="J1516" s="66" t="n"/>
      <c r="K1516" s="66" t="inlineStr">
        <is>
          <t>Ventas: MEDIANA (Estimado por Empleados) | Empleados: 187</t>
        </is>
      </c>
      <c r="L1516" s="61" t="n"/>
      <c r="M1516" s="61" t="n"/>
      <c r="N1516" s="61" t="n"/>
      <c r="O1516" s="61" t="n"/>
      <c r="P1516" s="61" t="n"/>
      <c r="Q1516" s="62" t="n"/>
      <c r="R1516" s="61" t="n"/>
    </row>
    <row r="1517" ht="15.75" customHeight="1" s="38">
      <c r="A1517" s="66" t="inlineStr">
        <is>
          <t>Portland S.A.</t>
        </is>
      </c>
      <c r="B1517" s="66" t="inlineStr">
        <is>
          <t>Productos Químicos</t>
        </is>
      </c>
      <c r="C1517" s="66" t="inlineStr">
        <is>
          <t>Santiago</t>
        </is>
      </c>
      <c r="D1517" s="66" t="inlineStr">
        <is>
          <t>svaldebenito@pjportland.cl</t>
        </is>
      </c>
      <c r="E1517" s="66" t="inlineStr">
        <is>
          <t>(56) 2 2730 1100</t>
        </is>
      </c>
      <c r="F1517" s="66" t="n"/>
      <c r="G1517" s="66" t="n"/>
      <c r="H1517" s="66" t="n"/>
      <c r="I1517" s="66" t="inlineStr">
        <is>
          <t>87.690.900-6</t>
        </is>
      </c>
      <c r="J1517" s="66" t="n"/>
      <c r="K1517" s="66" t="inlineStr">
        <is>
          <t>Ventas: MEDIANA (Estimado por Empleados) | Empleados: 135</t>
        </is>
      </c>
      <c r="L1517" s="61" t="n"/>
      <c r="M1517" s="61" t="n"/>
      <c r="N1517" s="61" t="n"/>
      <c r="O1517" s="61" t="n"/>
      <c r="P1517" s="61" t="n"/>
      <c r="Q1517" s="62" t="n"/>
      <c r="R1517" s="61" t="n"/>
    </row>
    <row r="1518" ht="15.75" customHeight="1" s="38">
      <c r="A1518" s="66" t="inlineStr">
        <is>
          <t>Power Train Technologies</t>
        </is>
      </c>
      <c r="B1518" s="66" t="inlineStr">
        <is>
          <t>Reparación de Motores Diesel</t>
        </is>
      </c>
      <c r="C1518" s="66" t="inlineStr">
        <is>
          <t>Santiago</t>
        </is>
      </c>
      <c r="D1518" s="66" t="inlineStr">
        <is>
          <t>contacto@powertraingroup.com</t>
        </is>
      </c>
      <c r="E1518" s="66" t="inlineStr">
        <is>
          <t>(56) 2 2899 4000</t>
        </is>
      </c>
      <c r="F1518" s="66" t="n"/>
      <c r="G1518" s="66" t="n"/>
      <c r="H1518" s="66" t="n"/>
      <c r="I1518" s="66" t="inlineStr">
        <is>
          <t>96.849.300-0</t>
        </is>
      </c>
      <c r="J1518" s="66" t="n"/>
      <c r="K1518" s="66" t="inlineStr">
        <is>
          <t>Ventas: GRANDE (Estimado por Empleados) | Empleados: 287</t>
        </is>
      </c>
      <c r="L1518" s="61" t="n"/>
      <c r="M1518" s="61" t="n"/>
      <c r="N1518" s="61" t="n"/>
      <c r="O1518" s="61" t="n"/>
      <c r="P1518" s="61" t="n"/>
      <c r="Q1518" s="62" t="n"/>
      <c r="R1518" s="61" t="n"/>
    </row>
    <row r="1519" ht="15.75" customHeight="1" s="38">
      <c r="A1519" s="66" t="inlineStr">
        <is>
          <t>Powerrep, Carrasco y Cía. S.A.</t>
        </is>
      </c>
      <c r="B1519" s="66" t="inlineStr">
        <is>
          <t>Arriendo de Grupos Electrógenos</t>
        </is>
      </c>
      <c r="C1519" s="66" t="inlineStr">
        <is>
          <t>Antofagasta</t>
        </is>
      </c>
      <c r="D1519" s="66" t="inlineStr">
        <is>
          <t>ventas@powerrep.cl</t>
        </is>
      </c>
      <c r="E1519" s="66" t="inlineStr">
        <is>
          <t>(56) 55 221 7119</t>
        </is>
      </c>
      <c r="F1519" s="66" t="n"/>
      <c r="G1519" s="66" t="n"/>
      <c r="H1519" s="66" t="n"/>
      <c r="I1519" s="66" t="inlineStr">
        <is>
          <t>76.355.854-1</t>
        </is>
      </c>
      <c r="J1519" s="66" t="n"/>
      <c r="K1519" s="66" t="inlineStr">
        <is>
          <t>Ventas: MEDIANA 2 (50.000 - 100.000 UF) | Empleados: 8</t>
        </is>
      </c>
      <c r="L1519" s="61" t="n"/>
      <c r="M1519" s="61" t="n"/>
      <c r="N1519" s="61" t="n"/>
      <c r="O1519" s="61" t="n"/>
      <c r="P1519" s="61" t="n"/>
      <c r="Q1519" s="62" t="n"/>
      <c r="R1519" s="61" t="n"/>
    </row>
    <row r="1520" ht="15.75" customHeight="1" s="38">
      <c r="A1520" s="66" t="inlineStr">
        <is>
          <t>Powertec By Upselec</t>
        </is>
      </c>
      <c r="B1520" s="66" t="inlineStr">
        <is>
          <t>Servicios de Data Center</t>
        </is>
      </c>
      <c r="C1520" s="66" t="inlineStr">
        <is>
          <t>Santiago</t>
        </is>
      </c>
      <c r="D1520" s="66" t="inlineStr">
        <is>
          <t>comercial@powertec.cl</t>
        </is>
      </c>
      <c r="E1520" s="66" t="inlineStr">
        <is>
          <t>(56) 2 2814 3800</t>
        </is>
      </c>
      <c r="F1520" s="66" t="n"/>
      <c r="G1520" s="66" t="n"/>
      <c r="H1520" s="66" t="n"/>
      <c r="I1520" s="66" t="inlineStr">
        <is>
          <t>52.003.344-0</t>
        </is>
      </c>
      <c r="J1520" s="66" t="n"/>
      <c r="K1520" s="66" t="inlineStr">
        <is>
          <t>Ventas: GRANDE 1 (100.000 - 200.000 UF) | Empleados: 75</t>
        </is>
      </c>
      <c r="L1520" s="61" t="n"/>
      <c r="M1520" s="61" t="n"/>
      <c r="N1520" s="61" t="n"/>
      <c r="O1520" s="61" t="n"/>
      <c r="P1520" s="61" t="n"/>
      <c r="Q1520" s="62" t="n"/>
      <c r="R1520" s="61" t="n"/>
    </row>
    <row r="1521" ht="15.75" customHeight="1" s="38">
      <c r="A1521" s="66" t="inlineStr">
        <is>
          <t>Pozos Profundos</t>
        </is>
      </c>
      <c r="B1521" s="66" t="inlineStr">
        <is>
          <t>Captación de Aguas Subterráneas</t>
        </is>
      </c>
      <c r="C1521" s="66" t="inlineStr">
        <is>
          <t>Santiago</t>
        </is>
      </c>
      <c r="D1521" s="66" t="inlineStr">
        <is>
          <t>info@pozos.cl</t>
        </is>
      </c>
      <c r="E1521" s="66" t="inlineStr">
        <is>
          <t>(56) 2 2733 5520</t>
        </is>
      </c>
      <c r="F1521" s="66" t="n"/>
      <c r="G1521" s="66" t="n"/>
      <c r="H1521" s="66" t="n"/>
      <c r="I1521" s="66" t="inlineStr">
        <is>
          <t>99545610-9</t>
        </is>
      </c>
      <c r="J1521" s="66" t="n"/>
      <c r="K1521" s="66" t="inlineStr">
        <is>
          <t>Ventas: GRANDE 1 (100.000 - 200.000 UF) | Empleados: 66</t>
        </is>
      </c>
      <c r="L1521" s="61" t="n"/>
      <c r="M1521" s="61" t="n"/>
      <c r="N1521" s="61" t="n"/>
      <c r="O1521" s="61" t="n"/>
      <c r="P1521" s="61" t="n"/>
      <c r="Q1521" s="62" t="n"/>
      <c r="R1521" s="61" t="n"/>
    </row>
    <row r="1522" ht="15.75" customHeight="1" s="38">
      <c r="A1522" s="66" t="inlineStr">
        <is>
          <t>PPE Ltda.</t>
        </is>
      </c>
      <c r="B1522" s="66" t="inlineStr">
        <is>
          <t>Productos para Eficiencia Energética, Sistemas para Protección Catódica</t>
        </is>
      </c>
      <c r="C1522" s="66" t="inlineStr">
        <is>
          <t>Santiago</t>
        </is>
      </c>
      <c r="D1522" s="66" t="n"/>
      <c r="E1522" s="66" t="inlineStr">
        <is>
          <t>(56) 2 2421 5100</t>
        </is>
      </c>
      <c r="F1522" s="66" t="inlineStr">
        <is>
          <t>Gerente de TI / CIO (Director de Tecnología)</t>
        </is>
      </c>
      <c r="G1522" s="66" t="n"/>
      <c r="H1522" s="66" t="n"/>
      <c r="I1522" s="66" t="inlineStr">
        <is>
          <t>77.358.940-2</t>
        </is>
      </c>
      <c r="J1522" s="66" t="n"/>
      <c r="K1522" s="66" t="inlineStr">
        <is>
          <t>Ventas: GRANDE 3 (600.000 - 1.000.000 UF) | Empleados: 78</t>
        </is>
      </c>
      <c r="L1522" s="61" t="n"/>
      <c r="M1522" s="61" t="n"/>
      <c r="N1522" s="61" t="n"/>
      <c r="O1522" s="61" t="n"/>
      <c r="P1522" s="61" t="n"/>
      <c r="Q1522" s="62" t="n"/>
      <c r="R1522" s="61" t="n"/>
    </row>
    <row r="1523" ht="15.75" customHeight="1" s="38">
      <c r="A1523" s="66" t="inlineStr">
        <is>
          <t>PPG Chile</t>
        </is>
      </c>
      <c r="B1523" s="66" t="inlineStr">
        <is>
          <t>Revestimientos</t>
        </is>
      </c>
      <c r="C1523" s="66" t="inlineStr">
        <is>
          <t>Santiago</t>
        </is>
      </c>
      <c r="D1523" s="66" t="n"/>
      <c r="E1523" s="66" t="inlineStr">
        <is>
          <t>(56) 2 2571 0754</t>
        </is>
      </c>
      <c r="F1523" s="66" t="n"/>
      <c r="G1523" s="66" t="n"/>
      <c r="H1523" s="66" t="n"/>
      <c r="I1523" s="66" t="inlineStr">
        <is>
          <t>76871860-1</t>
        </is>
      </c>
      <c r="J1523" s="66" t="n"/>
      <c r="K1523" s="66" t="inlineStr">
        <is>
          <t>Ventas: MICRO 1 (0.01 - 200 UF) | Empleados: 0</t>
        </is>
      </c>
      <c r="L1523" s="61" t="n"/>
      <c r="M1523" s="61" t="n"/>
      <c r="N1523" s="61" t="n"/>
      <c r="O1523" s="61" t="n"/>
      <c r="P1523" s="61" t="n"/>
      <c r="Q1523" s="62" t="n"/>
      <c r="R1523" s="61" t="n"/>
    </row>
    <row r="1524" ht="15.75" customHeight="1" s="38">
      <c r="A1524" s="66" t="inlineStr">
        <is>
          <t>PPI, Precisión Pulley &amp; Idler Chile</t>
        </is>
      </c>
      <c r="B1524" s="66" t="inlineStr">
        <is>
          <t>Polines Centradores para Correas Transportadoras, Rodillos</t>
        </is>
      </c>
      <c r="C1524" s="66" t="inlineStr">
        <is>
          <t>Santiago</t>
        </is>
      </c>
      <c r="D1524" s="66" t="n"/>
      <c r="E1524" s="66" t="inlineStr">
        <is>
          <t>(56) 2 2366 8100</t>
        </is>
      </c>
      <c r="F1524" s="66" t="inlineStr">
        <is>
          <t>Gerente de TI / CIO (Director de Tecnología)</t>
        </is>
      </c>
      <c r="G1524" s="66" t="n"/>
      <c r="H1524" s="66" t="n"/>
      <c r="I1524" s="66" t="inlineStr">
        <is>
          <t>96.632.440-6</t>
        </is>
      </c>
      <c r="J1524" s="66" t="n"/>
      <c r="K1524" s="66" t="inlineStr">
        <is>
          <t>Ventas: GRANDE 3 (600.000 - 1.000.000 UF) | Empleados: 134</t>
        </is>
      </c>
      <c r="L1524" s="61" t="n"/>
      <c r="M1524" s="61" t="n"/>
      <c r="N1524" s="61" t="n"/>
      <c r="O1524" s="61" t="n"/>
      <c r="P1524" s="61" t="n"/>
      <c r="Q1524" s="62" t="n"/>
      <c r="R1524" s="61" t="n"/>
    </row>
    <row r="1525" ht="15.75" customHeight="1" s="38">
      <c r="A1525" s="66" t="inlineStr">
        <is>
          <t>Pratto Ltda.</t>
        </is>
      </c>
      <c r="B1525" s="66" t="inlineStr">
        <is>
          <t>Apiladores</t>
        </is>
      </c>
      <c r="C1525" s="66" t="inlineStr">
        <is>
          <t>Santiago</t>
        </is>
      </c>
      <c r="D1525" s="66" t="inlineStr">
        <is>
          <t>info@pratto.com</t>
        </is>
      </c>
      <c r="E1525" s="66" t="inlineStr">
        <is>
          <t>(56) 2 2622 0554</t>
        </is>
      </c>
      <c r="F1525" s="66" t="n"/>
      <c r="G1525" s="66" t="n"/>
      <c r="H1525" s="66" t="n"/>
      <c r="I1525" s="66" t="inlineStr">
        <is>
          <t>78.932.840-4</t>
        </is>
      </c>
      <c r="J1525" s="66" t="n"/>
      <c r="K1525" s="66" t="inlineStr">
        <is>
          <t>Ventas: MICRO 2 (200 - 600 UF) | Empleados: 0</t>
        </is>
      </c>
      <c r="L1525" s="61" t="n"/>
      <c r="M1525" s="61" t="n"/>
      <c r="N1525" s="61" t="n"/>
      <c r="O1525" s="61" t="n"/>
      <c r="P1525" s="61" t="n"/>
      <c r="Q1525" s="62" t="n"/>
      <c r="R1525" s="61" t="n"/>
    </row>
    <row r="1526" ht="15.75" customHeight="1" s="38">
      <c r="A1526" s="59" t="inlineStr">
        <is>
          <t>Precisión S.A.</t>
        </is>
      </c>
      <c r="B1526" s="59" t="inlineStr">
        <is>
          <t>Diseño, construcción y puesta en marcha de salas eléctricas, Equipos de Pesaje, Soluciones de Pesaje: Industrial, Laboratorios, Minería, Retail y Area Médica</t>
        </is>
      </c>
      <c r="C1526" s="59" t="inlineStr">
        <is>
          <t>Santiago</t>
        </is>
      </c>
      <c r="D1526" s="59" t="inlineStr">
        <is>
          <t>contactanos_Chile@precision.tech</t>
        </is>
      </c>
      <c r="E1526" s="59" t="inlineStr">
        <is>
          <t>(56) 2 2422 6000</t>
        </is>
      </c>
      <c r="F1526" s="59" t="inlineStr">
        <is>
          <t>Mario Pavez (Arquitecto de TI / DevOps)</t>
        </is>
      </c>
      <c r="G1526" s="59" t="inlineStr">
        <is>
          <t>mario.pavez@precision.cl</t>
        </is>
      </c>
      <c r="H1526" s="59" t="n"/>
      <c r="I1526" s="59" t="inlineStr">
        <is>
          <t>96.980.910-9</t>
        </is>
      </c>
      <c r="J1526" s="59" t="inlineStr">
        <is>
          <t>Investigación en Proceso</t>
        </is>
      </c>
      <c r="K1526" s="59" t="inlineStr">
        <is>
          <t>Ventas: GRANDE 3 (600.000 - 1.000.000 UF) | Empleados: 0</t>
        </is>
      </c>
      <c r="L1526" s="61" t="n"/>
      <c r="M1526" s="61" t="n"/>
      <c r="N1526" s="61" t="n"/>
      <c r="O1526" s="61" t="n"/>
      <c r="P1526" s="61" t="n"/>
      <c r="Q1526" s="62" t="n"/>
      <c r="R1526" s="61" t="n"/>
    </row>
    <row r="1527" ht="15.75" customHeight="1" s="38">
      <c r="A1527" s="66" t="inlineStr">
        <is>
          <t>Prefabricados Budnik S.A.</t>
        </is>
      </c>
      <c r="B1527" s="66" t="inlineStr">
        <is>
          <t>Prefabricados de Concreto y Hormigón, Tubos de Concreto y Hormigón</t>
        </is>
      </c>
      <c r="C1527" s="66" t="inlineStr">
        <is>
          <t>Santiago</t>
        </is>
      </c>
      <c r="D1527" s="66" t="inlineStr">
        <is>
          <t>prefabricados@budnik.cl</t>
        </is>
      </c>
      <c r="E1527" s="66" t="inlineStr">
        <is>
          <t>(56) 2 2759 5717</t>
        </is>
      </c>
      <c r="F1527" s="66" t="n"/>
      <c r="G1527" s="66" t="n"/>
      <c r="H1527" s="66" t="n"/>
      <c r="I1527" s="66" t="inlineStr">
        <is>
          <t>96.936.910-9</t>
        </is>
      </c>
      <c r="J1527" s="66" t="n"/>
      <c r="K1527" s="66" t="inlineStr">
        <is>
          <t>Ventas: GRANDE 2 (200.000 - 600.000 UF) | Empleados: 107</t>
        </is>
      </c>
      <c r="L1527" s="61" t="n"/>
      <c r="M1527" s="61" t="n"/>
      <c r="N1527" s="61" t="n"/>
      <c r="O1527" s="61" t="n"/>
      <c r="P1527" s="61" t="n"/>
      <c r="Q1527" s="62" t="n"/>
      <c r="R1527" s="61" t="n"/>
    </row>
    <row r="1528" ht="15.75" customHeight="1" s="38">
      <c r="A1528" s="66" t="inlineStr">
        <is>
          <t>Prefabricados de Hormigón Grau S.A.</t>
        </is>
      </c>
      <c r="B1528" s="66" t="inlineStr">
        <is>
          <t>Prefabricados de Concreto y Hormigón, Tubos de Concreto y Hormigón</t>
        </is>
      </c>
      <c r="C1528" s="66" t="inlineStr">
        <is>
          <t>Santiago</t>
        </is>
      </c>
      <c r="D1528" s="66" t="inlineStr">
        <is>
          <t>contacto@grau.cl</t>
        </is>
      </c>
      <c r="E1528" s="66" t="inlineStr">
        <is>
          <t>(56) 2 2377 4900</t>
        </is>
      </c>
      <c r="F1528" s="66" t="inlineStr">
        <is>
          <t>Gerente de TI / CIO (Director de Tecnología)</t>
        </is>
      </c>
      <c r="G1528" s="66" t="n"/>
      <c r="H1528" s="66" t="n"/>
      <c r="I1528" s="66" t="inlineStr">
        <is>
          <t>96.927.190-7</t>
        </is>
      </c>
      <c r="J1528" s="66" t="n"/>
      <c r="K1528" s="66" t="inlineStr">
        <is>
          <t>Ventas: GRANDE 4 (Mas de 1.000.000 UF) | Empleados: 335</t>
        </is>
      </c>
      <c r="L1528" s="61" t="n"/>
      <c r="M1528" s="61" t="n"/>
      <c r="N1528" s="61" t="n"/>
      <c r="O1528" s="61" t="n"/>
      <c r="P1528" s="61" t="n"/>
      <c r="Q1528" s="62" t="n"/>
      <c r="R1528" s="61" t="n"/>
    </row>
    <row r="1529" ht="15.75" customHeight="1" s="38">
      <c r="A1529" s="66" t="inlineStr">
        <is>
          <t>Prefast</t>
        </is>
      </c>
      <c r="B1529" s="66" t="inlineStr">
        <is>
          <t>Prefabricados de Hormigón</t>
        </is>
      </c>
      <c r="C1529" s="66" t="inlineStr">
        <is>
          <t>Santiago</t>
        </is>
      </c>
      <c r="D1529" s="66" t="inlineStr">
        <is>
          <t>contacto@prefast.cl</t>
        </is>
      </c>
      <c r="E1529" s="66" t="inlineStr">
        <is>
          <t>(56) 9 6674 3788</t>
        </is>
      </c>
      <c r="F1529" s="66" t="n"/>
      <c r="G1529" s="66" t="n"/>
      <c r="H1529" s="66" t="n"/>
      <c r="I1529" s="66" t="inlineStr">
        <is>
          <t>76.622.019-3</t>
        </is>
      </c>
      <c r="J1529" s="66" t="n"/>
      <c r="K1529" s="66" t="inlineStr">
        <is>
          <t>Ventas: GRANDE 1 (100.000 - 200.000 UF) | Empleados: 113</t>
        </is>
      </c>
      <c r="L1529" s="61" t="n"/>
      <c r="M1529" s="61" t="n"/>
      <c r="N1529" s="61" t="n"/>
      <c r="O1529" s="61" t="n"/>
      <c r="P1529" s="61" t="n"/>
      <c r="Q1529" s="62" t="n"/>
      <c r="R1529" s="61" t="n"/>
    </row>
    <row r="1530" ht="15.75" customHeight="1" s="38">
      <c r="A1530" s="66" t="inlineStr">
        <is>
          <t>Premium Ingenieros SpA</t>
        </is>
      </c>
      <c r="B1530" s="66" t="inlineStr">
        <is>
          <t>Asesorías, Peritajes, Ingeniería de Túneles e ITO.</t>
        </is>
      </c>
      <c r="C1530" s="66" t="inlineStr">
        <is>
          <t>La Serena</t>
        </is>
      </c>
      <c r="D1530" s="66" t="inlineStr">
        <is>
          <t>contacto@premiumingenieros.cl</t>
        </is>
      </c>
      <c r="E1530" s="66" t="inlineStr">
        <is>
          <t>(56) 9 9879 6096</t>
        </is>
      </c>
      <c r="F1530" s="66" t="n"/>
      <c r="G1530" s="66" t="n"/>
      <c r="H1530" s="66" t="n"/>
      <c r="I1530" s="66" t="inlineStr">
        <is>
          <t>78.808.510-9</t>
        </is>
      </c>
      <c r="J1530" s="66" t="n"/>
      <c r="K1530" s="66" t="inlineStr">
        <is>
          <t>Ventas: PEQUEÑA 2 (5.000 - 10.000 UF) | Empleados: 17</t>
        </is>
      </c>
      <c r="L1530" s="61" t="n"/>
      <c r="M1530" s="61" t="n"/>
      <c r="N1530" s="61" t="n"/>
      <c r="O1530" s="61" t="n"/>
      <c r="P1530" s="61" t="n"/>
      <c r="Q1530" s="62" t="n"/>
      <c r="R1530" s="61" t="n"/>
    </row>
    <row r="1531" ht="15.75" customHeight="1" s="38">
      <c r="A1531" s="66" t="inlineStr">
        <is>
          <t>Pretam</t>
        </is>
      </c>
      <c r="B1531" s="66" t="inlineStr">
        <is>
          <t>Prefabricados de Hormigón</t>
        </is>
      </c>
      <c r="C1531" s="66" t="inlineStr">
        <is>
          <t>Coquimbo</t>
        </is>
      </c>
      <c r="D1531" s="66" t="inlineStr">
        <is>
          <t>proyectos@pretam.org</t>
        </is>
      </c>
      <c r="E1531" s="66" t="inlineStr">
        <is>
          <t>(56) 9 4440 5716</t>
        </is>
      </c>
      <c r="F1531" s="66" t="n"/>
      <c r="G1531" s="66" t="n"/>
      <c r="H1531" s="66" t="n"/>
      <c r="I1531" s="66" t="inlineStr">
        <is>
          <t>76.954.728-2</t>
        </is>
      </c>
      <c r="J1531" s="66" t="n"/>
      <c r="K1531" s="66" t="inlineStr">
        <is>
          <t>Ventas: PEQUEÑA 3 (10.000 - 25.000 UF) | Empleados: 0</t>
        </is>
      </c>
      <c r="L1531" s="61" t="n"/>
      <c r="M1531" s="61" t="n"/>
      <c r="N1531" s="61" t="n"/>
      <c r="O1531" s="61" t="n"/>
      <c r="P1531" s="61" t="n"/>
      <c r="Q1531" s="62" t="n"/>
      <c r="R1531" s="61" t="n"/>
    </row>
    <row r="1532" ht="15.75" customHeight="1" s="38">
      <c r="A1532" s="66" t="inlineStr">
        <is>
          <t>Pretensados S.A.</t>
        </is>
      </c>
      <c r="B1532" s="66" t="inlineStr">
        <is>
          <t>Prefabricados de Concreto y Hormigón, Prefabricados para la Construcción</t>
        </is>
      </c>
      <c r="C1532" s="66" t="inlineStr">
        <is>
          <t>Santiago</t>
        </is>
      </c>
      <c r="D1532" s="66" t="inlineStr">
        <is>
          <t>pretensados@pretensados.cl</t>
        </is>
      </c>
      <c r="E1532" s="66" t="inlineStr">
        <is>
          <t>(56) 2 2339 1901</t>
        </is>
      </c>
      <c r="F1532" s="66" t="n"/>
      <c r="G1532" s="66" t="n"/>
      <c r="H1532" s="66" t="n"/>
      <c r="I1532" s="66" t="inlineStr">
        <is>
          <t>86.126.700-8</t>
        </is>
      </c>
      <c r="J1532" s="66" t="n"/>
      <c r="K1532" s="66" t="inlineStr">
        <is>
          <t>Ventas: MEDIANA 2 (50.000 - 100.000 UF) | Empleados: 57</t>
        </is>
      </c>
      <c r="L1532" s="61" t="n"/>
      <c r="M1532" s="61" t="n"/>
      <c r="N1532" s="61" t="n"/>
      <c r="O1532" s="61" t="n"/>
      <c r="P1532" s="61" t="n"/>
      <c r="Q1532" s="62" t="n"/>
      <c r="R1532" s="61" t="n"/>
    </row>
    <row r="1533" ht="15.75" customHeight="1" s="38">
      <c r="A1533" s="66" t="inlineStr">
        <is>
          <t>Prevsis</t>
        </is>
      </c>
      <c r="B1533" s="66" t="inlineStr">
        <is>
          <t>Seguimiento de Trinorma, Sistemas para Seguridad Ocupacional</t>
        </is>
      </c>
      <c r="C1533" s="66" t="inlineStr">
        <is>
          <t>Viña del Mar</t>
        </is>
      </c>
      <c r="D1533" s="66" t="n"/>
      <c r="E1533" s="66" t="inlineStr">
        <is>
          <t>(56) 32 317 4011</t>
        </is>
      </c>
      <c r="F1533" s="66" t="n"/>
      <c r="G1533" s="66" t="n"/>
      <c r="H1533" s="66" t="n"/>
      <c r="I1533" s="66" t="inlineStr">
        <is>
          <t>76.484.962-0</t>
        </is>
      </c>
      <c r="J1533" s="66" t="n"/>
      <c r="K1533" s="66" t="inlineStr">
        <is>
          <t>Ventas: MEDIANA 2 (50.000 - 100.000 UF) | Empleados: 32</t>
        </is>
      </c>
      <c r="L1533" s="61" t="n"/>
      <c r="M1533" s="61" t="n"/>
      <c r="N1533" s="61" t="n"/>
      <c r="O1533" s="61" t="n"/>
      <c r="P1533" s="61" t="n"/>
      <c r="Q1533" s="62" t="n"/>
      <c r="R1533" s="61" t="n"/>
    </row>
    <row r="1534" ht="15.75" customHeight="1" s="38">
      <c r="A1534" s="59" t="inlineStr">
        <is>
          <t>Prieto Abogados SpA</t>
        </is>
      </c>
      <c r="B1534" s="59" t="inlineStr">
        <is>
          <t>Asesorías Jurídicas en Minería, Servicios Legales</t>
        </is>
      </c>
      <c r="C1534" s="59" t="inlineStr">
        <is>
          <t>Santiago</t>
        </is>
      </c>
      <c r="D1534" s="59" t="inlineStr">
        <is>
          <t>prieto@prieto.cl</t>
        </is>
      </c>
      <c r="E1534" s="59" t="inlineStr">
        <is>
          <t>(56) 2 2280 5000</t>
        </is>
      </c>
      <c r="F1534" s="59" t="inlineStr">
        <is>
          <t>Waldo Reyes (Gerente de TI)</t>
        </is>
      </c>
      <c r="G1534" s="59" t="inlineStr">
        <is>
          <t>waldo.reyes@prieto.cl</t>
        </is>
      </c>
      <c r="H1534" s="59" t="n"/>
      <c r="I1534" s="59" t="inlineStr">
        <is>
          <t>76.448.731-1</t>
        </is>
      </c>
      <c r="J1534" s="59" t="inlineStr">
        <is>
          <t>Investigación en Proceso</t>
        </is>
      </c>
      <c r="K1534" s="59" t="inlineStr">
        <is>
          <t>Ventas: GRANDE 3 (600.000 - 1.000.000 UF) | Empleados: 98</t>
        </is>
      </c>
      <c r="L1534" s="61" t="n"/>
      <c r="M1534" s="61" t="n"/>
      <c r="N1534" s="61" t="n"/>
      <c r="O1534" s="61" t="n"/>
      <c r="P1534" s="61" t="n"/>
      <c r="Q1534" s="62" t="n"/>
      <c r="R1534" s="61" t="n"/>
    </row>
    <row r="1535" ht="15.75" customHeight="1" s="38">
      <c r="A1535" s="59" t="inlineStr">
        <is>
          <t>Prilogic</t>
        </is>
      </c>
      <c r="B1535" s="59" t="inlineStr">
        <is>
          <t>Artículos para Oficinas, Artículos para Protección Personal</t>
        </is>
      </c>
      <c r="C1535" s="59" t="inlineStr">
        <is>
          <t>Santiago</t>
        </is>
      </c>
      <c r="D1535" s="59" t="inlineStr">
        <is>
          <t>prilogic@prilogic.cl</t>
        </is>
      </c>
      <c r="E1535" s="59" t="inlineStr">
        <is>
          <t>(56) 2 2820 6300</t>
        </is>
      </c>
      <c r="F1535" s="59" t="inlineStr">
        <is>
          <t>Rodrigo Restrepo (Gerente General)</t>
        </is>
      </c>
      <c r="G1535" s="59" t="inlineStr">
        <is>
          <t>rrestrepo@prilogic.cl</t>
        </is>
      </c>
      <c r="H1535" s="59" t="n"/>
      <c r="I1535" s="59" t="inlineStr">
        <is>
          <t>76.460.560-8</t>
        </is>
      </c>
      <c r="J1535" s="59" t="inlineStr">
        <is>
          <t>Investigación en Proceso</t>
        </is>
      </c>
      <c r="K1535" s="59" t="inlineStr">
        <is>
          <t>Ventas: GRANDE 3 (600.000 - 1.000.000 UF) | Empleados: 81</t>
        </is>
      </c>
      <c r="L1535" s="61" t="n"/>
      <c r="M1535" s="61" t="n"/>
      <c r="N1535" s="61" t="n"/>
      <c r="O1535" s="61" t="n"/>
      <c r="P1535" s="61" t="n"/>
      <c r="Q1535" s="62" t="n"/>
      <c r="R1535" s="61" t="n"/>
    </row>
    <row r="1536" ht="15.75" customHeight="1" s="38">
      <c r="A1536" s="66" t="inlineStr">
        <is>
          <t>Prime Pumps SpA</t>
        </is>
      </c>
      <c r="B1536" s="66" t="inlineStr">
        <is>
          <t>Aplicaciones Industriales</t>
        </is>
      </c>
      <c r="C1536" s="66" t="inlineStr">
        <is>
          <t>Santiago</t>
        </is>
      </c>
      <c r="D1536" s="66" t="inlineStr">
        <is>
          <t>mperez@prpumps.com</t>
        </is>
      </c>
      <c r="E1536" s="66" t="inlineStr">
        <is>
          <t>(56) 9 5037 4244</t>
        </is>
      </c>
      <c r="F1536" s="66" t="n"/>
      <c r="G1536" s="66" t="n"/>
      <c r="H1536" s="66" t="n"/>
      <c r="I1536" s="66" t="inlineStr">
        <is>
          <t>76414911-4</t>
        </is>
      </c>
      <c r="J1536" s="66" t="n"/>
      <c r="K1536" s="66" t="inlineStr">
        <is>
          <t>Ventas: MEDIANA 1 (25.000 - 50.000 UF) | Empleados: 2</t>
        </is>
      </c>
      <c r="L1536" s="61" t="n"/>
      <c r="M1536" s="61" t="n"/>
      <c r="N1536" s="61" t="n"/>
      <c r="O1536" s="61" t="n"/>
      <c r="P1536" s="61" t="n"/>
      <c r="Q1536" s="62" t="n"/>
      <c r="R1536" s="61" t="n"/>
    </row>
    <row r="1537" ht="15.75" customHeight="1" s="38">
      <c r="A1537" s="66" t="inlineStr">
        <is>
          <t>Prinorte S.A.</t>
        </is>
      </c>
      <c r="B1537" s="66" t="inlineStr">
        <is>
          <t>Artículos para Aseo, Artículos para Oficinas, Artículos para Seguridad</t>
        </is>
      </c>
      <c r="C1537" s="66" t="inlineStr">
        <is>
          <t>Antofagasta</t>
        </is>
      </c>
      <c r="D1537" s="66" t="inlineStr">
        <is>
          <t>prinorte@prinorte.cl</t>
        </is>
      </c>
      <c r="E1537" s="66" t="inlineStr">
        <is>
          <t>(56) 55 246 6300</t>
        </is>
      </c>
      <c r="F1537" s="66" t="n"/>
      <c r="G1537" s="66" t="n"/>
      <c r="H1537" s="66" t="n"/>
      <c r="I1537" s="66" t="inlineStr">
        <is>
          <t>76.213.681-3</t>
        </is>
      </c>
      <c r="J1537" s="66" t="n"/>
      <c r="K1537" s="66" t="inlineStr">
        <is>
          <t>Ventas: GRANDE 3 (600.000 - 1.000.000 UF) | Empleados: 150</t>
        </is>
      </c>
      <c r="L1537" s="61" t="n"/>
      <c r="M1537" s="61" t="n"/>
      <c r="N1537" s="61" t="n"/>
      <c r="O1537" s="61" t="n"/>
      <c r="P1537" s="61" t="n"/>
      <c r="Q1537" s="62" t="n"/>
      <c r="R1537" s="61" t="n"/>
    </row>
    <row r="1538" ht="15.75" customHeight="1" s="38">
      <c r="A1538" s="66" t="inlineStr">
        <is>
          <t>Printec S.A.</t>
        </is>
      </c>
      <c r="B1538" s="66" t="inlineStr">
        <is>
          <t>Adhesivos</t>
        </is>
      </c>
      <c r="C1538" s="66" t="inlineStr">
        <is>
          <t>Santiago</t>
        </is>
      </c>
      <c r="D1538" s="66" t="inlineStr">
        <is>
          <t>printec@printec.cl</t>
        </is>
      </c>
      <c r="E1538" s="66" t="inlineStr">
        <is>
          <t>(56) 2 2498 1400</t>
        </is>
      </c>
      <c r="F1538" s="66" t="n"/>
      <c r="G1538" s="66" t="n"/>
      <c r="H1538" s="66" t="n"/>
      <c r="I1538" s="66" t="inlineStr">
        <is>
          <t>96.819.390-2</t>
        </is>
      </c>
      <c r="J1538" s="66" t="n"/>
      <c r="K1538" s="66" t="inlineStr">
        <is>
          <t>Ventas: GRANDE 3 (600.000 - 1.000.000 UF) | Empleados: 33</t>
        </is>
      </c>
      <c r="L1538" s="61" t="n"/>
      <c r="M1538" s="61" t="n"/>
      <c r="N1538" s="61" t="n"/>
      <c r="O1538" s="61" t="n"/>
      <c r="P1538" s="61" t="n"/>
      <c r="Q1538" s="62" t="n"/>
      <c r="R1538" s="61" t="n"/>
    </row>
    <row r="1539" ht="15.75" customHeight="1" s="38">
      <c r="A1539" s="66" t="inlineStr">
        <is>
          <t>Prisa Depot</t>
        </is>
      </c>
      <c r="B1539" s="66" t="inlineStr">
        <is>
          <t>Artículos para Aseo, Artículos para Oficinas, Ropa para Seguridad</t>
        </is>
      </c>
      <c r="C1539" s="66" t="inlineStr">
        <is>
          <t>Santiago</t>
        </is>
      </c>
      <c r="D1539" s="66" t="inlineStr">
        <is>
          <t>prisa@prisa.cl</t>
        </is>
      </c>
      <c r="E1539" s="66" t="inlineStr">
        <is>
          <t>(56) 2 2820 6000</t>
        </is>
      </c>
      <c r="F1539" s="66" t="n"/>
      <c r="G1539" s="66" t="n"/>
      <c r="H1539" s="66" t="n"/>
      <c r="I1539" s="66" t="inlineStr">
        <is>
          <t>96.556.940-5</t>
        </is>
      </c>
      <c r="J1539" s="66" t="n"/>
      <c r="K1539" s="66" t="inlineStr">
        <is>
          <t>Ventas: GRANDE (Estimado por Empleados) | Empleados: 478</t>
        </is>
      </c>
      <c r="L1539" s="61" t="n"/>
      <c r="M1539" s="61" t="n"/>
      <c r="N1539" s="61" t="n"/>
      <c r="O1539" s="61" t="n"/>
      <c r="P1539" s="61" t="n"/>
      <c r="Q1539" s="62" t="n"/>
      <c r="R1539" s="61" t="n"/>
    </row>
    <row r="1540" ht="15.75" customHeight="1" s="38">
      <c r="A1540" s="66" t="inlineStr">
        <is>
          <t>Pro Ambient S.A.</t>
        </is>
      </c>
      <c r="B1540" s="66" t="inlineStr">
        <is>
          <t>Domos de Aluminio para Estanques, Piscinas y Tratamientos de Agua, Preparación y Dosificación de Productos Químicos Secos a Granel para Tratamiento de Aguas y Minerales</t>
        </is>
      </c>
      <c r="C1540" s="66" t="inlineStr">
        <is>
          <t>Concepción</t>
        </is>
      </c>
      <c r="D1540" s="66" t="inlineStr">
        <is>
          <t>carlos.koch@pro-ambient.com</t>
        </is>
      </c>
      <c r="E1540" s="66" t="inlineStr">
        <is>
          <t>(56) 9 7732 4609</t>
        </is>
      </c>
      <c r="F1540" s="66" t="n"/>
      <c r="G1540" s="66" t="n"/>
      <c r="H1540" s="66" t="n"/>
      <c r="I1540" s="66" t="inlineStr">
        <is>
          <t>96.792.100-9</t>
        </is>
      </c>
      <c r="J1540" s="66" t="n"/>
      <c r="K1540" s="66" t="inlineStr">
        <is>
          <t>Ventas: MEDIANA 2 (50.000 - 100.000 UF) | Empleados: 63</t>
        </is>
      </c>
      <c r="L1540" s="61" t="n"/>
      <c r="M1540" s="61" t="n"/>
      <c r="N1540" s="61" t="n"/>
      <c r="O1540" s="61" t="n"/>
      <c r="P1540" s="61" t="n"/>
      <c r="Q1540" s="62" t="n"/>
      <c r="R1540" s="61" t="n"/>
    </row>
    <row r="1541" ht="15.75" customHeight="1" s="38">
      <c r="A1541" s="66" t="inlineStr">
        <is>
          <t>Pro-Tg Ltda.</t>
        </is>
      </c>
      <c r="B1541" s="66" t="inlineStr">
        <is>
          <t>Cercos Eléctricos, Sistemas para Seguridad</t>
        </is>
      </c>
      <c r="C1541" s="66" t="inlineStr">
        <is>
          <t>Santiago</t>
        </is>
      </c>
      <c r="D1541" s="66" t="inlineStr">
        <is>
          <t>info@pro-tg.com</t>
        </is>
      </c>
      <c r="E1541" s="66" t="inlineStr">
        <is>
          <t>(56) 2 2211 8000</t>
        </is>
      </c>
      <c r="F1541" s="66" t="n"/>
      <c r="G1541" s="66" t="n"/>
      <c r="H1541" s="66" t="n"/>
      <c r="I1541" s="66" t="inlineStr">
        <is>
          <t>77.794.110-0</t>
        </is>
      </c>
      <c r="J1541" s="66" t="n"/>
      <c r="K1541" s="66" t="inlineStr">
        <is>
          <t>Ventas: GRANDE 1 (100.000 - 200.000 UF) | Empleados: 104</t>
        </is>
      </c>
      <c r="L1541" s="61" t="n"/>
      <c r="M1541" s="61" t="n"/>
      <c r="N1541" s="61" t="n"/>
      <c r="O1541" s="61" t="n"/>
      <c r="P1541" s="61" t="n"/>
      <c r="Q1541" s="62" t="n"/>
      <c r="R1541" s="61" t="n"/>
    </row>
    <row r="1542" ht="15.75" customHeight="1" s="38">
      <c r="A1542" s="66" t="inlineStr">
        <is>
          <t>Proactiveoffice y Cía. Ltda.</t>
        </is>
      </c>
      <c r="B1542" s="66" t="inlineStr">
        <is>
          <t>Software para Control de Proyectos, Software para Proyectos EPCM</t>
        </is>
      </c>
      <c r="C1542" s="66" t="inlineStr">
        <is>
          <t>Santiago</t>
        </is>
      </c>
      <c r="D1542" s="66" t="n"/>
      <c r="E1542" s="66" t="inlineStr">
        <is>
          <t>(56) 2 2269 1518</t>
        </is>
      </c>
      <c r="F1542" s="66" t="n"/>
      <c r="G1542" s="66" t="n"/>
      <c r="H1542" s="66" t="n"/>
      <c r="I1542" s="66" t="inlineStr">
        <is>
          <t>76.005.173-K</t>
        </is>
      </c>
      <c r="J1542" s="66" t="n"/>
      <c r="K1542" s="66" t="inlineStr">
        <is>
          <t>Ventas: PEQUEÑA 3 (10.000 - 25.000 UF) | Empleados: 9</t>
        </is>
      </c>
      <c r="L1542" s="61" t="n"/>
      <c r="M1542" s="61" t="n"/>
      <c r="N1542" s="61" t="n"/>
      <c r="O1542" s="61" t="n"/>
      <c r="P1542" s="61" t="n"/>
      <c r="Q1542" s="62" t="n"/>
      <c r="R1542" s="61" t="n"/>
    </row>
    <row r="1543" ht="15.75" customHeight="1" s="38">
      <c r="A1543" s="66" t="inlineStr">
        <is>
          <t>Proasin SpA</t>
        </is>
      </c>
      <c r="B1543" s="66" t="inlineStr">
        <is>
          <t>Artículos para Aseo, Aseo Industrial</t>
        </is>
      </c>
      <c r="C1543" s="66" t="inlineStr">
        <is>
          <t>Santiago</t>
        </is>
      </c>
      <c r="D1543" s="66" t="inlineStr">
        <is>
          <t>proasin@proasin.cl</t>
        </is>
      </c>
      <c r="E1543" s="66" t="inlineStr">
        <is>
          <t>(56) 2 2223 2202</t>
        </is>
      </c>
      <c r="F1543" s="66" t="n"/>
      <c r="G1543" s="66" t="n"/>
      <c r="H1543" s="66" t="n"/>
      <c r="I1543" s="66" t="inlineStr">
        <is>
          <t>77.807.870-8</t>
        </is>
      </c>
      <c r="J1543" s="66" t="n"/>
      <c r="K1543" s="66" t="inlineStr">
        <is>
          <t>Ventas: MEDIANA 2 (50.000 - 100.000 UF) | Empleados: 16</t>
        </is>
      </c>
      <c r="L1543" s="61" t="n"/>
      <c r="M1543" s="61" t="n"/>
      <c r="N1543" s="61" t="n"/>
      <c r="O1543" s="61" t="n"/>
      <c r="P1543" s="61" t="n"/>
      <c r="Q1543" s="62" t="n"/>
      <c r="R1543" s="61" t="n"/>
    </row>
    <row r="1544" ht="15.75" customHeight="1" s="38">
      <c r="A1544" s="66" t="inlineStr">
        <is>
          <t>Procarros</t>
        </is>
      </c>
      <c r="B1544" s="66" t="inlineStr">
        <is>
          <t>Ruedas para Carros</t>
        </is>
      </c>
      <c r="C1544" s="66" t="inlineStr">
        <is>
          <t>Santiago</t>
        </is>
      </c>
      <c r="D1544" s="66" t="inlineStr">
        <is>
          <t>ventas@procarros.cl</t>
        </is>
      </c>
      <c r="E1544" s="66" t="inlineStr">
        <is>
          <t>(56) 2 2556 9715</t>
        </is>
      </c>
      <c r="F1544" s="66" t="n"/>
      <c r="G1544" s="66" t="n"/>
      <c r="H1544" s="66" t="n"/>
      <c r="I1544" s="66" t="inlineStr">
        <is>
          <t>77476183-7</t>
        </is>
      </c>
      <c r="J1544" s="66" t="n"/>
      <c r="K1544" s="66" t="inlineStr">
        <is>
          <t>Ventas: PEQUEÑA 1 (2.400 - 5.000 UF) | Empleados: 1</t>
        </is>
      </c>
      <c r="L1544" s="61" t="n"/>
      <c r="M1544" s="61" t="n"/>
      <c r="N1544" s="61" t="n"/>
      <c r="O1544" s="61" t="n"/>
      <c r="P1544" s="61" t="n"/>
      <c r="Q1544" s="62" t="n"/>
      <c r="R1544" s="61" t="n"/>
    </row>
    <row r="1545" ht="15.75" customHeight="1" s="38">
      <c r="A1545" s="66" t="inlineStr">
        <is>
          <t>Procaucho Ltda.</t>
        </is>
      </c>
      <c r="B1545" s="66" t="inlineStr">
        <is>
          <t>Componentes Hidráulicos</t>
        </is>
      </c>
      <c r="C1545" s="66" t="inlineStr">
        <is>
          <t>Santiago</t>
        </is>
      </c>
      <c r="D1545" s="66" t="inlineStr">
        <is>
          <t>ventas@procaucho.cl</t>
        </is>
      </c>
      <c r="E1545" s="66" t="inlineStr">
        <is>
          <t>(56) 2 2556 1080</t>
        </is>
      </c>
      <c r="F1545" s="66" t="n"/>
      <c r="G1545" s="66" t="n"/>
      <c r="H1545" s="66" t="n"/>
      <c r="I1545" s="66" t="inlineStr">
        <is>
          <t>84.490.800-8</t>
        </is>
      </c>
      <c r="J1545" s="66" t="n"/>
      <c r="K1545" s="66" t="inlineStr">
        <is>
          <t>Ventas: GRANDE 1 (100.000 - 200.000 UF) | Empleados: 25</t>
        </is>
      </c>
      <c r="L1545" s="61" t="n"/>
      <c r="M1545" s="61" t="n"/>
      <c r="N1545" s="61" t="n"/>
      <c r="O1545" s="61" t="n"/>
      <c r="P1545" s="61" t="n"/>
      <c r="Q1545" s="62" t="n"/>
      <c r="R1545" s="61" t="n"/>
    </row>
    <row r="1546" ht="15.75" customHeight="1" s="38">
      <c r="A1546" s="66" t="inlineStr">
        <is>
          <t>Procemax</t>
        </is>
      </c>
      <c r="B1546" s="66" t="inlineStr">
        <is>
          <t>Bombas para Pulpas Minerales</t>
        </is>
      </c>
      <c r="C1546" s="66" t="inlineStr">
        <is>
          <t>Santiago</t>
        </is>
      </c>
      <c r="D1546" s="66" t="inlineStr">
        <is>
          <t>info@procemax.com</t>
        </is>
      </c>
      <c r="E1546" s="66" t="inlineStr">
        <is>
          <t>(56) 2 2243 0107</t>
        </is>
      </c>
      <c r="F1546" s="66" t="n"/>
      <c r="G1546" s="66" t="n"/>
      <c r="H1546" s="66" t="n"/>
      <c r="I1546" s="66" t="inlineStr">
        <is>
          <t>77.975.370-0</t>
        </is>
      </c>
      <c r="J1546" s="66" t="n"/>
      <c r="K1546" s="66" t="inlineStr">
        <is>
          <t>Ventas: GRANDE 1 (100.000 - 200.000 UF) | Empleados: 29</t>
        </is>
      </c>
      <c r="L1546" s="61" t="n"/>
      <c r="M1546" s="61" t="n"/>
      <c r="N1546" s="61" t="n"/>
      <c r="O1546" s="61" t="n"/>
      <c r="P1546" s="61" t="n"/>
      <c r="Q1546" s="62" t="n"/>
      <c r="R1546" s="61" t="n"/>
    </row>
    <row r="1547" ht="15.75" customHeight="1" s="38">
      <c r="A1547" s="66" t="inlineStr">
        <is>
          <t>Process &amp; Fluids Technology</t>
        </is>
      </c>
      <c r="B1547" s="66" t="inlineStr">
        <is>
          <t>Bombas</t>
        </is>
      </c>
      <c r="C1547" s="66" t="inlineStr">
        <is>
          <t>Concepción</t>
        </is>
      </c>
      <c r="D1547" s="66" t="n"/>
      <c r="E1547" s="66" t="inlineStr">
        <is>
          <t>(56) 2 2316 7462</t>
        </is>
      </c>
      <c r="F1547" s="66" t="n"/>
      <c r="G1547" s="66" t="n"/>
      <c r="H1547" s="66" t="n"/>
      <c r="I1547" s="66" t="inlineStr">
        <is>
          <t>76.153.048-8</t>
        </is>
      </c>
      <c r="J1547" s="66" t="n"/>
      <c r="K1547" s="66" t="inlineStr">
        <is>
          <t>Ventas: PEQUEÑA 1 (2.400 - 5.000 UF) | Empleados: 0</t>
        </is>
      </c>
      <c r="L1547" s="61" t="n"/>
      <c r="M1547" s="61" t="n"/>
      <c r="N1547" s="61" t="n"/>
      <c r="O1547" s="61" t="n"/>
      <c r="P1547" s="61" t="n"/>
      <c r="Q1547" s="62" t="n"/>
      <c r="R1547" s="61" t="n"/>
    </row>
    <row r="1548" ht="15.75" customHeight="1" s="38">
      <c r="A1548" s="66" t="inlineStr">
        <is>
          <t>Prodalam</t>
        </is>
      </c>
      <c r="B1548" s="66" t="inlineStr">
        <is>
          <t>Refuerzo de Túneles, Sistemas para Contención de Rocas y Avalanchas</t>
        </is>
      </c>
      <c r="C1548" s="66" t="inlineStr">
        <is>
          <t>Santiago</t>
        </is>
      </c>
      <c r="D1548" s="66" t="inlineStr">
        <is>
          <t>ventas@prodalam.cl</t>
        </is>
      </c>
      <c r="E1548" s="66" t="inlineStr">
        <is>
          <t>(56) 2 2685 1000</t>
        </is>
      </c>
      <c r="F1548" s="66" t="n"/>
      <c r="G1548" s="66" t="n"/>
      <c r="H1548" s="66" t="n"/>
      <c r="I1548" s="66" t="inlineStr">
        <is>
          <t>93.772.000-9</t>
        </is>
      </c>
      <c r="J1548" s="66" t="n"/>
      <c r="K1548" s="66" t="inlineStr">
        <is>
          <t>Ventas: GRANDE (Estimado por Empleados) | Empleados: 975</t>
        </is>
      </c>
      <c r="L1548" s="61" t="n"/>
      <c r="M1548" s="61" t="n"/>
      <c r="N1548" s="61" t="n"/>
      <c r="O1548" s="61" t="n"/>
      <c r="P1548" s="61" t="n"/>
      <c r="Q1548" s="62" t="n"/>
      <c r="R1548" s="61" t="n"/>
    </row>
    <row r="1549" ht="15.75" customHeight="1" s="38">
      <c r="A1549" s="66" t="inlineStr">
        <is>
          <t>Progreso S.A.</t>
        </is>
      </c>
      <c r="B1549" s="66" t="inlineStr">
        <is>
          <t>Capital de Trabajo, Transporte</t>
        </is>
      </c>
      <c r="C1549" s="66" t="inlineStr">
        <is>
          <t>Santiago</t>
        </is>
      </c>
      <c r="D1549" s="66" t="inlineStr">
        <is>
          <t>contactenos@progreso.cl</t>
        </is>
      </c>
      <c r="E1549" s="66" t="inlineStr">
        <is>
          <t>(56) 2 2440 2300</t>
        </is>
      </c>
      <c r="F1549" s="66" t="n"/>
      <c r="G1549" s="66" t="n"/>
      <c r="H1549" s="66" t="inlineStr">
        <is>
          <t>http://www.progreso.cl</t>
        </is>
      </c>
      <c r="I1549" s="66" t="inlineStr">
        <is>
          <t>90.146.000-0</t>
        </is>
      </c>
      <c r="J1549" s="66" t="n"/>
      <c r="K1549" s="66" t="inlineStr">
        <is>
          <t>Ventas: GRANDE (Estimado por Empleados) | Empleados: 239</t>
        </is>
      </c>
      <c r="L1549" s="61" t="n"/>
      <c r="M1549" s="61" t="n"/>
      <c r="N1549" s="61" t="n"/>
      <c r="O1549" s="61" t="n"/>
      <c r="P1549" s="61" t="n"/>
      <c r="Q1549" s="62" t="n"/>
      <c r="R1549" s="61" t="n"/>
    </row>
    <row r="1550" ht="15.75" customHeight="1" s="38">
      <c r="A1550" s="59" t="inlineStr">
        <is>
          <t>Proindar S.A.</t>
        </is>
      </c>
      <c r="B1550" s="59" t="inlineStr">
        <is>
          <t>Sumideros</t>
        </is>
      </c>
      <c r="C1550" s="59" t="inlineStr">
        <is>
          <t>Santiago</t>
        </is>
      </c>
      <c r="D1550" s="59" t="inlineStr">
        <is>
          <t>ventas.proindar@arrigoni.cl</t>
        </is>
      </c>
      <c r="E1550" s="59" t="inlineStr">
        <is>
          <t>(56) 2 2829 9000</t>
        </is>
      </c>
      <c r="F1550" s="59" t="inlineStr">
        <is>
          <t>José Bueno (IT Manager)</t>
        </is>
      </c>
      <c r="G1550" s="59" t="n"/>
      <c r="H1550" s="59" t="n"/>
      <c r="I1550" s="59" t="inlineStr">
        <is>
          <t>76.839.170-K</t>
        </is>
      </c>
      <c r="J1550" s="59" t="inlineStr">
        <is>
          <t>Digitalización Procesos Industriales</t>
        </is>
      </c>
      <c r="K1550" s="59" t="inlineStr">
        <is>
          <t>Ventas: GRANDE 2 (200.000 - 600.000 UF) | Empleados: 90</t>
        </is>
      </c>
      <c r="L1550" s="61" t="n"/>
      <c r="M1550" s="61" t="n"/>
      <c r="N1550" s="61" t="n"/>
      <c r="O1550" s="61" t="n"/>
      <c r="P1550" s="61" t="n"/>
      <c r="Q1550" s="62" t="n"/>
      <c r="R1550" s="61" t="n"/>
    </row>
    <row r="1551" ht="15.75" customHeight="1" s="38">
      <c r="A1551" s="66" t="inlineStr">
        <is>
          <t>Proing Ingeniería S.A.</t>
        </is>
      </c>
      <c r="B1551" s="66" t="inlineStr">
        <is>
          <t>Asfaltos, Construcción de Obras Viales</t>
        </is>
      </c>
      <c r="C1551" s="66" t="inlineStr">
        <is>
          <t>Santiago</t>
        </is>
      </c>
      <c r="D1551" s="66" t="inlineStr">
        <is>
          <t>proing@proingingenieria.cl</t>
        </is>
      </c>
      <c r="E1551" s="66" t="inlineStr">
        <is>
          <t>(56) 2 2360 9673</t>
        </is>
      </c>
      <c r="F1551" s="66" t="n"/>
      <c r="G1551" s="66" t="n"/>
      <c r="H1551" s="66" t="n"/>
      <c r="I1551" s="66" t="inlineStr">
        <is>
          <t>79.786.990-2</t>
        </is>
      </c>
      <c r="J1551" s="66" t="n"/>
      <c r="K1551" s="66" t="inlineStr">
        <is>
          <t>Ventas: MICRO 2 (200 - 600 UF) | Empleados: 2</t>
        </is>
      </c>
      <c r="L1551" s="61" t="n"/>
      <c r="M1551" s="61" t="n"/>
      <c r="N1551" s="61" t="n"/>
      <c r="O1551" s="61" t="n"/>
      <c r="P1551" s="61" t="n"/>
      <c r="Q1551" s="62" t="n"/>
      <c r="R1551" s="61" t="n"/>
    </row>
    <row r="1552" ht="15.75" customHeight="1" s="38">
      <c r="A1552" s="59" t="inlineStr">
        <is>
          <t>Proingas S.A.</t>
        </is>
      </c>
      <c r="B1552" s="59" t="inlineStr">
        <is>
          <t>Equipos para Oxicorte</t>
        </is>
      </c>
      <c r="C1552" s="59" t="inlineStr">
        <is>
          <t>Santiago</t>
        </is>
      </c>
      <c r="D1552" s="59" t="inlineStr">
        <is>
          <t>proingas@proingas.cl</t>
        </is>
      </c>
      <c r="E1552" s="59" t="inlineStr">
        <is>
          <t>(56) 2 2437 5280</t>
        </is>
      </c>
      <c r="F1552" s="59" t="inlineStr">
        <is>
          <t>Sandra Ahumada Arce (Systems/IT Mgr)</t>
        </is>
      </c>
      <c r="G1552" s="59" t="n"/>
      <c r="H1552" s="59" t="n"/>
      <c r="I1552" s="59" t="inlineStr">
        <is>
          <t>96.869.810-9</t>
        </is>
      </c>
      <c r="J1552" s="59" t="inlineStr">
        <is>
          <t>Migración SAP Business One</t>
        </is>
      </c>
      <c r="K1552" s="59" t="inlineStr">
        <is>
          <t>Ventas: GRANDE 2 (200.000 - 600.000 UF) | Empleados: 27</t>
        </is>
      </c>
      <c r="L1552" s="61" t="n"/>
      <c r="M1552" s="61" t="n"/>
      <c r="N1552" s="61" t="n"/>
      <c r="O1552" s="61" t="n"/>
      <c r="P1552" s="61" t="n"/>
      <c r="Q1552" s="62" t="n"/>
      <c r="R1552" s="61" t="n"/>
    </row>
    <row r="1553" ht="15.75" customHeight="1" s="38">
      <c r="A1553" s="66" t="inlineStr">
        <is>
          <t>Proingesa</t>
        </is>
      </c>
      <c r="B1553" s="66" t="inlineStr">
        <is>
          <t>Proyectos de Ingeniería Multidisciplinaria de Alta Tensión</t>
        </is>
      </c>
      <c r="C1553" s="66" t="inlineStr">
        <is>
          <t>Concón</t>
        </is>
      </c>
      <c r="D1553" s="66" t="inlineStr">
        <is>
          <t>proingesa@proingesa.cl</t>
        </is>
      </c>
      <c r="E1553" s="66" t="inlineStr">
        <is>
          <t>(56) 32 251 6744</t>
        </is>
      </c>
      <c r="F1553" s="66" t="n"/>
      <c r="G1553" s="66" t="n"/>
      <c r="H1553" s="66" t="n"/>
      <c r="I1553" s="66" t="inlineStr">
        <is>
          <t>77.026.960-1</t>
        </is>
      </c>
      <c r="J1553" s="66" t="n"/>
      <c r="K1553" s="66" t="inlineStr">
        <is>
          <t>Ventas: GRANDE 1 (100.000 - 200.000 UF) | Empleados: 107</t>
        </is>
      </c>
      <c r="L1553" s="61" t="n"/>
      <c r="M1553" s="61" t="n"/>
      <c r="N1553" s="61" t="n"/>
      <c r="O1553" s="61" t="n"/>
      <c r="P1553" s="61" t="n"/>
      <c r="Q1553" s="62" t="n"/>
      <c r="R1553" s="61" t="n"/>
    </row>
    <row r="1554" ht="15.75" customHeight="1" s="38">
      <c r="A1554" s="66" t="inlineStr">
        <is>
          <t>Promet</t>
        </is>
      </c>
      <c r="B1554" s="66" t="inlineStr">
        <is>
          <t>Administración Hotelera, Campamentos Mineros y de Energía, Construcción Modular, Proyectos Modulares, Servicios de Alimentación</t>
        </is>
      </c>
      <c r="C1554" s="66" t="inlineStr">
        <is>
          <t>Santiago</t>
        </is>
      </c>
      <c r="D1554" s="66" t="inlineStr">
        <is>
          <t>contacto@promet.cl</t>
        </is>
      </c>
      <c r="E1554" s="66" t="inlineStr">
        <is>
          <t>(56) 2 2899 9151</t>
        </is>
      </c>
      <c r="F1554" s="66" t="n"/>
      <c r="G1554" s="66" t="n"/>
      <c r="H1554" s="66" t="inlineStr">
        <is>
          <t>http://www.promet.cl</t>
        </is>
      </c>
      <c r="I1554" s="66" t="inlineStr">
        <is>
          <t>96.853.940-K</t>
        </is>
      </c>
      <c r="J1554" s="66" t="n"/>
      <c r="K1554" s="66" t="inlineStr">
        <is>
          <t>Ventas: GRANDE (Estimado por Empleados) | Empleados: 1200</t>
        </is>
      </c>
      <c r="L1554" s="61" t="n"/>
      <c r="M1554" s="61" t="n"/>
      <c r="N1554" s="61" t="n"/>
      <c r="O1554" s="61" t="n"/>
      <c r="P1554" s="61" t="n"/>
      <c r="Q1554" s="62" t="n"/>
      <c r="R1554" s="61" t="n"/>
    </row>
    <row r="1555" ht="15.75" customHeight="1" s="38">
      <c r="A1555" s="66" t="inlineStr">
        <is>
          <t>Promet Montajes</t>
        </is>
      </c>
      <c r="B1555" s="66" t="inlineStr">
        <is>
          <t>Campamentos Mineros</t>
        </is>
      </c>
      <c r="C1555" s="66" t="inlineStr">
        <is>
          <t>Santiago</t>
        </is>
      </c>
      <c r="D1555" s="66" t="inlineStr">
        <is>
          <t>ventas@promet.cl</t>
        </is>
      </c>
      <c r="E1555" s="66" t="inlineStr">
        <is>
          <t>(56) 2 2471 1000</t>
        </is>
      </c>
      <c r="F1555" s="66" t="n"/>
      <c r="G1555" s="66" t="n"/>
      <c r="H1555" s="66" t="n"/>
      <c r="I1555" s="66" t="inlineStr">
        <is>
          <t>76.543.046-1</t>
        </is>
      </c>
      <c r="J1555" s="66" t="n"/>
      <c r="K1555" s="66" t="inlineStr">
        <is>
          <t>Ventas: GRANDE (Estimado por Empleados) | Empleados: 4101</t>
        </is>
      </c>
      <c r="L1555" s="61" t="n"/>
      <c r="M1555" s="61" t="n"/>
      <c r="N1555" s="61" t="n"/>
      <c r="O1555" s="61" t="n"/>
      <c r="P1555" s="61" t="n"/>
      <c r="Q1555" s="62" t="n"/>
      <c r="R1555" s="61" t="n"/>
    </row>
    <row r="1556" ht="15.75" customHeight="1" s="38">
      <c r="A1556" s="66" t="inlineStr">
        <is>
          <t>Prominent Chile S.A.</t>
        </is>
      </c>
      <c r="B1556" s="66" t="inlineStr">
        <is>
          <t>Bombas Dosificadoras</t>
        </is>
      </c>
      <c r="C1556" s="66" t="inlineStr">
        <is>
          <t>Santiago</t>
        </is>
      </c>
      <c r="D1556" s="66" t="inlineStr">
        <is>
          <t>prominent-cl@prominent.com</t>
        </is>
      </c>
      <c r="E1556" s="66" t="inlineStr">
        <is>
          <t>(56) 9 5686 6998</t>
        </is>
      </c>
      <c r="F1556" s="66" t="n"/>
      <c r="G1556" s="66" t="n"/>
      <c r="H1556" s="66" t="n"/>
      <c r="I1556" s="66" t="inlineStr">
        <is>
          <t>76.940.900-9</t>
        </is>
      </c>
      <c r="J1556" s="66" t="n"/>
      <c r="K1556" s="66" t="inlineStr">
        <is>
          <t>Ventas: GRANDE 1 (100.000 - 200.000 UF) | Empleados: 28</t>
        </is>
      </c>
      <c r="L1556" s="61" t="n"/>
      <c r="M1556" s="61" t="n"/>
      <c r="N1556" s="61" t="n"/>
      <c r="O1556" s="61" t="n"/>
      <c r="P1556" s="61" t="n"/>
      <c r="Q1556" s="62" t="n"/>
      <c r="R1556" s="61" t="n"/>
    </row>
    <row r="1557" ht="15.75" customHeight="1" s="38">
      <c r="A1557" s="66" t="inlineStr">
        <is>
          <t>ProPipe S.A.</t>
        </is>
      </c>
      <c r="B1557" s="66" t="inlineStr">
        <is>
          <t>Administración de Proyectos, Servicios de Ingeniería</t>
        </is>
      </c>
      <c r="C1557" s="66" t="inlineStr">
        <is>
          <t>Antofagasta</t>
        </is>
      </c>
      <c r="D1557" s="66" t="inlineStr">
        <is>
          <t>contacto@propipe.cl</t>
        </is>
      </c>
      <c r="E1557" s="66" t="inlineStr">
        <is>
          <t>(56) 55 253 8600</t>
        </is>
      </c>
      <c r="F1557" s="66" t="n"/>
      <c r="G1557" s="66" t="n"/>
      <c r="H1557" s="66" t="n"/>
      <c r="I1557" s="66" t="inlineStr">
        <is>
          <t>77.881.200-2</t>
        </is>
      </c>
      <c r="J1557" s="66" t="n"/>
      <c r="K1557" s="66" t="inlineStr">
        <is>
          <t>Ventas: GRANDE 1 (100.000 - 200.000 UF) | Empleados: 85</t>
        </is>
      </c>
      <c r="L1557" s="61" t="n"/>
      <c r="M1557" s="61" t="n"/>
      <c r="N1557" s="61" t="n"/>
      <c r="O1557" s="61" t="n"/>
      <c r="P1557" s="61" t="n"/>
      <c r="Q1557" s="62" t="n"/>
      <c r="R1557" s="61" t="n"/>
    </row>
    <row r="1558" ht="15.75" customHeight="1" s="38">
      <c r="A1558" s="66" t="inlineStr">
        <is>
          <t>Proquiel Manuchar</t>
        </is>
      </c>
      <c r="B1558" s="66" t="inlineStr">
        <is>
          <t>Agua Oxigenada, Cloruro de Calcio, Cloruro Férrico, Coagulantes, Colectores, Depresores, Electrolitos, Productos Químicos, Productos Químicos para la Minería, Productos Químicos para Tratamiento de Aguas y Riles, Reactivos Químicos para Flotación, Soda Cáustica</t>
        </is>
      </c>
      <c r="C1558" s="66" t="inlineStr">
        <is>
          <t>Santiago</t>
        </is>
      </c>
      <c r="D1558" s="66" t="inlineStr">
        <is>
          <t>ventas@proquiel.cl</t>
        </is>
      </c>
      <c r="E1558" s="66" t="inlineStr">
        <is>
          <t>(56) 2 2928 9300</t>
        </is>
      </c>
      <c r="F1558" s="66" t="n"/>
      <c r="G1558" s="66" t="n"/>
      <c r="H1558" s="66" t="inlineStr">
        <is>
          <t>http://www.proquiel.cl</t>
        </is>
      </c>
      <c r="I1558" s="66" t="inlineStr">
        <is>
          <t>79.559.670-4</t>
        </is>
      </c>
      <c r="J1558" s="66" t="n"/>
      <c r="K1558" s="66" t="inlineStr">
        <is>
          <t>Ventas: MEDIANA (Estimado por Empleados) | Empleados: 180</t>
        </is>
      </c>
      <c r="L1558" s="61" t="n"/>
      <c r="M1558" s="61" t="n"/>
      <c r="N1558" s="61" t="n"/>
      <c r="O1558" s="61" t="n"/>
      <c r="P1558" s="61" t="n"/>
      <c r="Q1558" s="62" t="n"/>
      <c r="R1558" s="61" t="n"/>
    </row>
    <row r="1559" ht="15.75" customHeight="1" s="38">
      <c r="A1559" s="66" t="inlineStr">
        <is>
          <t>Proquímica S.A.</t>
        </is>
      </c>
      <c r="B1559" s="66" t="inlineStr">
        <is>
          <t>Productos Químicos, Tratamiento de Aguas Industriales</t>
        </is>
      </c>
      <c r="C1559" s="66" t="inlineStr">
        <is>
          <t>Santiago</t>
        </is>
      </c>
      <c r="D1559" s="66" t="n"/>
      <c r="E1559" s="66" t="inlineStr">
        <is>
          <t>(56) 2 3293 2800</t>
        </is>
      </c>
      <c r="F1559" s="66" t="n"/>
      <c r="G1559" s="66" t="n"/>
      <c r="H1559" s="66" t="n"/>
      <c r="I1559" s="66" t="inlineStr">
        <is>
          <t>78.541.690-2</t>
        </is>
      </c>
      <c r="J1559" s="66" t="n"/>
      <c r="K1559" s="66" t="inlineStr">
        <is>
          <t>Ventas: GRANDE 2 (200.000 - 600.000 UF) | Empleados: 103</t>
        </is>
      </c>
      <c r="L1559" s="61" t="n"/>
      <c r="M1559" s="61" t="n"/>
      <c r="N1559" s="61" t="n"/>
      <c r="O1559" s="61" t="n"/>
      <c r="P1559" s="61" t="n"/>
      <c r="Q1559" s="62" t="n"/>
      <c r="R1559" s="61" t="n"/>
    </row>
    <row r="1560" ht="15.75" customHeight="1" s="38">
      <c r="A1560" s="66" t="inlineStr">
        <is>
          <t>Proseal</t>
        </is>
      </c>
      <c r="B1560" s="66" t="inlineStr">
        <is>
          <t>Bombas, Bombas Anticorrosivas, Bombas Autocebantes</t>
        </is>
      </c>
      <c r="C1560" s="66" t="inlineStr">
        <is>
          <t>Quilpué</t>
        </is>
      </c>
      <c r="D1560" s="66" t="inlineStr">
        <is>
          <t>contacto@proseal.cl</t>
        </is>
      </c>
      <c r="E1560" s="66" t="inlineStr">
        <is>
          <t>(56) 32 279 0300</t>
        </is>
      </c>
      <c r="F1560" s="66" t="inlineStr">
        <is>
          <t>Gerente de TI / CIO (Director de Tecnología)</t>
        </is>
      </c>
      <c r="G1560" s="66" t="n"/>
      <c r="H1560" s="66" t="n"/>
      <c r="I1560" s="66" t="inlineStr">
        <is>
          <t>77.932.330-7</t>
        </is>
      </c>
      <c r="J1560" s="66" t="n"/>
      <c r="K1560" s="66" t="inlineStr">
        <is>
          <t>Ventas: GRANDE 3 (600.000 - 1.000.000 UF) | Empleados: 110</t>
        </is>
      </c>
      <c r="L1560" s="61" t="n"/>
      <c r="M1560" s="61" t="n"/>
      <c r="N1560" s="61" t="n"/>
      <c r="O1560" s="61" t="n"/>
      <c r="P1560" s="61" t="n"/>
      <c r="Q1560" s="62" t="n"/>
      <c r="R1560" s="61" t="n"/>
    </row>
    <row r="1561" ht="15.75" customHeight="1" s="38">
      <c r="A1561" s="66" t="inlineStr">
        <is>
          <t>Prosol S.A.</t>
        </is>
      </c>
      <c r="B1561" s="66" t="inlineStr">
        <is>
          <t>Aceros para Revestimiento de Tolvas, Arriendo de Equipos para Soldar</t>
        </is>
      </c>
      <c r="C1561" s="66" t="inlineStr">
        <is>
          <t>Santiago</t>
        </is>
      </c>
      <c r="D1561" s="66" t="inlineStr">
        <is>
          <t>cvasquez@prosolsa.cl</t>
        </is>
      </c>
      <c r="E1561" s="66" t="inlineStr">
        <is>
          <t>(56) 9 7498 5210</t>
        </is>
      </c>
      <c r="F1561" s="66" t="n"/>
      <c r="G1561" s="66" t="n"/>
      <c r="H1561" s="66" t="n"/>
      <c r="I1561" s="66" t="inlineStr">
        <is>
          <t>79.546.960-5</t>
        </is>
      </c>
      <c r="J1561" s="66" t="n"/>
      <c r="K1561" s="66" t="inlineStr">
        <is>
          <t>Ventas: PEQUEÑA 1 (2.400 - 5.000 UF) | Empleados: 0</t>
        </is>
      </c>
      <c r="L1561" s="61" t="n"/>
      <c r="M1561" s="61" t="n"/>
      <c r="N1561" s="61" t="n"/>
      <c r="O1561" s="61" t="n"/>
      <c r="P1561" s="61" t="n"/>
      <c r="Q1561" s="62" t="n"/>
      <c r="R1561" s="61" t="n"/>
    </row>
    <row r="1562" ht="15.75" customHeight="1" s="38">
      <c r="A1562" s="66" t="inlineStr">
        <is>
          <t>Protab</t>
        </is>
      </c>
      <c r="B1562" s="66" t="inlineStr">
        <is>
          <t>Servicios para Continuidad Operacional</t>
        </is>
      </c>
      <c r="C1562" s="66" t="inlineStr">
        <is>
          <t>Santiago</t>
        </is>
      </c>
      <c r="D1562" s="66" t="inlineStr">
        <is>
          <t>contacto-chile@protab.com</t>
        </is>
      </c>
      <c r="E1562" s="66" t="inlineStr">
        <is>
          <t>(56) 2 2751 9000</t>
        </is>
      </c>
      <c r="F1562" s="66" t="n"/>
      <c r="G1562" s="66" t="n"/>
      <c r="H1562" s="66" t="n"/>
      <c r="I1562" s="66" t="inlineStr">
        <is>
          <t>77041767-8</t>
        </is>
      </c>
      <c r="J1562" s="66" t="n"/>
      <c r="K1562" s="66" t="inlineStr">
        <is>
          <t>Ventas: MICRO 1 (0.01 - 200 UF) | Empleados: 0</t>
        </is>
      </c>
      <c r="L1562" s="61" t="n"/>
      <c r="M1562" s="61" t="n"/>
      <c r="N1562" s="61" t="n"/>
      <c r="O1562" s="61" t="n"/>
      <c r="P1562" s="61" t="n"/>
      <c r="Q1562" s="62" t="n"/>
      <c r="R1562" s="61" t="n"/>
    </row>
    <row r="1563" ht="15.75" customHeight="1" s="38">
      <c r="A1563" s="66" t="inlineStr">
        <is>
          <t>Proteco Chile Ltda.</t>
        </is>
      </c>
      <c r="B1563" s="66" t="inlineStr">
        <is>
          <t>Analizadores de Vibraciones, Equipos para Análisis Químico</t>
        </is>
      </c>
      <c r="C1563" s="66" t="inlineStr">
        <is>
          <t>Santiago</t>
        </is>
      </c>
      <c r="D1563" s="66" t="inlineStr">
        <is>
          <t>soporte@proteco.cl</t>
        </is>
      </c>
      <c r="E1563" s="66" t="inlineStr">
        <is>
          <t>(56) 2 2869 6222</t>
        </is>
      </c>
      <c r="F1563" s="66" t="n"/>
      <c r="G1563" s="66" t="n"/>
      <c r="H1563" s="66" t="n"/>
      <c r="I1563" s="66" t="inlineStr">
        <is>
          <t>86.497.900-9</t>
        </is>
      </c>
      <c r="J1563" s="66" t="n"/>
      <c r="K1563" s="66" t="inlineStr">
        <is>
          <t>Ventas: GRANDE 1 (100.000 - 200.000 UF) | Empleados: 13</t>
        </is>
      </c>
      <c r="L1563" s="61" t="n"/>
      <c r="M1563" s="61" t="n"/>
      <c r="N1563" s="61" t="n"/>
      <c r="O1563" s="61" t="n"/>
      <c r="P1563" s="61" t="n"/>
      <c r="Q1563" s="62" t="n"/>
      <c r="R1563" s="61" t="n"/>
    </row>
    <row r="1564" ht="15.75" customHeight="1" s="38">
      <c r="A1564" s="66" t="inlineStr">
        <is>
          <t>Proteknia SpA</t>
        </is>
      </c>
      <c r="B1564" s="66" t="inlineStr">
        <is>
          <t>Sistemas para Alimentación Ininterrumpida de Energía (UPS)</t>
        </is>
      </c>
      <c r="C1564" s="66" t="inlineStr">
        <is>
          <t>Santiago</t>
        </is>
      </c>
      <c r="D1564" s="66" t="inlineStr">
        <is>
          <t>contacto@proteknia.cl</t>
        </is>
      </c>
      <c r="E1564" s="66" t="inlineStr">
        <is>
          <t>(56) 2 2480 9550</t>
        </is>
      </c>
      <c r="F1564" s="66" t="n"/>
      <c r="G1564" s="66" t="n"/>
      <c r="H1564" s="66" t="n"/>
      <c r="I1564" s="66" t="inlineStr">
        <is>
          <t>77.300.500-1</t>
        </is>
      </c>
      <c r="J1564" s="66" t="n"/>
      <c r="K1564" s="66" t="inlineStr">
        <is>
          <t>Ventas: PEQUEÑA 2 (5.000 - 10.000 UF) | Empleados: 2</t>
        </is>
      </c>
      <c r="L1564" s="61" t="n"/>
      <c r="M1564" s="61" t="n"/>
      <c r="N1564" s="61" t="n"/>
      <c r="O1564" s="61" t="n"/>
      <c r="P1564" s="61" t="n"/>
      <c r="Q1564" s="62" t="n"/>
      <c r="R1564" s="61" t="n"/>
    </row>
    <row r="1565" ht="15.75" customHeight="1" s="38">
      <c r="A1565" s="66" t="inlineStr">
        <is>
          <t>Provaltec</t>
        </is>
      </c>
      <c r="B1565" s="66" t="inlineStr">
        <is>
          <t>Válvulas</t>
        </is>
      </c>
      <c r="C1565" s="66" t="inlineStr">
        <is>
          <t>Santiago</t>
        </is>
      </c>
      <c r="D1565" s="66" t="inlineStr">
        <is>
          <t>contactoweb@provaltec.cl</t>
        </is>
      </c>
      <c r="E1565" s="66" t="inlineStr">
        <is>
          <t>(56) 2 3223 7290</t>
        </is>
      </c>
      <c r="F1565" s="66" t="n"/>
      <c r="G1565" s="66" t="n"/>
      <c r="H1565" s="66" t="n"/>
      <c r="I1565" s="66" t="inlineStr">
        <is>
          <t>76.317.144-2</t>
        </is>
      </c>
      <c r="J1565" s="66" t="n"/>
      <c r="K1565" s="66" t="inlineStr">
        <is>
          <t>Ventas: GRANDE 2 (200.000 - 600.000 UF) | Empleados: 30</t>
        </is>
      </c>
      <c r="L1565" s="61" t="n"/>
      <c r="M1565" s="61" t="n"/>
      <c r="N1565" s="61" t="n"/>
      <c r="O1565" s="61" t="n"/>
      <c r="P1565" s="61" t="n"/>
      <c r="Q1565" s="62" t="n"/>
      <c r="R1565" s="61" t="n"/>
    </row>
    <row r="1566" ht="15.75" customHeight="1" s="38">
      <c r="A1566" s="66" t="inlineStr">
        <is>
          <t>Provin Ltda.</t>
        </is>
      </c>
      <c r="B1566" s="66" t="inlineStr">
        <is>
          <t>Cilindros Oleohidráulicos, Tubos Hidráulicos</t>
        </is>
      </c>
      <c r="C1566" s="66" t="inlineStr">
        <is>
          <t>Santiago</t>
        </is>
      </c>
      <c r="D1566" s="66" t="n"/>
      <c r="E1566" s="66" t="inlineStr">
        <is>
          <t>(56) 2 2595 2050</t>
        </is>
      </c>
      <c r="F1566" s="66" t="n"/>
      <c r="G1566" s="66" t="n"/>
      <c r="H1566" s="66" t="n"/>
      <c r="I1566" s="66" t="inlineStr">
        <is>
          <t>79.880.570-3</t>
        </is>
      </c>
      <c r="J1566" s="66" t="n"/>
      <c r="K1566" s="66" t="inlineStr">
        <is>
          <t>Ventas: PEQUEÑA 2 (5.000 - 10.000 UF) | Empleados: 3</t>
        </is>
      </c>
      <c r="L1566" s="61" t="n"/>
      <c r="M1566" s="61" t="n"/>
      <c r="N1566" s="61" t="n"/>
      <c r="O1566" s="61" t="n"/>
      <c r="P1566" s="61" t="n"/>
      <c r="Q1566" s="62" t="n"/>
      <c r="R1566" s="61" t="n"/>
    </row>
    <row r="1567" ht="15.75" customHeight="1" s="38">
      <c r="A1567" s="66" t="inlineStr">
        <is>
          <t>Provinco S.A.</t>
        </is>
      </c>
      <c r="B1567" s="66" t="inlineStr">
        <is>
          <t>Equipos para Análisis Químico</t>
        </is>
      </c>
      <c r="C1567" s="66" t="inlineStr">
        <is>
          <t>Santiago</t>
        </is>
      </c>
      <c r="D1567" s="66" t="inlineStr">
        <is>
          <t>provinco@provinco.cl</t>
        </is>
      </c>
      <c r="E1567" s="66" t="inlineStr">
        <is>
          <t>(56) 2 2201 5700</t>
        </is>
      </c>
      <c r="F1567" s="66" t="n"/>
      <c r="G1567" s="66" t="n"/>
      <c r="H1567" s="66" t="n"/>
      <c r="I1567" s="66" t="inlineStr">
        <is>
          <t>99.548.410-2</t>
        </is>
      </c>
      <c r="J1567" s="66" t="n"/>
      <c r="K1567" s="66" t="inlineStr">
        <is>
          <t>Ventas: PEQUEÑA 3 (10.000 - 25.000 UF) | Empleados: 3</t>
        </is>
      </c>
      <c r="L1567" s="61" t="n"/>
      <c r="M1567" s="61" t="n"/>
      <c r="N1567" s="61" t="n"/>
      <c r="O1567" s="61" t="n"/>
      <c r="P1567" s="61" t="n"/>
      <c r="Q1567" s="62" t="n"/>
      <c r="R1567" s="61" t="n"/>
    </row>
    <row r="1568" ht="15.75" customHeight="1" s="38">
      <c r="A1568" s="66" t="inlineStr">
        <is>
          <t>Prowinch SpA</t>
        </is>
      </c>
      <c r="B1568" s="66" t="inlineStr">
        <is>
          <t>Tecles</t>
        </is>
      </c>
      <c r="C1568" s="66" t="inlineStr">
        <is>
          <t>Santiago</t>
        </is>
      </c>
      <c r="D1568" s="66" t="inlineStr">
        <is>
          <t>info@prowinch.cl</t>
        </is>
      </c>
      <c r="E1568" s="66" t="inlineStr">
        <is>
          <t>(56) 2 2621 8989</t>
        </is>
      </c>
      <c r="F1568" s="66" t="n"/>
      <c r="G1568" s="66" t="n"/>
      <c r="H1568" s="66" t="n"/>
      <c r="I1568" s="66" t="inlineStr">
        <is>
          <t>78.624.290-8</t>
        </is>
      </c>
      <c r="J1568" s="66" t="n"/>
      <c r="K1568" s="66" t="inlineStr">
        <is>
          <t>Ventas: GRANDE 1 (100.000 - 200.000 UF) | Empleados: 36</t>
        </is>
      </c>
      <c r="L1568" s="61" t="n"/>
      <c r="M1568" s="61" t="n"/>
      <c r="N1568" s="61" t="n"/>
      <c r="O1568" s="61" t="n"/>
      <c r="P1568" s="61" t="n"/>
      <c r="Q1568" s="62" t="n"/>
      <c r="R1568" s="61" t="n"/>
    </row>
    <row r="1569" ht="15.75" customHeight="1" s="38">
      <c r="A1569" s="66" t="inlineStr">
        <is>
          <t>Proyaluk</t>
        </is>
      </c>
      <c r="B1569" s="66" t="inlineStr">
        <is>
          <t>Accesorios para Tierras y Pararrayos</t>
        </is>
      </c>
      <c r="C1569" s="66" t="inlineStr">
        <is>
          <t>Santiago</t>
        </is>
      </c>
      <c r="D1569" s="66" t="inlineStr">
        <is>
          <t>ventas@proyaluk.cl</t>
        </is>
      </c>
      <c r="E1569" s="66" t="inlineStr">
        <is>
          <t>(56) 9 6300 6190</t>
        </is>
      </c>
      <c r="F1569" s="66" t="n"/>
      <c r="G1569" s="66" t="n"/>
      <c r="H1569" s="66" t="n"/>
      <c r="I1569" s="66" t="inlineStr">
        <is>
          <t>76.307.291-6</t>
        </is>
      </c>
      <c r="J1569" s="66" t="n"/>
      <c r="K1569" s="66" t="inlineStr">
        <is>
          <t>Ventas: PEQUEÑA 3 (10.000 - 25.000 UF) | Empleados: 4</t>
        </is>
      </c>
      <c r="L1569" s="61" t="n"/>
      <c r="M1569" s="61" t="n"/>
      <c r="N1569" s="61" t="n"/>
      <c r="O1569" s="61" t="n"/>
      <c r="P1569" s="61" t="n"/>
      <c r="Q1569" s="62" t="n"/>
      <c r="R1569" s="61" t="n"/>
    </row>
    <row r="1570" ht="15.75" customHeight="1" s="38">
      <c r="A1570" s="66" t="inlineStr">
        <is>
          <t>Psei Ltda.</t>
        </is>
      </c>
      <c r="B1570" s="66" t="inlineStr">
        <is>
          <t>Bujes, Sellos</t>
        </is>
      </c>
      <c r="C1570" s="66" t="inlineStr">
        <is>
          <t>Santiago</t>
        </is>
      </c>
      <c r="D1570" s="66" t="inlineStr">
        <is>
          <t>ventas@psei.cl</t>
        </is>
      </c>
      <c r="E1570" s="66" t="inlineStr">
        <is>
          <t>(56) 9 9090 9918</t>
        </is>
      </c>
      <c r="F1570" s="66" t="n"/>
      <c r="G1570" s="66" t="n"/>
      <c r="H1570" s="66" t="n"/>
      <c r="I1570" s="66" t="inlineStr">
        <is>
          <t>52.000.965-5</t>
        </is>
      </c>
      <c r="J1570" s="66" t="n"/>
      <c r="K1570" s="66" t="inlineStr">
        <is>
          <t>Ventas: MEDIANA 1 (25.000 - 50.000 UF) | Empleados: 3</t>
        </is>
      </c>
      <c r="L1570" s="61" t="n"/>
      <c r="M1570" s="61" t="n"/>
      <c r="N1570" s="61" t="n"/>
      <c r="O1570" s="61" t="n"/>
      <c r="P1570" s="61" t="n"/>
      <c r="Q1570" s="62" t="n"/>
      <c r="R1570" s="61" t="n"/>
    </row>
    <row r="1571" ht="15.75" customHeight="1" s="38">
      <c r="A1571" s="59" t="inlineStr">
        <is>
          <t>Pucará S.A.</t>
        </is>
      </c>
      <c r="B1571" s="59" t="inlineStr">
        <is>
          <t>Servicio de Apoyo a la Gestión Invernal, Suministro y Montaje de Sistemas de Control de Caída de Rocas, Suministro, Montaje y Puesta en Marcha de Sistemas de Control de Avalanchas</t>
        </is>
      </c>
      <c r="C1571" s="59" t="inlineStr">
        <is>
          <t>Santiago</t>
        </is>
      </c>
      <c r="D1571" s="59" t="inlineStr">
        <is>
          <t>info@pucara-sa.cl</t>
        </is>
      </c>
      <c r="E1571" s="59" t="inlineStr">
        <is>
          <t>(56) 2 2223 6167</t>
        </is>
      </c>
      <c r="F1571" s="59" t="inlineStr">
        <is>
          <t>Roberto Pérez Contreras (Gte Desarrollo y Operaciones)</t>
        </is>
      </c>
      <c r="G1571" s="59" t="inlineStr">
        <is>
          <t>rperez@pucara.cl</t>
        </is>
      </c>
      <c r="H1571" s="59" t="n"/>
      <c r="I1571" s="59" t="inlineStr">
        <is>
          <t>96.625.270-7</t>
        </is>
      </c>
      <c r="J1571" s="59" t="inlineStr">
        <is>
          <t>Investigación en Proceso</t>
        </is>
      </c>
      <c r="K1571" s="59" t="inlineStr">
        <is>
          <t>Ventas: GRANDE 3 (600.000 - 1.000.000 UF) | Empleados: 534</t>
        </is>
      </c>
      <c r="L1571" s="61" t="n"/>
      <c r="M1571" s="61" t="n"/>
      <c r="N1571" s="61" t="n"/>
      <c r="O1571" s="61" t="n"/>
      <c r="P1571" s="61" t="n"/>
      <c r="Q1571" s="62" t="n"/>
      <c r="R1571" s="61" t="n"/>
    </row>
    <row r="1572" ht="15.75" customHeight="1" s="38">
      <c r="A1572" s="66" t="inlineStr">
        <is>
          <t>Pucobre</t>
        </is>
      </c>
      <c r="B1572" s="66" t="inlineStr">
        <is>
          <t>Cobre</t>
        </is>
      </c>
      <c r="C1572" s="66" t="inlineStr">
        <is>
          <t>Copiapó</t>
        </is>
      </c>
      <c r="D1572" s="66" t="n"/>
      <c r="E1572" s="66" t="inlineStr">
        <is>
          <t>(56) 52 220 5832</t>
        </is>
      </c>
      <c r="F1572" s="66" t="n"/>
      <c r="G1572" s="66" t="n"/>
      <c r="H1572" s="66" t="n"/>
      <c r="I1572" s="66" t="inlineStr">
        <is>
          <t>96.561.560-1</t>
        </is>
      </c>
      <c r="J1572" s="66" t="n"/>
      <c r="K1572" s="66" t="inlineStr">
        <is>
          <t>Ventas: GRANDE (Estimado por Empleados) | Empleados: 1343</t>
        </is>
      </c>
      <c r="L1572" s="61" t="n"/>
      <c r="M1572" s="61" t="n"/>
      <c r="N1572" s="61" t="n"/>
      <c r="O1572" s="61" t="n"/>
      <c r="P1572" s="61" t="n"/>
      <c r="Q1572" s="62" t="n"/>
      <c r="R1572" s="61" t="n"/>
    </row>
    <row r="1573" ht="15.75" customHeight="1" s="38">
      <c r="A1573" s="66" t="inlineStr">
        <is>
          <t>Puerto Angamos</t>
        </is>
      </c>
      <c r="B1573" s="66" t="inlineStr">
        <is>
          <t>Puertos</t>
        </is>
      </c>
      <c r="C1573" s="66" t="inlineStr">
        <is>
          <t>Mejillones</t>
        </is>
      </c>
      <c r="D1573" s="66" t="inlineStr">
        <is>
          <t>grupocomercial@puertoangamos.cl</t>
        </is>
      </c>
      <c r="E1573" s="66" t="inlineStr">
        <is>
          <t>(56) 55 235 7000</t>
        </is>
      </c>
      <c r="F1573" s="66" t="n"/>
      <c r="G1573" s="66" t="n"/>
      <c r="H1573" s="66" t="n"/>
      <c r="I1573" s="66" t="inlineStr">
        <is>
          <t>96.789.280-7</t>
        </is>
      </c>
      <c r="J1573" s="66" t="n"/>
      <c r="K1573" s="66" t="inlineStr">
        <is>
          <t>Ventas: MEDIANA (Estimado por Empleados) | Empleados: 175</t>
        </is>
      </c>
      <c r="L1573" s="61" t="n"/>
      <c r="M1573" s="61" t="n"/>
      <c r="N1573" s="61" t="n"/>
      <c r="O1573" s="61" t="n"/>
      <c r="P1573" s="61" t="n"/>
      <c r="Q1573" s="62" t="n"/>
      <c r="R1573" s="61" t="n"/>
    </row>
    <row r="1574" ht="15.75" customHeight="1" s="38">
      <c r="A1574" s="59" t="inlineStr">
        <is>
          <t>Puerto Antofagasta</t>
        </is>
      </c>
      <c r="B1574" s="59" t="inlineStr">
        <is>
          <t>Puertos, Servicios Portuarios</t>
        </is>
      </c>
      <c r="C1574" s="59" t="inlineStr">
        <is>
          <t>Antofagasta</t>
        </is>
      </c>
      <c r="D1574" s="59" t="inlineStr">
        <is>
          <t>oficinadepartes@puertoantofagasta.cl</t>
        </is>
      </c>
      <c r="E1574" s="59" t="inlineStr">
        <is>
          <t>(56) 55 256 3736</t>
        </is>
      </c>
      <c r="F1574" s="59" t="inlineStr">
        <is>
          <t>Carlos Fredes (Jefe TI)</t>
        </is>
      </c>
      <c r="G1574" s="59" t="inlineStr">
        <is>
          <t>cfredes@puertoantofagasta.cl</t>
        </is>
      </c>
      <c r="H1574" s="59" t="n"/>
      <c r="I1574" s="59" t="inlineStr">
        <is>
          <t>73.968.300-9</t>
        </is>
      </c>
      <c r="J1574" s="59" t="inlineStr">
        <is>
          <t>Port Community System (PCS) Transf. Digital Logística</t>
        </is>
      </c>
      <c r="K1574" s="59" t="inlineStr">
        <is>
          <t>Ventas: GRANDE 4 (Mas de 1.000.000 UF) | Empleados: 54</t>
        </is>
      </c>
      <c r="L1574" s="61" t="n"/>
      <c r="M1574" s="61" t="n"/>
      <c r="N1574" s="61" t="n"/>
      <c r="O1574" s="61" t="n"/>
      <c r="P1574" s="61" t="n"/>
      <c r="Q1574" s="62" t="n"/>
      <c r="R1574" s="61" t="n"/>
    </row>
    <row r="1575" ht="15.75" customHeight="1" s="38">
      <c r="A1575" s="59" t="inlineStr">
        <is>
          <t>Puerto de Mejillones</t>
        </is>
      </c>
      <c r="B1575" s="59" t="inlineStr">
        <is>
          <t>Puertos, Servicios Portuarios</t>
        </is>
      </c>
      <c r="C1575" s="59" t="inlineStr">
        <is>
          <t>Mejillones</t>
        </is>
      </c>
      <c r="D1575" s="59" t="inlineStr">
        <is>
          <t>contacto@puertomejillones.cl</t>
        </is>
      </c>
      <c r="E1575" s="59" t="inlineStr">
        <is>
          <t>(56) 55 288 3601</t>
        </is>
      </c>
      <c r="F1575" s="59" t="inlineStr">
        <is>
          <t>Alberto Bruna Solar (Jefe TI &amp; Transf Digital)</t>
        </is>
      </c>
      <c r="G1575" s="59" t="inlineStr">
        <is>
          <t>abruna@puertomejillones.cl</t>
        </is>
      </c>
      <c r="H1575" s="59" t="n"/>
      <c r="I1575" s="59" t="inlineStr">
        <is>
          <t>96.676.520-8</t>
        </is>
      </c>
      <c r="J1575" s="59" t="inlineStr">
        <is>
          <t>TOS &amp; Automatización</t>
        </is>
      </c>
      <c r="K1575" s="59" t="inlineStr">
        <is>
          <t>Ventas: GRANDE 4 (Mas de 1.000.000 UF) | Empleados: 0</t>
        </is>
      </c>
      <c r="L1575" s="61" t="n"/>
      <c r="M1575" s="61" t="n"/>
      <c r="N1575" s="61" t="n"/>
      <c r="O1575" s="61" t="n"/>
      <c r="P1575" s="61" t="n"/>
      <c r="Q1575" s="62" t="n"/>
      <c r="R1575" s="61" t="n"/>
    </row>
    <row r="1576" ht="15.75" customHeight="1" s="38">
      <c r="A1576" s="66" t="inlineStr">
        <is>
          <t>Puerto Ventanas S.A.</t>
        </is>
      </c>
      <c r="B1576" s="66" t="inlineStr">
        <is>
          <t>Puertos, Servicios Portuarios</t>
        </is>
      </c>
      <c r="C1576" s="66" t="inlineStr">
        <is>
          <t>Santiago</t>
        </is>
      </c>
      <c r="D1576" s="66" t="inlineStr">
        <is>
          <t>pventanas@pvsa.cl</t>
        </is>
      </c>
      <c r="E1576" s="66" t="inlineStr">
        <is>
          <t>(56) 2 2837 2900</t>
        </is>
      </c>
      <c r="F1576" s="66" t="n"/>
      <c r="G1576" s="66" t="n"/>
      <c r="H1576" s="66" t="n"/>
      <c r="I1576" s="66" t="inlineStr">
        <is>
          <t>96.602.640-5</t>
        </is>
      </c>
      <c r="J1576" s="66" t="n"/>
      <c r="K1576" s="66" t="inlineStr">
        <is>
          <t>Ventas: GRANDE (Estimado por Empleados) | Empleados: 495</t>
        </is>
      </c>
      <c r="L1576" s="61" t="n"/>
      <c r="M1576" s="61" t="n"/>
      <c r="N1576" s="61" t="n"/>
      <c r="O1576" s="61" t="n"/>
      <c r="P1576" s="61" t="n"/>
      <c r="Q1576" s="62" t="n"/>
      <c r="R1576" s="61" t="n"/>
    </row>
    <row r="1577" ht="15.75" customHeight="1" s="38">
      <c r="A1577" s="66" t="inlineStr">
        <is>
          <t>Puma S.A.</t>
        </is>
      </c>
      <c r="B1577" s="66" t="inlineStr">
        <is>
          <t>Construcción de Obras Civiles</t>
        </is>
      </c>
      <c r="C1577" s="66" t="inlineStr">
        <is>
          <t>Santiago</t>
        </is>
      </c>
      <c r="D1577" s="66" t="inlineStr">
        <is>
          <t>fpuga@pugamujica.cl</t>
        </is>
      </c>
      <c r="E1577" s="66" t="inlineStr">
        <is>
          <t>(56) 2 2838 3100</t>
        </is>
      </c>
      <c r="F1577" s="66" t="n"/>
      <c r="G1577" s="66" t="n"/>
      <c r="H1577" s="66" t="n"/>
      <c r="I1577" s="66" t="inlineStr">
        <is>
          <t>89.003.900-6</t>
        </is>
      </c>
      <c r="J1577" s="66" t="n"/>
      <c r="K1577" s="66" t="inlineStr">
        <is>
          <t>Ventas: GRANDE (Estimado por Empleados) | Empleados: 2011</t>
        </is>
      </c>
      <c r="L1577" s="61" t="n"/>
      <c r="M1577" s="61" t="n"/>
      <c r="N1577" s="61" t="n"/>
      <c r="O1577" s="61" t="n"/>
      <c r="P1577" s="61" t="n"/>
      <c r="Q1577" s="62" t="n"/>
      <c r="R1577" s="61" t="n"/>
    </row>
    <row r="1578" ht="15.75" customHeight="1" s="38">
      <c r="A1578" s="66" t="inlineStr">
        <is>
          <t>Puntosur</t>
        </is>
      </c>
      <c r="B1578" s="66" t="inlineStr">
        <is>
          <t>Desarrollo de Aplicaciones Tecnológicas para Empresas de Energía</t>
        </is>
      </c>
      <c r="C1578" s="66" t="inlineStr">
        <is>
          <t>Santiago</t>
        </is>
      </c>
      <c r="D1578" s="66" t="n"/>
      <c r="E1578" s="66" t="inlineStr">
        <is>
          <t>(56) 2 2231 3448</t>
        </is>
      </c>
      <c r="F1578" s="66" t="n"/>
      <c r="G1578" s="66" t="n"/>
      <c r="H1578" s="66" t="n"/>
      <c r="I1578" s="66" t="inlineStr">
        <is>
          <t>76632732-K</t>
        </is>
      </c>
      <c r="J1578" s="66" t="n"/>
      <c r="K1578" s="66" t="inlineStr">
        <is>
          <t>Ventas: MICRO 1 (0.01 - 200 UF) | Empleados: 0</t>
        </is>
      </c>
      <c r="L1578" s="61" t="n"/>
      <c r="M1578" s="61" t="n"/>
      <c r="N1578" s="61" t="n"/>
      <c r="O1578" s="61" t="n"/>
      <c r="P1578" s="61" t="n"/>
      <c r="Q1578" s="62" t="n"/>
      <c r="R1578" s="61" t="n"/>
    </row>
    <row r="1579" ht="15.75" customHeight="1" s="38">
      <c r="A1579" s="66" t="inlineStr">
        <is>
          <t>PWC Chile</t>
        </is>
      </c>
      <c r="B1579" s="66" t="inlineStr">
        <is>
          <t>Consultoría en Gestión Empresarial</t>
        </is>
      </c>
      <c r="C1579" s="66" t="inlineStr">
        <is>
          <t>Santiago</t>
        </is>
      </c>
      <c r="D1579" s="66" t="inlineStr">
        <is>
          <t>cl_pwcchile@pwc.com</t>
        </is>
      </c>
      <c r="E1579" s="66" t="inlineStr">
        <is>
          <t>(56) 9 3861 7940</t>
        </is>
      </c>
      <c r="F1579" s="66" t="n"/>
      <c r="G1579" s="66" t="n"/>
      <c r="H1579" s="66" t="n"/>
      <c r="I1579" s="66" t="inlineStr">
        <is>
          <t>81.513.400-1</t>
        </is>
      </c>
      <c r="J1579" s="66" t="n"/>
      <c r="K1579" s="66" t="inlineStr">
        <is>
          <t>Ventas: GRANDE (Estimado por Empleados) | Empleados: 1993</t>
        </is>
      </c>
      <c r="L1579" s="61" t="n"/>
      <c r="M1579" s="61" t="n"/>
      <c r="N1579" s="61" t="n"/>
      <c r="O1579" s="61" t="n"/>
      <c r="P1579" s="61" t="n"/>
      <c r="Q1579" s="62" t="n"/>
      <c r="R1579" s="61" t="n"/>
    </row>
    <row r="1580" ht="15.75" customHeight="1" s="38">
      <c r="A1580" s="66" t="inlineStr">
        <is>
          <t>Quantec Geoscience Chile</t>
        </is>
      </c>
      <c r="B1580" s="66" t="inlineStr">
        <is>
          <t>Topografía Geofísica</t>
        </is>
      </c>
      <c r="C1580" s="66" t="inlineStr">
        <is>
          <t>Santiago</t>
        </is>
      </c>
      <c r="D1580" s="66" t="inlineStr">
        <is>
          <t>nunger@quantecgeoscience.com</t>
        </is>
      </c>
      <c r="E1580" s="66" t="inlineStr">
        <is>
          <t>(56) 2 2368 4564</t>
        </is>
      </c>
      <c r="F1580" s="66" t="n"/>
      <c r="G1580" s="66" t="n"/>
      <c r="H1580" s="66" t="n"/>
      <c r="I1580" s="66" t="inlineStr">
        <is>
          <t>76.078.240-8</t>
        </is>
      </c>
      <c r="J1580" s="66" t="n"/>
      <c r="K1580" s="66" t="inlineStr">
        <is>
          <t>Ventas: GRANDE 1 (100.000 - 200.000 UF) | Empleados: 45</t>
        </is>
      </c>
      <c r="L1580" s="61" t="n"/>
      <c r="M1580" s="61" t="n"/>
      <c r="N1580" s="61" t="n"/>
      <c r="O1580" s="61" t="n"/>
      <c r="P1580" s="61" t="n"/>
      <c r="Q1580" s="62" t="n"/>
      <c r="R1580" s="61" t="n"/>
    </row>
    <row r="1581" ht="15.75" customHeight="1" s="38">
      <c r="A1581" s="66" t="inlineStr">
        <is>
          <t>Quiborax</t>
        </is>
      </c>
      <c r="B1581" s="66" t="inlineStr">
        <is>
          <t>Acido Bórico, Boratos de Especialidad</t>
        </is>
      </c>
      <c r="C1581" s="66" t="inlineStr">
        <is>
          <t>Arica</t>
        </is>
      </c>
      <c r="D1581" s="66" t="inlineStr">
        <is>
          <t>plant@quiborax.com</t>
        </is>
      </c>
      <c r="E1581" s="66" t="inlineStr">
        <is>
          <t>(56) 58 224 1858</t>
        </is>
      </c>
      <c r="F1581" s="66" t="n"/>
      <c r="G1581" s="66" t="n"/>
      <c r="H1581" s="66" t="n"/>
      <c r="I1581" s="66" t="inlineStr">
        <is>
          <t>79.639.570-2</t>
        </is>
      </c>
      <c r="J1581" s="66" t="n"/>
      <c r="K1581" s="66" t="inlineStr">
        <is>
          <t>Ventas: GRANDE (Estimado por Empleados) | Empleados: 1230</t>
        </is>
      </c>
      <c r="L1581" s="61" t="n"/>
      <c r="M1581" s="61" t="n"/>
      <c r="N1581" s="61" t="n"/>
      <c r="O1581" s="61" t="n"/>
      <c r="P1581" s="61" t="n"/>
      <c r="Q1581" s="62" t="n"/>
      <c r="R1581" s="61" t="n"/>
    </row>
    <row r="1582" ht="15.75" customHeight="1" s="38">
      <c r="A1582" s="66" t="inlineStr">
        <is>
          <t>Quimetal</t>
        </is>
      </c>
      <c r="B1582" s="66" t="inlineStr">
        <is>
          <t>Productos Químicos para la Minería, Productos Químicos para Tratamiento de Agua</t>
        </is>
      </c>
      <c r="C1582" s="66" t="inlineStr">
        <is>
          <t>Santiago</t>
        </is>
      </c>
      <c r="D1582" s="66" t="inlineStr">
        <is>
          <t>comercial@quimetal.cl</t>
        </is>
      </c>
      <c r="E1582" s="66" t="inlineStr">
        <is>
          <t>(56) 2 2381 7000</t>
        </is>
      </c>
      <c r="F1582" s="66" t="n"/>
      <c r="G1582" s="66" t="n"/>
      <c r="H1582" s="66" t="n"/>
      <c r="I1582" s="66" t="inlineStr">
        <is>
          <t>87.001.500-3</t>
        </is>
      </c>
      <c r="J1582" s="66" t="n"/>
      <c r="K1582" s="66" t="inlineStr">
        <is>
          <t>Ventas: GRANDE (Estimado por Empleados) | Empleados: 482</t>
        </is>
      </c>
      <c r="L1582" s="61" t="n"/>
      <c r="M1582" s="61" t="n"/>
      <c r="N1582" s="61" t="n"/>
      <c r="O1582" s="61" t="n"/>
      <c r="P1582" s="61" t="n"/>
      <c r="Q1582" s="62" t="n"/>
      <c r="R1582" s="61" t="n"/>
    </row>
    <row r="1583" ht="15.75" customHeight="1" s="38">
      <c r="A1583" s="66" t="inlineStr">
        <is>
          <t>Química del Sur y Cía. Ltda.</t>
        </is>
      </c>
      <c r="B1583" s="66" t="inlineStr">
        <is>
          <t>Agua Oxigenada, Ceniza de Soda Pesada, Cloruro Férrico, Productos Químicos para la Minería, Soda Cáustica, Sulfato de Zinc, Sulfato Ferroso</t>
        </is>
      </c>
      <c r="C1583" s="66" t="inlineStr">
        <is>
          <t>Santiago</t>
        </is>
      </c>
      <c r="D1583" s="66" t="inlineStr">
        <is>
          <t>rsanchez@quimicadelsur.cl</t>
        </is>
      </c>
      <c r="E1583" s="66" t="inlineStr">
        <is>
          <t>(56) 2 2412 4000</t>
        </is>
      </c>
      <c r="F1583" s="66" t="inlineStr">
        <is>
          <t>Gerente de TI / CIO (Director de Tecnología)</t>
        </is>
      </c>
      <c r="G1583" s="66" t="n"/>
      <c r="H1583" s="66" t="inlineStr">
        <is>
          <t>http://www.quimicadelsur.cl</t>
        </is>
      </c>
      <c r="I1583" s="66" t="inlineStr">
        <is>
          <t>78.572.860-2</t>
        </is>
      </c>
      <c r="J1583" s="66" t="n"/>
      <c r="K1583" s="66" t="inlineStr">
        <is>
          <t>Ventas: GRANDE 4 (Mas de 1.000.000 UF) | Empleados: 178</t>
        </is>
      </c>
      <c r="L1583" s="61" t="n"/>
      <c r="M1583" s="61" t="n"/>
      <c r="N1583" s="61" t="n"/>
      <c r="O1583" s="61" t="n"/>
      <c r="P1583" s="61" t="n"/>
      <c r="Q1583" s="62" t="n"/>
      <c r="R1583" s="61" t="n"/>
    </row>
    <row r="1584" ht="15.75" customHeight="1" s="38">
      <c r="A1584" s="59" t="inlineStr">
        <is>
          <t>Química Industrial Spes S.A.</t>
        </is>
      </c>
      <c r="B1584" s="59" t="inlineStr">
        <is>
          <t>Productos Industriales, Productos Químicos</t>
        </is>
      </c>
      <c r="C1584" s="59" t="inlineStr">
        <is>
          <t>Santiago</t>
        </is>
      </c>
      <c r="D1584" s="59" t="inlineStr">
        <is>
          <t>contacto@spes.com</t>
        </is>
      </c>
      <c r="E1584" s="59" t="inlineStr">
        <is>
          <t>(56) 2 2428 9500</t>
        </is>
      </c>
      <c r="F1584" s="59" t="inlineStr">
        <is>
          <t>Natalia Marabolí (Director Técnico)</t>
        </is>
      </c>
      <c r="G1584" s="59" t="inlineStr">
        <is>
          <t>nmaraboli@spes.cl</t>
        </is>
      </c>
      <c r="H1584" s="59" t="n"/>
      <c r="I1584" s="59" t="inlineStr">
        <is>
          <t>93.654.000-7</t>
        </is>
      </c>
      <c r="J1584" s="59" t="inlineStr">
        <is>
          <t>Investigación en Proceso</t>
        </is>
      </c>
      <c r="K1584" s="59" t="inlineStr">
        <is>
          <t>Ventas: GRANDE 3 (600.000 - 1.000.000 UF) | Empleados: 170</t>
        </is>
      </c>
      <c r="L1584" s="61" t="n"/>
      <c r="M1584" s="61" t="n"/>
      <c r="N1584" s="61" t="n"/>
      <c r="O1584" s="61" t="n"/>
      <c r="P1584" s="61" t="n"/>
      <c r="Q1584" s="62" t="n"/>
      <c r="R1584" s="61" t="n"/>
    </row>
    <row r="1585" ht="15.75" customHeight="1" s="38">
      <c r="A1585" s="66" t="inlineStr">
        <is>
          <t>R &amp; R e Hijos y Cía. Ltda.</t>
        </is>
      </c>
      <c r="B1585" s="66" t="inlineStr">
        <is>
          <t>Antiabrasivos, Sistemas Poliméricos para Reparaciones Industriales</t>
        </is>
      </c>
      <c r="C1585" s="66" t="inlineStr">
        <is>
          <t>Santiago</t>
        </is>
      </c>
      <c r="D1585" s="66" t="inlineStr">
        <is>
          <t>rrivera@belzona.cl</t>
        </is>
      </c>
      <c r="E1585" s="66" t="inlineStr">
        <is>
          <t>(56) 2 2699 5909</t>
        </is>
      </c>
      <c r="F1585" s="66" t="n"/>
      <c r="G1585" s="66" t="n"/>
      <c r="H1585" s="66" t="n"/>
      <c r="I1585" s="66" t="inlineStr">
        <is>
          <t>52.005.235-6</t>
        </is>
      </c>
      <c r="J1585" s="66" t="n"/>
      <c r="K1585" s="66" t="inlineStr">
        <is>
          <t>Ventas: MEDIANA 2 (50.000 - 100.000 UF) | Empleados: 10</t>
        </is>
      </c>
      <c r="L1585" s="61" t="n"/>
      <c r="M1585" s="61" t="n"/>
      <c r="N1585" s="61" t="n"/>
      <c r="O1585" s="61" t="n"/>
      <c r="P1585" s="61" t="n"/>
      <c r="Q1585" s="62" t="n"/>
      <c r="R1585" s="61" t="n"/>
    </row>
    <row r="1586" ht="15.75" customHeight="1" s="38">
      <c r="A1586" s="66" t="inlineStr">
        <is>
          <t>R&amp;Q Ingeniería</t>
        </is>
      </c>
      <c r="B1586" s="66" t="inlineStr">
        <is>
          <t>Abastecimiento y Contratos, Administración y Gerenciamiento de Proyectos, Aseguramiento de Calidad, Control Operacional, Relaciones Laborales, Seguridad y Salud Ocupacional, Topografía y Geomensura</t>
        </is>
      </c>
      <c r="C1586" s="66" t="inlineStr">
        <is>
          <t>Santiago</t>
        </is>
      </c>
      <c r="D1586" s="66" t="inlineStr">
        <is>
          <t>consultora@ryq.cl</t>
        </is>
      </c>
      <c r="E1586" s="66" t="inlineStr">
        <is>
          <t>(56) 2 2339 1700</t>
        </is>
      </c>
      <c r="F1586" s="66" t="n"/>
      <c r="G1586" s="66" t="n"/>
      <c r="H1586" s="66" t="inlineStr">
        <is>
          <t>http://www.ryq.cl</t>
        </is>
      </c>
      <c r="I1586" s="66" t="inlineStr">
        <is>
          <t>84.865.000-5</t>
        </is>
      </c>
      <c r="J1586" s="66" t="n"/>
      <c r="K1586" s="66" t="inlineStr">
        <is>
          <t>Ventas: GRANDE (Estimado por Empleados) | Empleados: 3673</t>
        </is>
      </c>
      <c r="L1586" s="61" t="n"/>
      <c r="M1586" s="61" t="n"/>
      <c r="N1586" s="61" t="n"/>
      <c r="O1586" s="61" t="n"/>
      <c r="P1586" s="61" t="n"/>
      <c r="Q1586" s="62" t="n"/>
      <c r="R1586" s="61" t="n"/>
    </row>
    <row r="1587" ht="15.75" customHeight="1" s="38">
      <c r="A1587" s="66" t="inlineStr">
        <is>
          <t>R&amp;R Mining</t>
        </is>
      </c>
      <c r="B1587" s="66" t="inlineStr">
        <is>
          <t>Reparación de Motores, Trenes de Potencia de Equipos Mineros</t>
        </is>
      </c>
      <c r="C1587" s="66" t="inlineStr">
        <is>
          <t>Santiago</t>
        </is>
      </c>
      <c r="D1587" s="66" t="inlineStr">
        <is>
          <t>rodrigo.miranda@ryrmining.com</t>
        </is>
      </c>
      <c r="E1587" s="66" t="inlineStr">
        <is>
          <t>(56) 9 9994 1591</t>
        </is>
      </c>
      <c r="F1587" s="66" t="inlineStr">
        <is>
          <t>Gerente de TI / CIO (Director de Tecnología)</t>
        </is>
      </c>
      <c r="G1587" s="66" t="n"/>
      <c r="H1587" s="66" t="n"/>
      <c r="I1587" s="66" t="inlineStr">
        <is>
          <t>76.540.201-8</t>
        </is>
      </c>
      <c r="J1587" s="66" t="n"/>
      <c r="K1587" s="66" t="inlineStr">
        <is>
          <t>Ventas: GRANDE 3 (600.000 - 1.000.000 UF) | Empleados: 60</t>
        </is>
      </c>
      <c r="L1587" s="61" t="n"/>
      <c r="M1587" s="61" t="n"/>
      <c r="N1587" s="61" t="n"/>
      <c r="O1587" s="61" t="n"/>
      <c r="P1587" s="61" t="n"/>
      <c r="Q1587" s="62" t="n"/>
      <c r="R1587" s="61" t="n"/>
    </row>
    <row r="1588" ht="15.75" customHeight="1" s="38">
      <c r="A1588" s="66" t="inlineStr">
        <is>
          <t>R-P Válvulas y Equipos Industriales Ltda.</t>
        </is>
      </c>
      <c r="B1588" s="66" t="inlineStr">
        <is>
          <t>Cañerías en Acero Carbono y Aceros Exóticos, Válvulas</t>
        </is>
      </c>
      <c r="C1588" s="66" t="inlineStr">
        <is>
          <t>Santiago</t>
        </is>
      </c>
      <c r="D1588" s="66" t="inlineStr">
        <is>
          <t>contacto@rotaryvalves.cl</t>
        </is>
      </c>
      <c r="E1588" s="66" t="inlineStr">
        <is>
          <t>(56) 2 3203 5170</t>
        </is>
      </c>
      <c r="F1588" s="66" t="n"/>
      <c r="G1588" s="66" t="n"/>
      <c r="H1588" s="66" t="n"/>
      <c r="I1588" s="66" t="inlineStr">
        <is>
          <t>76.046.073-7</t>
        </is>
      </c>
      <c r="J1588" s="66" t="n"/>
      <c r="K1588" s="66" t="inlineStr">
        <is>
          <t>Ventas: MEDIANA 2 (50.000 - 100.000 UF) | Empleados: 7</t>
        </is>
      </c>
      <c r="L1588" s="61" t="n"/>
      <c r="M1588" s="61" t="n"/>
      <c r="N1588" s="61" t="n"/>
      <c r="O1588" s="61" t="n"/>
      <c r="P1588" s="61" t="n"/>
      <c r="Q1588" s="62" t="n"/>
      <c r="R1588" s="61" t="n"/>
    </row>
    <row r="1589" ht="15.75" customHeight="1" s="38">
      <c r="A1589" s="66" t="inlineStr">
        <is>
          <t>Radiadores Gallardo Ltda.</t>
        </is>
      </c>
      <c r="B1589" s="66" t="inlineStr">
        <is>
          <t>Enfriadores, Enfriadores para Aceite</t>
        </is>
      </c>
      <c r="C1589" s="66" t="inlineStr">
        <is>
          <t>Santiago</t>
        </is>
      </c>
      <c r="D1589" s="66" t="inlineStr">
        <is>
          <t>ventas@radiadoresgallardo.cl</t>
        </is>
      </c>
      <c r="E1589" s="66" t="inlineStr">
        <is>
          <t>(56) 9 6649 7652</t>
        </is>
      </c>
      <c r="F1589" s="66" t="n"/>
      <c r="G1589" s="66" t="n"/>
      <c r="H1589" s="66" t="n"/>
      <c r="I1589" s="66" t="inlineStr">
        <is>
          <t>76.136.335-2</t>
        </is>
      </c>
      <c r="J1589" s="66" t="n"/>
      <c r="K1589" s="66" t="inlineStr">
        <is>
          <t>Ventas: PEQUEÑA 3 (10.000 - 25.000 UF) | Empleados: 14</t>
        </is>
      </c>
      <c r="L1589" s="61" t="n"/>
      <c r="M1589" s="61" t="n"/>
      <c r="N1589" s="61" t="n"/>
      <c r="O1589" s="61" t="n"/>
      <c r="P1589" s="61" t="n"/>
      <c r="Q1589" s="62" t="n"/>
      <c r="R1589" s="61" t="n"/>
    </row>
    <row r="1590" ht="15.75" customHeight="1" s="38">
      <c r="A1590" s="66" t="inlineStr">
        <is>
          <t>Radiadores Santo Domingo Ltda.</t>
        </is>
      </c>
      <c r="B1590" s="66" t="inlineStr">
        <is>
          <t>Radiadores</t>
        </is>
      </c>
      <c r="C1590" s="66" t="inlineStr">
        <is>
          <t>Santiago</t>
        </is>
      </c>
      <c r="D1590" s="66" t="inlineStr">
        <is>
          <t>santodomingo@sandora.cl</t>
        </is>
      </c>
      <c r="E1590" s="66" t="inlineStr">
        <is>
          <t>(56) 2 2760 3107</t>
        </is>
      </c>
      <c r="F1590" s="66" t="n"/>
      <c r="G1590" s="66" t="n"/>
      <c r="H1590" s="66" t="n"/>
      <c r="I1590" s="66" t="inlineStr">
        <is>
          <t>79.707.010-6</t>
        </is>
      </c>
      <c r="J1590" s="66" t="n"/>
      <c r="K1590" s="66" t="inlineStr">
        <is>
          <t>Ventas: GRANDE 1 (100.000 - 200.000 UF) | Empleados: 36</t>
        </is>
      </c>
      <c r="L1590" s="61" t="n"/>
      <c r="M1590" s="61" t="n"/>
      <c r="N1590" s="61" t="n"/>
      <c r="O1590" s="61" t="n"/>
      <c r="P1590" s="61" t="n"/>
      <c r="Q1590" s="62" t="n"/>
      <c r="R1590" s="61" t="n"/>
    </row>
    <row r="1591" ht="15.75" customHeight="1" s="38">
      <c r="A1591" s="66" t="inlineStr">
        <is>
          <t>Rafer Ltda.</t>
        </is>
      </c>
      <c r="B1591" s="66" t="inlineStr">
        <is>
          <t>Automatización y Control, Energía</t>
        </is>
      </c>
      <c r="C1591" s="66" t="inlineStr">
        <is>
          <t>Santiago</t>
        </is>
      </c>
      <c r="D1591" s="66" t="inlineStr">
        <is>
          <t>contacto@rafer.cl</t>
        </is>
      </c>
      <c r="E1591" s="66" t="inlineStr">
        <is>
          <t>(56) 9 5688 5165</t>
        </is>
      </c>
      <c r="F1591" s="66" t="n"/>
      <c r="G1591" s="66" t="n"/>
      <c r="H1591" s="66" t="n"/>
      <c r="I1591" s="66" t="inlineStr">
        <is>
          <t>76990732-7</t>
        </is>
      </c>
      <c r="J1591" s="66" t="n"/>
      <c r="K1591" s="66" t="inlineStr">
        <is>
          <t>Ventas: PEQUEÑA 3 (10.000 - 25.000 UF) | Empleados: 2</t>
        </is>
      </c>
      <c r="L1591" s="61" t="n"/>
      <c r="M1591" s="61" t="n"/>
      <c r="N1591" s="61" t="n"/>
      <c r="O1591" s="61" t="n"/>
      <c r="P1591" s="61" t="n"/>
      <c r="Q1591" s="62" t="n"/>
      <c r="R1591" s="61" t="n"/>
    </row>
    <row r="1592" ht="15.75" customHeight="1" s="38">
      <c r="A1592" s="66" t="inlineStr">
        <is>
          <t>Raico</t>
        </is>
      </c>
      <c r="B1592" s="66" t="inlineStr">
        <is>
          <t>Equipos para Pesar, Repuestos para Maquinaria Pesada, Sistemas Automáticos para Lubricación</t>
        </is>
      </c>
      <c r="C1592" s="66" t="inlineStr">
        <is>
          <t>Santiago</t>
        </is>
      </c>
      <c r="D1592" s="66" t="inlineStr">
        <is>
          <t>info@raico.cl</t>
        </is>
      </c>
      <c r="E1592" s="66" t="inlineStr">
        <is>
          <t>(56) 2 2592 3500</t>
        </is>
      </c>
      <c r="F1592" s="66" t="n"/>
      <c r="G1592" s="66" t="n"/>
      <c r="H1592" s="66" t="inlineStr">
        <is>
          <t>http://www.raico.cl</t>
        </is>
      </c>
      <c r="I1592" s="66" t="inlineStr">
        <is>
          <t>76.323.080-5</t>
        </is>
      </c>
      <c r="J1592" s="66" t="n"/>
      <c r="K1592" s="66" t="inlineStr">
        <is>
          <t>Ventas: MEDIANA (Estimado por Empleados) | Empleados: 183</t>
        </is>
      </c>
      <c r="L1592" s="61" t="n"/>
      <c r="M1592" s="61" t="n"/>
      <c r="N1592" s="61" t="n"/>
      <c r="O1592" s="61" t="n"/>
      <c r="P1592" s="61" t="n"/>
      <c r="Q1592" s="62" t="n"/>
      <c r="R1592" s="61" t="n"/>
    </row>
    <row r="1593" ht="15.75" customHeight="1" s="38">
      <c r="A1593" s="66" t="inlineStr">
        <is>
          <t>Raien Ingeniería y Sistemas Ltda.</t>
        </is>
      </c>
      <c r="B1593" s="66" t="inlineStr">
        <is>
          <t>Equipos para Automatización y Control, Software para Ingeniería Eléctrica</t>
        </is>
      </c>
      <c r="C1593" s="66" t="inlineStr">
        <is>
          <t>Viña del Mar</t>
        </is>
      </c>
      <c r="D1593" s="66" t="inlineStr">
        <is>
          <t>ventas@raien.cl</t>
        </is>
      </c>
      <c r="E1593" s="66" t="inlineStr">
        <is>
          <t>(56) 32 211 4159</t>
        </is>
      </c>
      <c r="F1593" s="66" t="n"/>
      <c r="G1593" s="66" t="n"/>
      <c r="H1593" s="66" t="n"/>
      <c r="I1593" s="66" t="inlineStr">
        <is>
          <t>79.773.800-K</t>
        </is>
      </c>
      <c r="J1593" s="66" t="n"/>
      <c r="K1593" s="66" t="inlineStr">
        <is>
          <t>Ventas: MEDIANA 1 (25.000 - 50.000 UF) | Empleados: 4</t>
        </is>
      </c>
      <c r="L1593" s="61" t="n"/>
      <c r="M1593" s="61" t="n"/>
      <c r="N1593" s="61" t="n"/>
      <c r="O1593" s="61" t="n"/>
      <c r="P1593" s="61" t="n"/>
      <c r="Q1593" s="62" t="n"/>
      <c r="R1593" s="61" t="n"/>
    </row>
    <row r="1594" ht="15.75" customHeight="1" s="38">
      <c r="A1594" s="59" t="inlineStr">
        <is>
          <t>Randstad</t>
        </is>
      </c>
      <c r="B1594" s="59" t="inlineStr">
        <is>
          <t>Selección de Personal</t>
        </is>
      </c>
      <c r="C1594" s="59" t="inlineStr">
        <is>
          <t>Santiago</t>
        </is>
      </c>
      <c r="D1594" s="59" t="n"/>
      <c r="E1594" s="59" t="inlineStr">
        <is>
          <t>(56) 2 3329 9370</t>
        </is>
      </c>
      <c r="F1594" s="59" t="inlineStr">
        <is>
          <t>Gustavo Reyes Tavera (Gerente de Tecnología)</t>
        </is>
      </c>
      <c r="G1594" s="59" t="inlineStr">
        <is>
          <t>gustavo.reyes@randstad.cl</t>
        </is>
      </c>
      <c r="H1594" s="59" t="n"/>
      <c r="I1594" s="59" t="inlineStr">
        <is>
          <t>96962900-3</t>
        </is>
      </c>
      <c r="J1594" s="59" t="inlineStr">
        <is>
          <t>Automatización ATS</t>
        </is>
      </c>
      <c r="K1594" s="59" t="inlineStr">
        <is>
          <t>Ventas: GRANDE 4 (Mas de 1.000.000 UF) | Empleados: 5254</t>
        </is>
      </c>
      <c r="L1594" s="61" t="n"/>
      <c r="M1594" s="61" t="n"/>
      <c r="N1594" s="61" t="n"/>
      <c r="O1594" s="61" t="n"/>
      <c r="P1594" s="61" t="n"/>
      <c r="Q1594" s="62" t="n"/>
      <c r="R1594" s="61" t="n"/>
    </row>
    <row r="1595" ht="15.75" customHeight="1" s="38">
      <c r="A1595" s="66" t="inlineStr">
        <is>
          <t>Rayo Ingeniería Ltda.</t>
        </is>
      </c>
      <c r="B1595" s="66" t="inlineStr">
        <is>
          <t>Servicios de Ingeniería</t>
        </is>
      </c>
      <c r="C1595" s="66" t="inlineStr">
        <is>
          <t>Los Andes</t>
        </is>
      </c>
      <c r="D1595" s="66" t="inlineStr">
        <is>
          <t>contacto@rayoingenieria.cl</t>
        </is>
      </c>
      <c r="E1595" s="66" t="inlineStr">
        <is>
          <t>(56) 9 3896 3072</t>
        </is>
      </c>
      <c r="F1595" s="66" t="n"/>
      <c r="G1595" s="66" t="n"/>
      <c r="H1595" s="66" t="n"/>
      <c r="I1595" s="66" t="inlineStr">
        <is>
          <t>76.045.975-5</t>
        </is>
      </c>
      <c r="J1595" s="66" t="n"/>
      <c r="K1595" s="66" t="inlineStr">
        <is>
          <t>Ventas: PEQUEÑA 1 (2.400 - 5.000 UF) | Empleados: 9</t>
        </is>
      </c>
      <c r="L1595" s="61" t="n"/>
      <c r="M1595" s="61" t="n"/>
      <c r="N1595" s="61" t="n"/>
      <c r="O1595" s="61" t="n"/>
      <c r="P1595" s="61" t="n"/>
      <c r="Q1595" s="62" t="n"/>
      <c r="R1595" s="61" t="n"/>
    </row>
    <row r="1596" ht="15.75" customHeight="1" s="38">
      <c r="A1596" s="66" t="inlineStr">
        <is>
          <t>RCM Modular Chile S.A.</t>
        </is>
      </c>
      <c r="B1596" s="66" t="inlineStr">
        <is>
          <t>Campamentos Mineros</t>
        </is>
      </c>
      <c r="C1596" s="66" t="inlineStr">
        <is>
          <t>Santiago</t>
        </is>
      </c>
      <c r="D1596" s="66" t="inlineStr">
        <is>
          <t>modular@rcmmodular.cl</t>
        </is>
      </c>
      <c r="E1596" s="66" t="inlineStr">
        <is>
          <t>(56) 2 2982 2029</t>
        </is>
      </c>
      <c r="F1596" s="66" t="n"/>
      <c r="G1596" s="66" t="n"/>
      <c r="H1596" s="66" t="n"/>
      <c r="I1596" s="66" t="inlineStr">
        <is>
          <t>76207287-4</t>
        </is>
      </c>
      <c r="J1596" s="66" t="n"/>
      <c r="K1596" s="66" t="inlineStr">
        <is>
          <t>Ventas: GRANDE 3 (600.000 - 1.000.000 UF) | Empleados: 388</t>
        </is>
      </c>
      <c r="L1596" s="61" t="n"/>
      <c r="M1596" s="61" t="n"/>
      <c r="N1596" s="61" t="n"/>
      <c r="O1596" s="61" t="n"/>
      <c r="P1596" s="61" t="n"/>
      <c r="Q1596" s="62" t="n"/>
      <c r="R1596" s="61" t="n"/>
    </row>
    <row r="1597" ht="15.75" customHeight="1" s="38">
      <c r="A1597" s="66" t="inlineStr">
        <is>
          <t>Reborn Electric Motors</t>
        </is>
      </c>
      <c r="B1597" s="66" t="inlineStr">
        <is>
          <t>Buses Eléctricos, Reacondiciamiento de Buses Diésel a Eléctricos</t>
        </is>
      </c>
      <c r="C1597" s="66" t="inlineStr">
        <is>
          <t>Rancagua</t>
        </is>
      </c>
      <c r="D1597" s="66" t="inlineStr">
        <is>
          <t>info@rebornelectric.cl</t>
        </is>
      </c>
      <c r="E1597" s="66" t="inlineStr">
        <is>
          <t>(56) 9 8808 0622</t>
        </is>
      </c>
      <c r="F1597" s="66" t="n"/>
      <c r="G1597" s="66" t="n"/>
      <c r="H1597" s="66" t="n"/>
      <c r="I1597" s="66" t="inlineStr">
        <is>
          <t>77155166-1</t>
        </is>
      </c>
      <c r="J1597" s="66" t="n"/>
      <c r="K1597" s="66" t="inlineStr">
        <is>
          <t>Ventas: GRANDE 2 (200.000 - 600.000 UF) | Empleados: 78</t>
        </is>
      </c>
      <c r="L1597" s="61" t="n"/>
      <c r="M1597" s="61" t="n"/>
      <c r="N1597" s="61" t="n"/>
      <c r="O1597" s="61" t="n"/>
      <c r="P1597" s="61" t="n"/>
      <c r="Q1597" s="62" t="n"/>
      <c r="R1597" s="61" t="n"/>
    </row>
    <row r="1598" ht="15.75" customHeight="1" s="38">
      <c r="A1598" s="66" t="inlineStr">
        <is>
          <t>Recsol S.A.</t>
        </is>
      </c>
      <c r="B1598" s="66" t="inlineStr">
        <is>
          <t>Revestimientos Bimetálicos y Fundidos, Revestimientos de Caucho y Cerámicos</t>
        </is>
      </c>
      <c r="C1598" s="66" t="inlineStr">
        <is>
          <t>Rancagua</t>
        </is>
      </c>
      <c r="D1598" s="66" t="inlineStr">
        <is>
          <t>felipe.brito@recsol.cl</t>
        </is>
      </c>
      <c r="E1598" s="66" t="inlineStr">
        <is>
          <t>(56) 72 249 1555</t>
        </is>
      </c>
      <c r="F1598" s="66" t="n"/>
      <c r="G1598" s="66" t="n"/>
      <c r="H1598" s="66" t="n"/>
      <c r="I1598" s="66" t="inlineStr">
        <is>
          <t>96.279.000-3</t>
        </is>
      </c>
      <c r="J1598" s="66" t="n"/>
      <c r="K1598" s="66" t="inlineStr">
        <is>
          <t>Ventas: GRANDE 3 (600.000 - 1.000.000 UF) | Empleados: 126</t>
        </is>
      </c>
      <c r="L1598" s="61" t="n"/>
      <c r="M1598" s="61" t="n"/>
      <c r="N1598" s="61" t="n"/>
      <c r="O1598" s="61" t="n"/>
      <c r="P1598" s="61" t="n"/>
      <c r="Q1598" s="62" t="n"/>
      <c r="R1598" s="61" t="n"/>
    </row>
    <row r="1599" ht="15.75" customHeight="1" s="38">
      <c r="A1599" s="66" t="inlineStr">
        <is>
          <t>RedNegocios</t>
        </is>
      </c>
      <c r="B1599" s="66" t="inlineStr">
        <is>
          <t>Proveedor Destacado</t>
        </is>
      </c>
      <c r="C1599" s="66" t="inlineStr">
        <is>
          <t>Santiago</t>
        </is>
      </c>
      <c r="D1599" s="66" t="inlineStr">
        <is>
          <t>contacto@rednegocios.cl</t>
        </is>
      </c>
      <c r="E1599" s="66" t="n"/>
      <c r="F1599" s="66" t="inlineStr">
        <is>
          <t>Gerente de TI / CIO (Director de Tecnología)</t>
        </is>
      </c>
      <c r="G1599" s="66" t="n"/>
      <c r="H1599" s="66" t="inlineStr">
        <is>
          <t>http://www.rednegocios.cl</t>
        </is>
      </c>
      <c r="I1599" s="66" t="inlineStr">
        <is>
          <t>70.017.820-K</t>
        </is>
      </c>
      <c r="J1599" s="66" t="n"/>
      <c r="K1599" s="66" t="inlineStr">
        <is>
          <t>Ventas: GRANDE 4 (Mas de 1.000.000 UF) | Empleados: 234</t>
        </is>
      </c>
      <c r="L1599" s="61" t="n"/>
      <c r="M1599" s="61" t="n"/>
      <c r="N1599" s="61" t="n"/>
      <c r="O1599" s="61" t="n"/>
      <c r="P1599" s="61" t="n"/>
      <c r="Q1599" s="62" t="n"/>
      <c r="R1599" s="61" t="n"/>
    </row>
    <row r="1600" ht="15.75" customHeight="1" s="38">
      <c r="A1600" s="66" t="inlineStr">
        <is>
          <t>Reduze Ingeniería SpA</t>
        </is>
      </c>
      <c r="B1600" s="66" t="inlineStr">
        <is>
          <t>Equipos de Generación de Energía</t>
        </is>
      </c>
      <c r="C1600" s="66" t="inlineStr">
        <is>
          <t>Santiago</t>
        </is>
      </c>
      <c r="D1600" s="66" t="inlineStr">
        <is>
          <t>info@reduze.cl</t>
        </is>
      </c>
      <c r="E1600" s="66" t="inlineStr">
        <is>
          <t>(56) 9 5099 1082</t>
        </is>
      </c>
      <c r="F1600" s="66" t="n"/>
      <c r="G1600" s="66" t="n"/>
      <c r="H1600" s="66" t="n"/>
      <c r="I1600" s="66" t="inlineStr">
        <is>
          <t>77492806-5</t>
        </is>
      </c>
      <c r="J1600" s="66" t="n"/>
      <c r="K1600" s="66" t="inlineStr">
        <is>
          <t>Ventas: PEQUEÑA 2 (5.000 - 10.000 UF) | Empleados: 0</t>
        </is>
      </c>
      <c r="L1600" s="61" t="n"/>
      <c r="M1600" s="61" t="n"/>
      <c r="N1600" s="61" t="n"/>
      <c r="O1600" s="61" t="n"/>
      <c r="P1600" s="61" t="n"/>
      <c r="Q1600" s="62" t="n"/>
      <c r="R1600" s="61" t="n"/>
    </row>
    <row r="1601" ht="15.75" customHeight="1" s="38">
      <c r="A1601" s="66" t="inlineStr">
        <is>
          <t>Redwood Pier</t>
        </is>
      </c>
      <c r="B1601" s="66" t="inlineStr">
        <is>
          <t>Consultores en Cadena de Suministros, Economía Circular y Design Thinking, Transformación de Procesos, Productividad y Sostenibilidad de Cadenas de Suministro</t>
        </is>
      </c>
      <c r="C1601" s="66" t="inlineStr">
        <is>
          <t>Santiago</t>
        </is>
      </c>
      <c r="D1601" s="66" t="inlineStr">
        <is>
          <t>contacto@redwoodpier.com</t>
        </is>
      </c>
      <c r="E1601" s="66" t="inlineStr">
        <is>
          <t>(56) 9 4436 1761</t>
        </is>
      </c>
      <c r="F1601" s="66" t="n"/>
      <c r="G1601" s="66" t="n"/>
      <c r="H1601" s="66" t="inlineStr">
        <is>
          <t>http://www.redwoodpier.com</t>
        </is>
      </c>
      <c r="I1601" s="66" t="inlineStr">
        <is>
          <t>77684653-8</t>
        </is>
      </c>
      <c r="J1601" s="66" t="n"/>
      <c r="K1601" s="66" t="inlineStr">
        <is>
          <t>Ventas: PEQUEÑA 1 (2.400 - 5.000 UF) | Empleados: 0</t>
        </is>
      </c>
      <c r="L1601" s="61" t="n"/>
      <c r="M1601" s="61" t="n"/>
      <c r="N1601" s="61" t="n"/>
      <c r="O1601" s="61" t="n"/>
      <c r="P1601" s="61" t="n"/>
      <c r="Q1601" s="62" t="n"/>
      <c r="R1601" s="61" t="n"/>
    </row>
    <row r="1602" ht="15.75" customHeight="1" s="38">
      <c r="A1602" s="66" t="inlineStr">
        <is>
          <t>Reflex Instruments South America</t>
        </is>
      </c>
      <c r="B1602" s="66" t="inlineStr">
        <is>
          <t>Control de Perforaciones</t>
        </is>
      </c>
      <c r="C1602" s="66" t="inlineStr">
        <is>
          <t>Santiago</t>
        </is>
      </c>
      <c r="D1602" s="66" t="n"/>
      <c r="E1602" s="66" t="inlineStr">
        <is>
          <t>(56) 2 2589 9300</t>
        </is>
      </c>
      <c r="F1602" s="66" t="n"/>
      <c r="G1602" s="66" t="n"/>
      <c r="H1602" s="66" t="n"/>
      <c r="I1602" s="66" t="inlineStr">
        <is>
          <t>77.926.920-5</t>
        </is>
      </c>
      <c r="J1602" s="66" t="n"/>
      <c r="K1602" s="66" t="inlineStr">
        <is>
          <t>Ventas: GRANDE 3 (600.000 - 1.000.000 UF) | Empleados: 61</t>
        </is>
      </c>
      <c r="L1602" s="61" t="n"/>
      <c r="M1602" s="61" t="n"/>
      <c r="N1602" s="61" t="n"/>
      <c r="O1602" s="61" t="n"/>
      <c r="P1602" s="61" t="n"/>
      <c r="Q1602" s="62" t="n"/>
      <c r="R1602" s="61" t="n"/>
    </row>
    <row r="1603" ht="15.75" customHeight="1" s="38">
      <c r="A1603" s="66" t="inlineStr">
        <is>
          <t>Refractarios Iunge Ltda.</t>
        </is>
      </c>
      <c r="B1603" s="66" t="inlineStr">
        <is>
          <t>Refractarios</t>
        </is>
      </c>
      <c r="C1603" s="66" t="inlineStr">
        <is>
          <t>Santiago</t>
        </is>
      </c>
      <c r="D1603" s="66" t="inlineStr">
        <is>
          <t>ventas@iunge.cl</t>
        </is>
      </c>
      <c r="E1603" s="66" t="inlineStr">
        <is>
          <t>(56) 2 2745 3613</t>
        </is>
      </c>
      <c r="F1603" s="66" t="n"/>
      <c r="G1603" s="66" t="n"/>
      <c r="H1603" s="66" t="n"/>
      <c r="I1603" s="66" t="inlineStr">
        <is>
          <t>79553940-9</t>
        </is>
      </c>
      <c r="J1603" s="66" t="n"/>
      <c r="K1603" s="66" t="inlineStr">
        <is>
          <t>Ventas: GRANDE 2 (200.000 - 600.000 UF) | Empleados: 9</t>
        </is>
      </c>
      <c r="L1603" s="61" t="n"/>
      <c r="M1603" s="61" t="n"/>
      <c r="N1603" s="61" t="n"/>
      <c r="O1603" s="61" t="n"/>
      <c r="P1603" s="61" t="n"/>
      <c r="Q1603" s="62" t="n"/>
      <c r="R1603" s="61" t="n"/>
    </row>
    <row r="1604" ht="15.75" customHeight="1" s="38">
      <c r="A1604" s="66" t="inlineStr">
        <is>
          <t>Refractarios Refal Ltda.</t>
        </is>
      </c>
      <c r="B1604" s="66" t="inlineStr">
        <is>
          <t>Copelas de Ceniza de Hueso, Copelas de Magnesita</t>
        </is>
      </c>
      <c r="C1604" s="66" t="inlineStr">
        <is>
          <t>Santiago</t>
        </is>
      </c>
      <c r="D1604" s="66" t="inlineStr">
        <is>
          <t>info@refal.cl</t>
        </is>
      </c>
      <c r="E1604" s="66" t="inlineStr">
        <is>
          <t>(56) 2 2738 7577</t>
        </is>
      </c>
      <c r="F1604" s="66" t="n"/>
      <c r="G1604" s="66" t="n"/>
      <c r="H1604" s="66" t="n"/>
      <c r="I1604" s="66" t="inlineStr">
        <is>
          <t>76.179.476-0</t>
        </is>
      </c>
      <c r="J1604" s="66" t="n"/>
      <c r="K1604" s="66" t="inlineStr">
        <is>
          <t>Ventas: PEQUEÑA 3 (10.000 - 25.000 UF) | Empleados: 2</t>
        </is>
      </c>
      <c r="L1604" s="61" t="n"/>
      <c r="M1604" s="61" t="n"/>
      <c r="N1604" s="61" t="n"/>
      <c r="O1604" s="61" t="n"/>
      <c r="P1604" s="61" t="n"/>
      <c r="Q1604" s="62" t="n"/>
      <c r="R1604" s="61" t="n"/>
    </row>
    <row r="1605" ht="15.75" customHeight="1" s="38">
      <c r="A1605" s="66" t="inlineStr">
        <is>
          <t>Reftec, Refining Technologies S.A.</t>
        </is>
      </c>
      <c r="B1605" s="66" t="inlineStr">
        <is>
          <t>Aisladores para Anodos y Cátodos, Bordes Plásticos para Cátodos</t>
        </is>
      </c>
      <c r="C1605" s="66" t="inlineStr">
        <is>
          <t>Santiago</t>
        </is>
      </c>
      <c r="D1605" s="66" t="inlineStr">
        <is>
          <t>ventas@reftec.cl</t>
        </is>
      </c>
      <c r="E1605" s="66" t="inlineStr">
        <is>
          <t>(56) 9 9799 5609</t>
        </is>
      </c>
      <c r="F1605" s="66" t="n"/>
      <c r="G1605" s="66" t="n"/>
      <c r="H1605" s="66" t="n"/>
      <c r="I1605" s="66" t="inlineStr">
        <is>
          <t>96.872.140-2</t>
        </is>
      </c>
      <c r="J1605" s="66" t="n"/>
      <c r="K1605" s="66" t="inlineStr">
        <is>
          <t>Ventas: GRANDE 1 (100.000 - 200.000 UF) | Empleados: 2</t>
        </is>
      </c>
      <c r="L1605" s="61" t="n"/>
      <c r="M1605" s="61" t="n"/>
      <c r="N1605" s="61" t="n"/>
      <c r="O1605" s="61" t="n"/>
      <c r="P1605" s="61" t="n"/>
      <c r="Q1605" s="62" t="n"/>
      <c r="R1605" s="61" t="n"/>
    </row>
    <row r="1606" ht="15.75" customHeight="1" s="38">
      <c r="A1606" s="66" t="inlineStr">
        <is>
          <t>Regal Rexnord</t>
        </is>
      </c>
      <c r="B1606" s="66" t="inlineStr">
        <is>
          <t>Proveedor Destacado, Acoplamientos, Backstops, Comercialización de Maquinarias, Repuestos y Equipos Industriales, Comerciales y Mineros, Reductores de Velocidad, Transmisión de Potencia</t>
        </is>
      </c>
      <c r="C1606" s="66" t="inlineStr">
        <is>
          <t>Santiago</t>
        </is>
      </c>
      <c r="D1606" s="66" t="inlineStr">
        <is>
          <t>rexnord.chile@regalrexnord.com</t>
        </is>
      </c>
      <c r="E1606" s="66" t="inlineStr">
        <is>
          <t>(56) 2 2366 6000</t>
        </is>
      </c>
      <c r="F1606" s="66" t="n"/>
      <c r="G1606" s="66" t="n"/>
      <c r="H1606" s="66" t="inlineStr">
        <is>
          <t>http://www.regalrexnord.com</t>
        </is>
      </c>
      <c r="I1606" s="66" t="inlineStr">
        <is>
          <t>76.583.150-4</t>
        </is>
      </c>
      <c r="J1606" s="66" t="n"/>
      <c r="K1606" s="66" t="inlineStr">
        <is>
          <t>Ventas: GRANDE 3 (600.000 - 1.000.000 UF) | Empleados: 18</t>
        </is>
      </c>
      <c r="L1606" s="61" t="n"/>
      <c r="M1606" s="61" t="n"/>
      <c r="N1606" s="61" t="n"/>
      <c r="O1606" s="61" t="n"/>
      <c r="P1606" s="61" t="n"/>
      <c r="Q1606" s="62" t="n"/>
      <c r="R1606" s="61" t="n"/>
    </row>
    <row r="1607" ht="15.75" customHeight="1" s="38">
      <c r="A1607" s="66" t="inlineStr">
        <is>
          <t>Regemac S.A.</t>
        </is>
      </c>
      <c r="B1607" s="66" t="inlineStr">
        <is>
          <t>Arriendo de Contenedores, Tratamiento de Residuos Industriales</t>
        </is>
      </c>
      <c r="C1607" s="66" t="inlineStr">
        <is>
          <t>Santiago</t>
        </is>
      </c>
      <c r="D1607" s="66" t="inlineStr">
        <is>
          <t>info@regemac.cl</t>
        </is>
      </c>
      <c r="E1607" s="66" t="inlineStr">
        <is>
          <t>(56) 9 9129 7353</t>
        </is>
      </c>
      <c r="F1607" s="66" t="n"/>
      <c r="G1607" s="66" t="n"/>
      <c r="H1607" s="66" t="n"/>
      <c r="I1607" s="66" t="inlineStr">
        <is>
          <t>96.944.280-9</t>
        </is>
      </c>
      <c r="J1607" s="66" t="n"/>
      <c r="K1607" s="66" t="inlineStr">
        <is>
          <t>Ventas: GRANDE 1 (100.000 - 200.000 UF) | Empleados: 62</t>
        </is>
      </c>
      <c r="L1607" s="61" t="n"/>
      <c r="M1607" s="61" t="n"/>
      <c r="N1607" s="61" t="n"/>
      <c r="O1607" s="61" t="n"/>
      <c r="P1607" s="61" t="n"/>
      <c r="Q1607" s="62" t="n"/>
      <c r="R1607" s="61" t="n"/>
    </row>
    <row r="1608" ht="15.75" customHeight="1" s="38">
      <c r="A1608" s="66" t="inlineStr">
        <is>
          <t>Rehrig Pacific Company</t>
        </is>
      </c>
      <c r="B1608" s="66" t="inlineStr">
        <is>
          <t>Proveedor Destacado, Cajas Logísticas, Equipos para Almacenar, Dispensar e Intercambiar Pallets, Reciclaje de Materiales Plásticos</t>
        </is>
      </c>
      <c r="C1608" s="66" t="inlineStr">
        <is>
          <t>Santiago</t>
        </is>
      </c>
      <c r="D1608" s="66" t="inlineStr">
        <is>
          <t>mdesmet@rehrig.com</t>
        </is>
      </c>
      <c r="E1608" s="66" t="inlineStr">
        <is>
          <t>(56) 9 9291 6964</t>
        </is>
      </c>
      <c r="F1608" s="66" t="n"/>
      <c r="G1608" s="66" t="n"/>
      <c r="H1608" s="66" t="inlineStr">
        <is>
          <t>http://www.rehrigpacific.com</t>
        </is>
      </c>
      <c r="I1608" s="66" t="inlineStr">
        <is>
          <t>76.189.964-3</t>
        </is>
      </c>
      <c r="J1608" s="66" t="n"/>
      <c r="K1608" s="66" t="inlineStr">
        <is>
          <t>Ventas: GRANDE 2 (200.000 - 600.000 UF) | Empleados: 8</t>
        </is>
      </c>
      <c r="L1608" s="61" t="n"/>
      <c r="M1608" s="61" t="n"/>
      <c r="N1608" s="61" t="n"/>
      <c r="O1608" s="61" t="n"/>
      <c r="P1608" s="61" t="n"/>
      <c r="Q1608" s="62" t="n"/>
      <c r="R1608" s="61" t="n"/>
    </row>
    <row r="1609" ht="15.75" customHeight="1" s="38">
      <c r="A1609" s="66" t="inlineStr">
        <is>
          <t>Reich JRI Ingeniería SpA.</t>
        </is>
      </c>
      <c r="B1609" s="66" t="inlineStr">
        <is>
          <t>Proyectos de Ingeniería</t>
        </is>
      </c>
      <c r="C1609" s="66" t="inlineStr">
        <is>
          <t>Santiago</t>
        </is>
      </c>
      <c r="D1609" s="66" t="inlineStr">
        <is>
          <t>ingenieria@reichingenieria.cl</t>
        </is>
      </c>
      <c r="E1609" s="66" t="inlineStr">
        <is>
          <t>(56) 2 2223 5322</t>
        </is>
      </c>
      <c r="F1609" s="66" t="n"/>
      <c r="G1609" s="66" t="n"/>
      <c r="H1609" s="66" t="n"/>
      <c r="I1609" s="66" t="inlineStr">
        <is>
          <t>79.929.840-6</t>
        </is>
      </c>
      <c r="J1609" s="66" t="n"/>
      <c r="K1609" s="66" t="inlineStr">
        <is>
          <t>Ventas: GRANDE 1 (100.000 - 200.000 UF) | Empleados: 53</t>
        </is>
      </c>
      <c r="L1609" s="61" t="n"/>
      <c r="M1609" s="61" t="n"/>
      <c r="N1609" s="61" t="n"/>
      <c r="O1609" s="61" t="n"/>
      <c r="P1609" s="61" t="n"/>
      <c r="Q1609" s="62" t="n"/>
      <c r="R1609" s="61" t="n"/>
    </row>
    <row r="1610" ht="15.75" customHeight="1" s="38">
      <c r="A1610" s="66" t="inlineStr">
        <is>
          <t>Reich Ltda.</t>
        </is>
      </c>
      <c r="B1610" s="66" t="inlineStr">
        <is>
          <t>Análisis de Laboratorio, Equipos para Mineralografía</t>
        </is>
      </c>
      <c r="C1610" s="66" t="inlineStr">
        <is>
          <t>Santiago</t>
        </is>
      </c>
      <c r="D1610" s="66" t="inlineStr">
        <is>
          <t>info@reich.cl</t>
        </is>
      </c>
      <c r="E1610" s="66" t="inlineStr">
        <is>
          <t>(56) 2 2714 7700</t>
        </is>
      </c>
      <c r="F1610" s="66" t="n"/>
      <c r="G1610" s="66" t="n"/>
      <c r="H1610" s="66" t="n"/>
      <c r="I1610" s="66" t="inlineStr">
        <is>
          <t>85.218.000-5</t>
        </is>
      </c>
      <c r="J1610" s="66" t="n"/>
      <c r="K1610" s="66" t="inlineStr">
        <is>
          <t>Ventas: GRANDE 3 (600.000 - 1.000.000 UF) | Empleados: 56</t>
        </is>
      </c>
      <c r="L1610" s="61" t="n"/>
      <c r="M1610" s="61" t="n"/>
      <c r="N1610" s="61" t="n"/>
      <c r="O1610" s="61" t="n"/>
      <c r="P1610" s="61" t="n"/>
      <c r="Q1610" s="62" t="n"/>
      <c r="R1610" s="61" t="n"/>
    </row>
    <row r="1611" ht="15.75" customHeight="1" s="38">
      <c r="A1611" s="66" t="inlineStr">
        <is>
          <t>Reicotex Tecnología</t>
        </is>
      </c>
      <c r="B1611" s="66" t="inlineStr">
        <is>
          <t>Telas y Paños para Filtros</t>
        </is>
      </c>
      <c r="C1611" s="66" t="inlineStr">
        <is>
          <t>Santiago</t>
        </is>
      </c>
      <c r="D1611" s="66" t="inlineStr">
        <is>
          <t>reicotex@reicotex.cl</t>
        </is>
      </c>
      <c r="E1611" s="66" t="inlineStr">
        <is>
          <t>(56) 2 2551 1780</t>
        </is>
      </c>
      <c r="F1611" s="66" t="n"/>
      <c r="G1611" s="66" t="n"/>
      <c r="H1611" s="66" t="n"/>
      <c r="I1611" s="66" t="inlineStr">
        <is>
          <t>82.413.600-9</t>
        </is>
      </c>
      <c r="J1611" s="66" t="n"/>
      <c r="K1611" s="66" t="inlineStr">
        <is>
          <t>Ventas: GRANDE 2 (200.000 - 600.000 UF) | Empleados: 84</t>
        </is>
      </c>
      <c r="L1611" s="61" t="n"/>
      <c r="M1611" s="61" t="n"/>
      <c r="N1611" s="61" t="n"/>
      <c r="O1611" s="61" t="n"/>
      <c r="P1611" s="61" t="n"/>
      <c r="Q1611" s="62" t="n"/>
      <c r="R1611" s="61" t="n"/>
    </row>
    <row r="1612" ht="15.75" customHeight="1" s="38">
      <c r="A1612" s="66" t="inlineStr">
        <is>
          <t>Reifox</t>
        </is>
      </c>
      <c r="B1612" s="66" t="inlineStr">
        <is>
          <t>Bombas, Válvulas</t>
        </is>
      </c>
      <c r="C1612" s="66" t="inlineStr">
        <is>
          <t>Santiago</t>
        </is>
      </c>
      <c r="D1612" s="66" t="n"/>
      <c r="E1612" s="66" t="inlineStr">
        <is>
          <t>(56) 2 2589 2700</t>
        </is>
      </c>
      <c r="F1612" s="66" t="n"/>
      <c r="G1612" s="66" t="n"/>
      <c r="H1612" s="66" t="n"/>
      <c r="I1612" s="66" t="inlineStr">
        <is>
          <t>83.484.700-0</t>
        </is>
      </c>
      <c r="J1612" s="66" t="n"/>
      <c r="K1612" s="66" t="inlineStr">
        <is>
          <t>Ventas: GRANDE 2 (200.000 - 600.000 UF) | Empleados: 49</t>
        </is>
      </c>
      <c r="L1612" s="61" t="n"/>
      <c r="M1612" s="61" t="n"/>
      <c r="N1612" s="61" t="n"/>
      <c r="O1612" s="61" t="n"/>
      <c r="P1612" s="61" t="n"/>
      <c r="Q1612" s="62" t="n"/>
      <c r="R1612" s="61" t="n"/>
    </row>
    <row r="1613" ht="15.75" customHeight="1" s="38">
      <c r="A1613" s="59" t="inlineStr">
        <is>
          <t>Reimaq y Cía. Ltda.</t>
        </is>
      </c>
      <c r="B1613" s="59" t="inlineStr">
        <is>
          <t>Ventilación Industrial y Minera, Ventiladores Centrifugos y Axiales</t>
        </is>
      </c>
      <c r="C1613" s="59" t="inlineStr">
        <is>
          <t>Santiago</t>
        </is>
      </c>
      <c r="D1613" s="59" t="inlineStr">
        <is>
          <t>info@reimaq.cl</t>
        </is>
      </c>
      <c r="E1613" s="59" t="inlineStr">
        <is>
          <t>(56) 2 2538 5192</t>
        </is>
      </c>
      <c r="F1613" s="59" t="inlineStr">
        <is>
          <t>Pablo Ponce (Gerente General)</t>
        </is>
      </c>
      <c r="G1613" s="59" t="n"/>
      <c r="H1613" s="59" t="n"/>
      <c r="I1613" s="59" t="inlineStr">
        <is>
          <t>79.795.650-3</t>
        </is>
      </c>
      <c r="J1613" s="59" t="inlineStr">
        <is>
          <t>Automatización Ventilación Minera</t>
        </is>
      </c>
      <c r="K1613" s="59" t="inlineStr">
        <is>
          <t>Ventas: GRANDE 2 (200.000 - 600.000 UF) | Empleados: 121</t>
        </is>
      </c>
      <c r="L1613" s="61" t="n"/>
      <c r="M1613" s="61" t="n"/>
      <c r="N1613" s="61" t="n"/>
      <c r="O1613" s="61" t="n"/>
      <c r="P1613" s="61" t="n"/>
      <c r="Q1613" s="62" t="n"/>
      <c r="R1613" s="61" t="n"/>
    </row>
    <row r="1614" ht="15.75" customHeight="1" s="38">
      <c r="A1614" s="66" t="inlineStr">
        <is>
          <t>Relaf Representaciones</t>
        </is>
      </c>
      <c r="B1614" s="66" t="inlineStr">
        <is>
          <t>Plantas para Electroobtención</t>
        </is>
      </c>
      <c r="C1614" s="66" t="inlineStr">
        <is>
          <t>Santiago</t>
        </is>
      </c>
      <c r="D1614" s="66" t="inlineStr">
        <is>
          <t>info@relaf.cl</t>
        </is>
      </c>
      <c r="E1614" s="66" t="inlineStr">
        <is>
          <t>(56) 2 2235 5194</t>
        </is>
      </c>
      <c r="F1614" s="66" t="n"/>
      <c r="G1614" s="66" t="n"/>
      <c r="H1614" s="66" t="n"/>
      <c r="I1614" s="66" t="inlineStr">
        <is>
          <t>79.501.560-4</t>
        </is>
      </c>
      <c r="J1614" s="66" t="n"/>
      <c r="K1614" s="66" t="inlineStr">
        <is>
          <t>Ventas: MEDIANA 1 (25.000 - 50.000 UF) | Empleados: 6</t>
        </is>
      </c>
      <c r="L1614" s="61" t="n"/>
      <c r="M1614" s="61" t="n"/>
      <c r="N1614" s="61" t="n"/>
      <c r="O1614" s="61" t="n"/>
      <c r="P1614" s="61" t="n"/>
      <c r="Q1614" s="62" t="n"/>
      <c r="R1614" s="61" t="n"/>
    </row>
    <row r="1615" ht="15.75" customHeight="1" s="38">
      <c r="A1615" s="66" t="inlineStr">
        <is>
          <t>Reliper</t>
        </is>
      </c>
      <c r="B1615" s="66" t="inlineStr">
        <is>
          <t>Artículos para Fijación y Sujeción</t>
        </is>
      </c>
      <c r="C1615" s="66" t="inlineStr">
        <is>
          <t>Antofagasta</t>
        </is>
      </c>
      <c r="D1615" s="66" t="inlineStr">
        <is>
          <t>reliper@reliper.cl</t>
        </is>
      </c>
      <c r="E1615" s="66" t="inlineStr">
        <is>
          <t>(56) 55 253 0480</t>
        </is>
      </c>
      <c r="F1615" s="66" t="inlineStr">
        <is>
          <t>Gerente de TI / CIO (Director de Tecnología)</t>
        </is>
      </c>
      <c r="G1615" s="66" t="n"/>
      <c r="H1615" s="66" t="n"/>
      <c r="I1615" s="66" t="inlineStr">
        <is>
          <t>96.924.780-1</t>
        </is>
      </c>
      <c r="J1615" s="66" t="n"/>
      <c r="K1615" s="66" t="inlineStr">
        <is>
          <t>Ventas: GRANDE 4 (Mas de 1.000.000 UF) | Empleados: 337</t>
        </is>
      </c>
      <c r="L1615" s="61" t="n"/>
      <c r="M1615" s="61" t="n"/>
      <c r="N1615" s="61" t="n"/>
      <c r="O1615" s="61" t="n"/>
      <c r="P1615" s="61" t="n"/>
      <c r="Q1615" s="62" t="n"/>
      <c r="R1615" s="61" t="n"/>
    </row>
    <row r="1616" ht="15.75" customHeight="1" s="38">
      <c r="A1616" s="66" t="inlineStr">
        <is>
          <t>Relix Water</t>
        </is>
      </c>
      <c r="B1616" s="66" t="inlineStr">
        <is>
          <t>Consultoría en Ingeniería Hidráulica, Diseño de Pilas de Lixiviación, Diseño de Plantas para Tratamiento de Agua</t>
        </is>
      </c>
      <c r="C1616" s="66" t="inlineStr">
        <is>
          <t>Santiago</t>
        </is>
      </c>
      <c r="D1616" s="66" t="inlineStr">
        <is>
          <t>info@relixwater.com</t>
        </is>
      </c>
      <c r="E1616" s="66" t="inlineStr">
        <is>
          <t>(56) 2 2706 5500</t>
        </is>
      </c>
      <c r="F1616" s="66" t="n"/>
      <c r="G1616" s="66" t="n"/>
      <c r="H1616" s="66" t="n"/>
      <c r="I1616" s="66" t="inlineStr">
        <is>
          <t>76.240.120-7</t>
        </is>
      </c>
      <c r="J1616" s="66" t="n"/>
      <c r="K1616" s="66" t="inlineStr">
        <is>
          <t>Ventas: GRANDE (Estimado por Empleados) | Empleados: 1277</t>
        </is>
      </c>
      <c r="L1616" s="61" t="n"/>
      <c r="M1616" s="61" t="n"/>
      <c r="N1616" s="61" t="n"/>
      <c r="O1616" s="61" t="n"/>
      <c r="P1616" s="61" t="n"/>
      <c r="Q1616" s="62" t="n"/>
      <c r="R1616" s="61" t="n"/>
    </row>
    <row r="1617" ht="15.75" customHeight="1" s="38">
      <c r="A1617" s="66" t="inlineStr">
        <is>
          <t>Rema Tip Top Latin America SpA</t>
        </is>
      </c>
      <c r="B1617" s="66" t="inlineStr">
        <is>
          <t>Revestimientos de Goma</t>
        </is>
      </c>
      <c r="C1617" s="66" t="inlineStr">
        <is>
          <t>Santiago</t>
        </is>
      </c>
      <c r="D1617" s="66" t="inlineStr">
        <is>
          <t>info@rema-tiptop.cl</t>
        </is>
      </c>
      <c r="E1617" s="66" t="inlineStr">
        <is>
          <t>(56) 2 2707 8000</t>
        </is>
      </c>
      <c r="F1617" s="66" t="n"/>
      <c r="G1617" s="66" t="n"/>
      <c r="H1617" s="66" t="n"/>
      <c r="I1617" s="66" t="inlineStr">
        <is>
          <t>76.070.142-4</t>
        </is>
      </c>
      <c r="J1617" s="66" t="n"/>
      <c r="K1617" s="66" t="inlineStr">
        <is>
          <t>Ventas: GRANDE (Estimado por Empleados) | Empleados: 812</t>
        </is>
      </c>
      <c r="L1617" s="61" t="n"/>
      <c r="M1617" s="61" t="n"/>
      <c r="N1617" s="61" t="n"/>
      <c r="O1617" s="61" t="n"/>
      <c r="P1617" s="61" t="n"/>
      <c r="Q1617" s="62" t="n"/>
      <c r="R1617" s="61" t="n"/>
    </row>
    <row r="1618" ht="15.75" customHeight="1" s="38">
      <c r="A1618" s="59" t="inlineStr">
        <is>
          <t>Remates Macal Ltda.</t>
        </is>
      </c>
      <c r="B1618" s="59" t="inlineStr">
        <is>
          <t>Remates de Maquinaria Industrial y Minera</t>
        </is>
      </c>
      <c r="C1618" s="59" t="inlineStr">
        <is>
          <t>Santiago</t>
        </is>
      </c>
      <c r="D1618" s="59" t="inlineStr">
        <is>
          <t>clientes@macal.cl</t>
        </is>
      </c>
      <c r="E1618" s="59" t="inlineStr">
        <is>
          <t>(56) 2 2760 3535</t>
        </is>
      </c>
      <c r="F1618" s="59" t="inlineStr">
        <is>
          <t>Alex Sanhueza (Gerente de TI)</t>
        </is>
      </c>
      <c r="G1618" s="59" t="inlineStr">
        <is>
          <t>alex.sanhueza@macal.cl</t>
        </is>
      </c>
      <c r="H1618" s="59" t="n"/>
      <c r="I1618" s="59" t="inlineStr">
        <is>
          <t>79.546.430-1</t>
        </is>
      </c>
      <c r="J1618" s="59" t="inlineStr">
        <is>
          <t>Investigación en Proceso</t>
        </is>
      </c>
      <c r="K1618" s="59" t="inlineStr">
        <is>
          <t>Ventas: GRANDE 3 (600.000 - 1.000.000 UF) | Empleados: 120</t>
        </is>
      </c>
      <c r="L1618" s="61" t="n"/>
      <c r="M1618" s="61" t="n"/>
      <c r="N1618" s="61" t="n"/>
      <c r="O1618" s="61" t="n"/>
      <c r="P1618" s="61" t="n"/>
      <c r="Q1618" s="62" t="n"/>
      <c r="R1618" s="61" t="n"/>
    </row>
    <row r="1619" ht="15.75" customHeight="1" s="38">
      <c r="A1619" s="66" t="inlineStr">
        <is>
          <t>Remates Rivas</t>
        </is>
      </c>
      <c r="B1619" s="66" t="inlineStr">
        <is>
          <t>Remates de Activos Industriales</t>
        </is>
      </c>
      <c r="C1619" s="66" t="inlineStr">
        <is>
          <t>Santiago</t>
        </is>
      </c>
      <c r="D1619" s="66" t="inlineStr">
        <is>
          <t>contacto@rematesrivas.cl</t>
        </is>
      </c>
      <c r="E1619" s="66" t="inlineStr">
        <is>
          <t>(56) 9 7139 2130</t>
        </is>
      </c>
      <c r="F1619" s="66" t="n"/>
      <c r="G1619" s="66" t="n"/>
      <c r="H1619" s="66" t="n"/>
      <c r="I1619" s="66" t="inlineStr">
        <is>
          <t>76554478-5</t>
        </is>
      </c>
      <c r="J1619" s="66" t="n"/>
      <c r="K1619" s="66" t="inlineStr">
        <is>
          <t>Ventas: PEQUEÑA 3 (10.000 - 25.000 UF) | Empleados: 4</t>
        </is>
      </c>
      <c r="L1619" s="61" t="n"/>
      <c r="M1619" s="61" t="n"/>
      <c r="N1619" s="61" t="n"/>
      <c r="O1619" s="61" t="n"/>
      <c r="P1619" s="61" t="n"/>
      <c r="Q1619" s="62" t="n"/>
      <c r="R1619" s="61" t="n"/>
    </row>
    <row r="1620" ht="15.75" customHeight="1" s="38">
      <c r="A1620" s="66" t="inlineStr">
        <is>
          <t>Remates San Isidro</t>
        </is>
      </c>
      <c r="B1620" s="66" t="inlineStr">
        <is>
          <t>Remates de Activos Industriales, Remates de Maquinaria Industrial y Minera</t>
        </is>
      </c>
      <c r="C1620" s="66" t="inlineStr">
        <is>
          <t>Santiago</t>
        </is>
      </c>
      <c r="D1620" s="66" t="inlineStr">
        <is>
          <t>info@rematesanisidro.cl</t>
        </is>
      </c>
      <c r="E1620" s="66" t="inlineStr">
        <is>
          <t>(56) 2 2624 7900</t>
        </is>
      </c>
      <c r="F1620" s="66" t="n"/>
      <c r="G1620" s="66" t="n"/>
      <c r="H1620" s="66" t="n"/>
      <c r="I1620" s="66" t="inlineStr">
        <is>
          <t>78.549.230-7</t>
        </is>
      </c>
      <c r="J1620" s="66" t="n"/>
      <c r="K1620" s="66" t="inlineStr">
        <is>
          <t>Ventas: MEDIANA 1 (25.000 - 50.000 UF) | Empleados: 16</t>
        </is>
      </c>
      <c r="L1620" s="61" t="n"/>
      <c r="M1620" s="61" t="n"/>
      <c r="N1620" s="61" t="n"/>
      <c r="O1620" s="61" t="n"/>
      <c r="P1620" s="61" t="n"/>
      <c r="Q1620" s="62" t="n"/>
      <c r="R1620" s="61" t="n"/>
    </row>
    <row r="1621" ht="15.75" customHeight="1" s="38">
      <c r="A1621" s="66" t="inlineStr">
        <is>
          <t>Rembre SpA</t>
        </is>
      </c>
      <c r="B1621" s="66" t="inlineStr">
        <is>
          <t>Reciclaje de Neumáticos</t>
        </is>
      </c>
      <c r="C1621" s="66" t="inlineStr">
        <is>
          <t>Santiago</t>
        </is>
      </c>
      <c r="D1621" s="66" t="inlineStr">
        <is>
          <t>atencion@rembrecompany.com</t>
        </is>
      </c>
      <c r="E1621" s="66" t="inlineStr">
        <is>
          <t>(56) 9 4256 6200</t>
        </is>
      </c>
      <c r="F1621" s="66" t="n"/>
      <c r="G1621" s="66" t="n"/>
      <c r="H1621" s="66" t="n"/>
      <c r="I1621" s="66" t="inlineStr">
        <is>
          <t>76.261.705-6</t>
        </is>
      </c>
      <c r="J1621" s="66" t="n"/>
      <c r="K1621" s="66" t="inlineStr">
        <is>
          <t>Ventas: GRANDE 2 (200.000 - 600.000 UF) | Empleados: 235</t>
        </is>
      </c>
      <c r="L1621" s="61" t="n"/>
      <c r="M1621" s="61" t="n"/>
      <c r="N1621" s="61" t="n"/>
      <c r="O1621" s="61" t="n"/>
      <c r="P1621" s="61" t="n"/>
      <c r="Q1621" s="62" t="n"/>
      <c r="R1621" s="61" t="n"/>
    </row>
    <row r="1622" ht="15.75" customHeight="1" s="38">
      <c r="A1622" s="66" t="inlineStr">
        <is>
          <t>Remiex</t>
        </is>
      </c>
      <c r="B1622" s="66" t="inlineStr">
        <is>
          <t>Repuestos Mineros e Industria</t>
        </is>
      </c>
      <c r="C1622" s="66" t="inlineStr">
        <is>
          <t>Santiago</t>
        </is>
      </c>
      <c r="D1622" s="66" t="n"/>
      <c r="E1622" s="66" t="inlineStr">
        <is>
          <t>(56) 2 3297 1243</t>
        </is>
      </c>
      <c r="F1622" s="66" t="n"/>
      <c r="G1622" s="66" t="n"/>
      <c r="H1622" s="66" t="n"/>
      <c r="I1622" s="66" t="inlineStr">
        <is>
          <t>77.044.785-2</t>
        </is>
      </c>
      <c r="J1622" s="66" t="n"/>
      <c r="K1622" s="66" t="inlineStr">
        <is>
          <t>Ventas: GRANDE 1 (100.000 - 200.000 UF) | Empleados: 14</t>
        </is>
      </c>
      <c r="L1622" s="61" t="n"/>
      <c r="M1622" s="61" t="n"/>
      <c r="N1622" s="61" t="n"/>
      <c r="O1622" s="61" t="n"/>
      <c r="P1622" s="61" t="n"/>
      <c r="Q1622" s="62" t="n"/>
      <c r="R1622" s="61" t="n"/>
    </row>
    <row r="1623" ht="15.75" customHeight="1" s="38">
      <c r="A1623" s="66" t="inlineStr">
        <is>
          <t>Rentaclima</t>
        </is>
      </c>
      <c r="B1623" s="66" t="inlineStr">
        <is>
          <t>Aire Acondicionado, Ventilación</t>
        </is>
      </c>
      <c r="C1623" s="66" t="inlineStr">
        <is>
          <t>Santiago</t>
        </is>
      </c>
      <c r="D1623" s="66" t="inlineStr">
        <is>
          <t>arriendos@rentaclima.cl</t>
        </is>
      </c>
      <c r="E1623" s="66" t="inlineStr">
        <is>
          <t>(56) 2 2430 6780</t>
        </is>
      </c>
      <c r="F1623" s="66" t="n"/>
      <c r="G1623" s="66" t="n"/>
      <c r="H1623" s="66" t="n"/>
      <c r="I1623" s="66" t="inlineStr">
        <is>
          <t>77.416.300-K</t>
        </is>
      </c>
      <c r="J1623" s="66" t="n"/>
      <c r="K1623" s="66" t="inlineStr">
        <is>
          <t>Ventas: GRANDE 1 (100.000 - 200.000 UF) | Empleados: 56</t>
        </is>
      </c>
      <c r="L1623" s="61" t="n"/>
      <c r="M1623" s="61" t="n"/>
      <c r="N1623" s="61" t="n"/>
      <c r="O1623" s="61" t="n"/>
      <c r="P1623" s="61" t="n"/>
      <c r="Q1623" s="62" t="n"/>
      <c r="R1623" s="61" t="n"/>
    </row>
    <row r="1624" ht="15.75" customHeight="1" s="38">
      <c r="A1624" s="66" t="inlineStr">
        <is>
          <t>Rentokil Initial Chile SpA</t>
        </is>
      </c>
      <c r="B1624" s="66" t="inlineStr">
        <is>
          <t>Tratamiento de Aguas Servidas, Tratamiento de Residuos Industriales</t>
        </is>
      </c>
      <c r="C1624" s="66" t="inlineStr">
        <is>
          <t>Santiago</t>
        </is>
      </c>
      <c r="D1624" s="66" t="n"/>
      <c r="E1624" s="66" t="inlineStr">
        <is>
          <t>800 387 100</t>
        </is>
      </c>
      <c r="F1624" s="66" t="n"/>
      <c r="G1624" s="66" t="n"/>
      <c r="H1624" s="66" t="n"/>
      <c r="I1624" s="66" t="inlineStr">
        <is>
          <t>76.360.903-0</t>
        </is>
      </c>
      <c r="J1624" s="66" t="n"/>
      <c r="K1624" s="66" t="inlineStr">
        <is>
          <t>Ventas: GRANDE (Estimado por Empleados) | Empleados: 703</t>
        </is>
      </c>
      <c r="L1624" s="61" t="n"/>
      <c r="M1624" s="61" t="n"/>
      <c r="N1624" s="61" t="n"/>
      <c r="O1624" s="61" t="n"/>
      <c r="P1624" s="61" t="n"/>
      <c r="Q1624" s="62" t="n"/>
      <c r="R1624" s="61" t="n"/>
    </row>
    <row r="1625" ht="15.75" customHeight="1" s="38">
      <c r="A1625" s="66" t="inlineStr">
        <is>
          <t>Repacar Ltda.</t>
        </is>
      </c>
      <c r="B1625" s="66" t="inlineStr">
        <is>
          <t>Apiladores, Plataformas Elevadoras</t>
        </is>
      </c>
      <c r="C1625" s="66" t="inlineStr">
        <is>
          <t>Santiago</t>
        </is>
      </c>
      <c r="D1625" s="66" t="inlineStr">
        <is>
          <t>repacar@repacar.cl</t>
        </is>
      </c>
      <c r="E1625" s="66" t="inlineStr">
        <is>
          <t>(56) 2 2552 7025</t>
        </is>
      </c>
      <c r="F1625" s="66" t="n"/>
      <c r="G1625" s="66" t="n"/>
      <c r="H1625" s="66" t="n"/>
      <c r="I1625" s="66" t="inlineStr">
        <is>
          <t>76.468.040-5</t>
        </is>
      </c>
      <c r="J1625" s="66" t="n"/>
      <c r="K1625" s="66" t="inlineStr">
        <is>
          <t>Ventas: MEDIANA 1 (25.000 - 50.000 UF) | Empleados: 3</t>
        </is>
      </c>
      <c r="L1625" s="61" t="n"/>
      <c r="M1625" s="61" t="n"/>
      <c r="N1625" s="61" t="n"/>
      <c r="O1625" s="61" t="n"/>
      <c r="P1625" s="61" t="n"/>
      <c r="Q1625" s="62" t="n"/>
      <c r="R1625" s="61" t="n"/>
    </row>
    <row r="1626" ht="15.75" customHeight="1" s="38">
      <c r="A1626" s="66" t="inlineStr">
        <is>
          <t>Repes Ltda.</t>
        </is>
      </c>
      <c r="B1626" s="66" t="inlineStr">
        <is>
          <t>Rehabilitación de Estructuras</t>
        </is>
      </c>
      <c r="C1626" s="66" t="inlineStr">
        <is>
          <t>Santiago</t>
        </is>
      </c>
      <c r="D1626" s="66" t="inlineStr">
        <is>
          <t>repes@repes.cl</t>
        </is>
      </c>
      <c r="E1626" s="66" t="inlineStr">
        <is>
          <t>(56) 2 2652 3300</t>
        </is>
      </c>
      <c r="F1626" s="66" t="inlineStr">
        <is>
          <t>Gerente de TI / CIO (Director de Tecnología)</t>
        </is>
      </c>
      <c r="G1626" s="66" t="n"/>
      <c r="H1626" s="66" t="n"/>
      <c r="I1626" s="66" t="inlineStr">
        <is>
          <t>96.671.230-9</t>
        </is>
      </c>
      <c r="J1626" s="66" t="n"/>
      <c r="K1626" s="66" t="inlineStr">
        <is>
          <t>Ventas: GRANDE 3 (600.000 - 1.000.000 UF) | Empleados: 770</t>
        </is>
      </c>
      <c r="L1626" s="61" t="n"/>
      <c r="M1626" s="61" t="n"/>
      <c r="N1626" s="61" t="n"/>
      <c r="O1626" s="61" t="n"/>
      <c r="P1626" s="61" t="n"/>
      <c r="Q1626" s="62" t="n"/>
      <c r="R1626" s="61" t="n"/>
    </row>
    <row r="1627" ht="15.75" customHeight="1" s="38">
      <c r="A1627" s="66" t="inlineStr">
        <is>
          <t>Repmin SpA</t>
        </is>
      </c>
      <c r="B1627" s="66" t="inlineStr">
        <is>
          <t>Correas Transportadoras</t>
        </is>
      </c>
      <c r="C1627" s="66" t="inlineStr">
        <is>
          <t>Santiago</t>
        </is>
      </c>
      <c r="D1627" s="66" t="inlineStr">
        <is>
          <t>contacto@repmin.net</t>
        </is>
      </c>
      <c r="E1627" s="66" t="inlineStr">
        <is>
          <t>(56) 2 2671 5818</t>
        </is>
      </c>
      <c r="F1627" s="66" t="n"/>
      <c r="G1627" s="66" t="n"/>
      <c r="H1627" s="66" t="n"/>
      <c r="I1627" s="66" t="inlineStr">
        <is>
          <t>76227763-8</t>
        </is>
      </c>
      <c r="J1627" s="66" t="n"/>
      <c r="K1627" s="66" t="inlineStr">
        <is>
          <t>Ventas: GRANDE 1 (100.000 - 200.000 UF) | Empleados: 69</t>
        </is>
      </c>
      <c r="L1627" s="61" t="n"/>
      <c r="M1627" s="61" t="n"/>
      <c r="N1627" s="61" t="n"/>
      <c r="O1627" s="61" t="n"/>
      <c r="P1627" s="61" t="n"/>
      <c r="Q1627" s="62" t="n"/>
      <c r="R1627" s="61" t="n"/>
    </row>
    <row r="1628" ht="15.75" customHeight="1" s="38">
      <c r="A1628" s="66" t="inlineStr">
        <is>
          <t>Rever</t>
        </is>
      </c>
      <c r="B1628" s="66" t="inlineStr">
        <is>
          <t>Drones de Mapeo e Inspección para Interiores, Robots para Inspección Robusta, Software para Análisis de Piezas Mecánicas</t>
        </is>
      </c>
      <c r="C1628" s="66" t="inlineStr">
        <is>
          <t>Santiago</t>
        </is>
      </c>
      <c r="D1628" s="66" t="inlineStr">
        <is>
          <t>contacto@rever-digital.com</t>
        </is>
      </c>
      <c r="E1628" s="66" t="inlineStr">
        <is>
          <t>(56) 2 6465 5618</t>
        </is>
      </c>
      <c r="F1628" s="66" t="n"/>
      <c r="G1628" s="66" t="n"/>
      <c r="H1628" s="66" t="n"/>
      <c r="I1628" s="66" t="inlineStr">
        <is>
          <t>77298993-8</t>
        </is>
      </c>
      <c r="J1628" s="66" t="n"/>
      <c r="K1628" s="66" t="inlineStr">
        <is>
          <t>Ventas: MEDIANA 1 (25.000 - 50.000 UF) | Empleados: 10</t>
        </is>
      </c>
      <c r="L1628" s="61" t="n"/>
      <c r="M1628" s="61" t="n"/>
      <c r="N1628" s="61" t="n"/>
      <c r="O1628" s="61" t="n"/>
      <c r="P1628" s="61" t="n"/>
      <c r="Q1628" s="62" t="n"/>
      <c r="R1628" s="61" t="n"/>
    </row>
    <row r="1629" ht="15.75" customHeight="1" s="38">
      <c r="A1629" s="66" t="inlineStr">
        <is>
          <t>Revesol</t>
        </is>
      </c>
      <c r="B1629" s="66" t="inlineStr">
        <is>
          <t>Proveedor Destacado, Correas Transportadoras, Diseño y Fabricación de Equipos Oleohidráulicos, Poleas, Polines Centradores para Correas, Reparación de Poleas, Rodillos, Sistemas para el Transporte de Minerales</t>
        </is>
      </c>
      <c r="C1629" s="66" t="inlineStr">
        <is>
          <t>Santiago</t>
        </is>
      </c>
      <c r="D1629" s="66" t="inlineStr">
        <is>
          <t>contacto@revesol.com</t>
        </is>
      </c>
      <c r="E1629" s="66" t="inlineStr">
        <is>
          <t>(56) 2 2979 2800</t>
        </is>
      </c>
      <c r="F1629" s="66" t="n"/>
      <c r="G1629" s="66" t="n"/>
      <c r="H1629" s="66" t="inlineStr">
        <is>
          <t>http://www.revesol.com</t>
        </is>
      </c>
      <c r="I1629" s="66" t="inlineStr">
        <is>
          <t>93.402.000-6</t>
        </is>
      </c>
      <c r="J1629" s="66" t="n"/>
      <c r="K1629" s="66" t="inlineStr">
        <is>
          <t>Ventas: GRANDE (Estimado por Empleados) | Empleados: 398</t>
        </is>
      </c>
      <c r="L1629" s="61" t="n"/>
      <c r="M1629" s="61" t="n"/>
      <c r="N1629" s="61" t="n"/>
      <c r="O1629" s="61" t="n"/>
      <c r="P1629" s="61" t="n"/>
      <c r="Q1629" s="62" t="n"/>
      <c r="R1629" s="61" t="n"/>
    </row>
    <row r="1630" ht="15.75" customHeight="1" s="38">
      <c r="A1630" s="66" t="inlineStr">
        <is>
          <t>Reyher Ltda.</t>
        </is>
      </c>
      <c r="B1630" s="66" t="inlineStr">
        <is>
          <t>Correas para Transmisión de Potencia, Poleas</t>
        </is>
      </c>
      <c r="C1630" s="66" t="inlineStr">
        <is>
          <t>Talcahuano</t>
        </is>
      </c>
      <c r="D1630" s="66" t="inlineStr">
        <is>
          <t>reyher@reyher.cl</t>
        </is>
      </c>
      <c r="E1630" s="66" t="inlineStr">
        <is>
          <t>(56) 41 259 0055</t>
        </is>
      </c>
      <c r="F1630" s="66" t="n"/>
      <c r="G1630" s="66" t="n"/>
      <c r="H1630" s="66" t="n"/>
      <c r="I1630" s="66" t="inlineStr">
        <is>
          <t>78.488.300-0</t>
        </is>
      </c>
      <c r="J1630" s="66" t="n"/>
      <c r="K1630" s="66" t="inlineStr">
        <is>
          <t>Ventas: GRANDE 1 (100.000 - 200.000 UF) | Empleados: 23</t>
        </is>
      </c>
      <c r="L1630" s="61" t="n"/>
      <c r="M1630" s="61" t="n"/>
      <c r="N1630" s="61" t="n"/>
      <c r="O1630" s="61" t="n"/>
      <c r="P1630" s="61" t="n"/>
      <c r="Q1630" s="62" t="n"/>
      <c r="R1630" s="61" t="n"/>
    </row>
    <row r="1631" ht="15.75" customHeight="1" s="38">
      <c r="A1631" s="66" t="inlineStr">
        <is>
          <t>Reysan S.A.</t>
        </is>
      </c>
      <c r="B1631" s="66" t="inlineStr">
        <is>
          <t>Polines Centradores para Correas Transportadoras</t>
        </is>
      </c>
      <c r="C1631" s="66" t="inlineStr">
        <is>
          <t>Santiago</t>
        </is>
      </c>
      <c r="D1631" s="66" t="inlineStr">
        <is>
          <t>comercial@reysan-chile.cl</t>
        </is>
      </c>
      <c r="E1631" s="66" t="inlineStr">
        <is>
          <t>(56) 2 2518 6700</t>
        </is>
      </c>
      <c r="F1631" s="66" t="n"/>
      <c r="G1631" s="66" t="n"/>
      <c r="H1631" s="66" t="n"/>
      <c r="I1631" s="66" t="inlineStr">
        <is>
          <t>76.295.930-5</t>
        </is>
      </c>
      <c r="J1631" s="66" t="n"/>
      <c r="K1631" s="66" t="inlineStr">
        <is>
          <t>Ventas: MEDIANA 2 (50.000 - 100.000 UF) | Empleados: 20</t>
        </is>
      </c>
      <c r="L1631" s="61" t="n"/>
      <c r="M1631" s="61" t="n"/>
      <c r="N1631" s="61" t="n"/>
      <c r="O1631" s="61" t="n"/>
      <c r="P1631" s="61" t="n"/>
      <c r="Q1631" s="62" t="n"/>
      <c r="R1631" s="61" t="n"/>
    </row>
    <row r="1632" ht="15.75" customHeight="1" s="38">
      <c r="A1632" s="66" t="inlineStr">
        <is>
          <t>RFA Ingenieros Consultores Ltda.</t>
        </is>
      </c>
      <c r="B1632" s="66" t="inlineStr">
        <is>
          <t>Consultoría en Informática, Servicios de Ingeniería</t>
        </is>
      </c>
      <c r="C1632" s="66" t="inlineStr">
        <is>
          <t>Santiago</t>
        </is>
      </c>
      <c r="D1632" s="66" t="inlineStr">
        <is>
          <t>rfa-ingenieros@rfa.cl</t>
        </is>
      </c>
      <c r="E1632" s="66" t="inlineStr">
        <is>
          <t>(56) 2 2652 3300</t>
        </is>
      </c>
      <c r="F1632" s="66" t="n"/>
      <c r="G1632" s="66" t="n"/>
      <c r="H1632" s="66" t="n"/>
      <c r="I1632" s="66" t="inlineStr">
        <is>
          <t>96.552.080-5</t>
        </is>
      </c>
      <c r="J1632" s="66" t="n"/>
      <c r="K1632" s="66" t="inlineStr">
        <is>
          <t>Ventas: MEDIANA 1 (25.000 - 50.000 UF) | Empleados: 9</t>
        </is>
      </c>
      <c r="L1632" s="61" t="n"/>
      <c r="M1632" s="61" t="n"/>
      <c r="N1632" s="61" t="n"/>
      <c r="O1632" s="61" t="n"/>
      <c r="P1632" s="61" t="n"/>
      <c r="Q1632" s="62" t="n"/>
      <c r="R1632" s="61" t="n"/>
    </row>
    <row r="1633" ht="15.75" customHeight="1" s="38">
      <c r="A1633" s="66" t="inlineStr">
        <is>
          <t>Rfid Chile Ltda.</t>
        </is>
      </c>
      <c r="B1633" s="66" t="inlineStr">
        <is>
          <t>Control por Radiofrecuencia</t>
        </is>
      </c>
      <c r="C1633" s="66" t="inlineStr">
        <is>
          <t>Santiago</t>
        </is>
      </c>
      <c r="D1633" s="66" t="inlineStr">
        <is>
          <t>info@rfid.cl</t>
        </is>
      </c>
      <c r="E1633" s="66" t="inlineStr">
        <is>
          <t>(56) 2 2799 1700</t>
        </is>
      </c>
      <c r="F1633" s="66" t="n"/>
      <c r="G1633" s="66" t="n"/>
      <c r="H1633" s="66" t="n"/>
      <c r="I1633" s="66" t="inlineStr">
        <is>
          <t>76.085.650-9</t>
        </is>
      </c>
      <c r="J1633" s="66" t="n"/>
      <c r="K1633" s="66" t="inlineStr">
        <is>
          <t>Ventas: MICRO 1 (0.01 - 200 UF) | Empleados: 0</t>
        </is>
      </c>
      <c r="L1633" s="61" t="n"/>
      <c r="M1633" s="61" t="n"/>
      <c r="N1633" s="61" t="n"/>
      <c r="O1633" s="61" t="n"/>
      <c r="P1633" s="61" t="n"/>
      <c r="Q1633" s="62" t="n"/>
      <c r="R1633" s="61" t="n"/>
    </row>
    <row r="1634" ht="15.75" customHeight="1" s="38">
      <c r="A1634" s="59" t="inlineStr">
        <is>
          <t>RGM Mallas de Alambre Ltda.</t>
        </is>
      </c>
      <c r="B1634" s="59" t="inlineStr">
        <is>
          <t>Alambres y Clavos</t>
        </is>
      </c>
      <c r="C1634" s="59" t="inlineStr">
        <is>
          <t>Santiago</t>
        </is>
      </c>
      <c r="D1634" s="59" t="inlineStr">
        <is>
          <t>contacto@rgm.cl</t>
        </is>
      </c>
      <c r="E1634" s="59" t="inlineStr">
        <is>
          <t>(56) 9 4005 6683</t>
        </is>
      </c>
      <c r="F1634" s="59" t="inlineStr">
        <is>
          <t>Daniel Camilla Ortiz (Connectivity &amp; Net Eng.)</t>
        </is>
      </c>
      <c r="G1634" s="59" t="inlineStr">
        <is>
          <t>dcamilla@rgm.cl</t>
        </is>
      </c>
      <c r="H1634" s="59" t="n"/>
      <c r="I1634" s="59" t="inlineStr">
        <is>
          <t>78.893.770-9</t>
        </is>
      </c>
      <c r="J1634" s="59" t="inlineStr">
        <is>
          <t>Investigación en Proceso</t>
        </is>
      </c>
      <c r="K1634" s="59" t="inlineStr">
        <is>
          <t>Ventas: GRANDE 3 (600.000 - 1.000.000 UF) | Empleados: 109</t>
        </is>
      </c>
      <c r="L1634" s="61" t="n"/>
      <c r="M1634" s="61" t="n"/>
      <c r="N1634" s="61" t="n"/>
      <c r="O1634" s="61" t="n"/>
      <c r="P1634" s="61" t="n"/>
      <c r="Q1634" s="62" t="n"/>
      <c r="R1634" s="61" t="n"/>
    </row>
    <row r="1635" ht="15.75" customHeight="1" s="38">
      <c r="A1635" s="66" t="inlineStr">
        <is>
          <t>Rheem</t>
        </is>
      </c>
      <c r="B1635" s="66" t="inlineStr">
        <is>
          <t>Artículos Eléctricos, Calentadores Eléctricos para Agua</t>
        </is>
      </c>
      <c r="C1635" s="66" t="inlineStr">
        <is>
          <t>Santiago</t>
        </is>
      </c>
      <c r="D1635" s="66" t="inlineStr">
        <is>
          <t>contacto@rheemchile.cl</t>
        </is>
      </c>
      <c r="E1635" s="66" t="inlineStr">
        <is>
          <t>(56) 2 2870 5000</t>
        </is>
      </c>
      <c r="F1635" s="66" t="n"/>
      <c r="G1635" s="66" t="n"/>
      <c r="H1635" s="66" t="n"/>
      <c r="I1635" s="66" t="inlineStr">
        <is>
          <t>76.388.223-3</t>
        </is>
      </c>
      <c r="J1635" s="66" t="n"/>
      <c r="K1635" s="66" t="inlineStr">
        <is>
          <t>Ventas: GRANDE (Estimado por Empleados) | Empleados: 369</t>
        </is>
      </c>
      <c r="L1635" s="61" t="n"/>
      <c r="M1635" s="61" t="n"/>
      <c r="N1635" s="61" t="n"/>
      <c r="O1635" s="61" t="n"/>
      <c r="P1635" s="61" t="n"/>
      <c r="Q1635" s="62" t="n"/>
      <c r="R1635" s="61" t="n"/>
    </row>
    <row r="1636" ht="15.75" customHeight="1" s="38">
      <c r="A1636" s="59" t="inlineStr">
        <is>
          <t>Rheintek Chile Ltda.</t>
        </is>
      </c>
      <c r="B1636" s="59" t="inlineStr">
        <is>
          <t>Aceros Inoxidables, Productos Químicos</t>
        </is>
      </c>
      <c r="C1636" s="59" t="inlineStr">
        <is>
          <t>Santiago</t>
        </is>
      </c>
      <c r="D1636" s="59" t="inlineStr">
        <is>
          <t>serviciocliente@rheintek-la.com</t>
        </is>
      </c>
      <c r="E1636" s="59" t="inlineStr">
        <is>
          <t>(56) 2 2264 0754</t>
        </is>
      </c>
      <c r="F1636" s="59" t="inlineStr">
        <is>
          <t>Rafael Aguirre (Director Comercial)</t>
        </is>
      </c>
      <c r="G1636" s="59" t="inlineStr">
        <is>
          <t>raguirre@rheintek.cl</t>
        </is>
      </c>
      <c r="H1636" s="59" t="n"/>
      <c r="I1636" s="59" t="inlineStr">
        <is>
          <t>76.228.450-2</t>
        </is>
      </c>
      <c r="J1636" s="59" t="inlineStr">
        <is>
          <t>Investigación en Proceso</t>
        </is>
      </c>
      <c r="K1636" s="59" t="inlineStr">
        <is>
          <t>Ventas: GRANDE 3 (600.000 - 1.000.000 UF) | Empleados: 11</t>
        </is>
      </c>
      <c r="L1636" s="61" t="n"/>
      <c r="M1636" s="61" t="n"/>
      <c r="N1636" s="61" t="n"/>
      <c r="O1636" s="61" t="n"/>
      <c r="P1636" s="61" t="n"/>
      <c r="Q1636" s="62" t="n"/>
      <c r="R1636" s="61" t="n"/>
    </row>
    <row r="1637" ht="15.75" customHeight="1" s="38">
      <c r="A1637" s="59" t="inlineStr">
        <is>
          <t>RHI Chile S.A.</t>
        </is>
      </c>
      <c r="B1637" s="59" t="inlineStr">
        <is>
          <t>Aislantes Térmicos, Refractarios</t>
        </is>
      </c>
      <c r="C1637" s="59" t="inlineStr">
        <is>
          <t>Santiago</t>
        </is>
      </c>
      <c r="D1637" s="59" t="n"/>
      <c r="E1637" s="59" t="inlineStr">
        <is>
          <t>(56) 2 2385 4200</t>
        </is>
      </c>
      <c r="F1637" s="59" t="inlineStr">
        <is>
          <t>Luis Bracho (Sales Mgr / CRM Boss)</t>
        </is>
      </c>
      <c r="G1637" s="59" t="inlineStr">
        <is>
          <t>luis.bracho@rhimagnesita.com</t>
        </is>
      </c>
      <c r="H1637" s="59" t="n"/>
      <c r="I1637" s="59" t="inlineStr">
        <is>
          <t>99.561.450-2</t>
        </is>
      </c>
      <c r="J1637" s="59" t="inlineStr">
        <is>
          <t>Investigación en Proceso</t>
        </is>
      </c>
      <c r="K1637" s="59" t="inlineStr">
        <is>
          <t>Ventas: GRANDE 3 (600.000 - 1.000.000 UF) | Empleados: 188</t>
        </is>
      </c>
      <c r="L1637" s="61" t="n"/>
      <c r="M1637" s="61" t="n"/>
      <c r="N1637" s="61" t="n"/>
      <c r="O1637" s="61" t="n"/>
      <c r="P1637" s="61" t="n"/>
      <c r="Q1637" s="62" t="n"/>
      <c r="R1637" s="61" t="n"/>
    </row>
    <row r="1638" ht="15.75" customHeight="1" s="38">
      <c r="A1638" s="66" t="inlineStr">
        <is>
          <t>Rhona S.A.</t>
        </is>
      </c>
      <c r="B1638" s="66" t="inlineStr">
        <is>
          <t>Accionamientos Eléctricos, Aislantes Eléctricos</t>
        </is>
      </c>
      <c r="C1638" s="66" t="inlineStr">
        <is>
          <t>Viña del Mar</t>
        </is>
      </c>
      <c r="D1638" s="66" t="inlineStr">
        <is>
          <t>info@rhona.cl</t>
        </is>
      </c>
      <c r="E1638" s="66" t="inlineStr">
        <is>
          <t>(56) 32 232 0600</t>
        </is>
      </c>
      <c r="F1638" s="66" t="n"/>
      <c r="G1638" s="66" t="n"/>
      <c r="H1638" s="66" t="n"/>
      <c r="I1638" s="66" t="inlineStr">
        <is>
          <t>92.307.000-1</t>
        </is>
      </c>
      <c r="J1638" s="66" t="n"/>
      <c r="K1638" s="66" t="inlineStr">
        <is>
          <t>Ventas: GRANDE (Estimado por Empleados) | Empleados: 773</t>
        </is>
      </c>
      <c r="L1638" s="61" t="n"/>
      <c r="M1638" s="61" t="n"/>
      <c r="N1638" s="61" t="n"/>
      <c r="O1638" s="61" t="n"/>
      <c r="P1638" s="61" t="n"/>
      <c r="Q1638" s="62" t="n"/>
      <c r="R1638" s="61" t="n"/>
    </row>
    <row r="1639" ht="15.75" customHeight="1" s="38">
      <c r="A1639" s="66" t="inlineStr">
        <is>
          <t>Rittal Electromecánicos Ltda.</t>
        </is>
      </c>
      <c r="B1639" s="66" t="inlineStr">
        <is>
          <t>Armarios, Gabinetes y Cajas en Acero Inoxidable, Equipos para Automatización y Control</t>
        </is>
      </c>
      <c r="C1639" s="66" t="inlineStr">
        <is>
          <t>Santiago</t>
        </is>
      </c>
      <c r="D1639" s="66" t="inlineStr">
        <is>
          <t>info@rittal.cl</t>
        </is>
      </c>
      <c r="E1639" s="66" t="inlineStr">
        <is>
          <t>(56) 2 2947 7400</t>
        </is>
      </c>
      <c r="F1639" s="66" t="inlineStr">
        <is>
          <t>Gerente de TI / CIO (Director de Tecnología)</t>
        </is>
      </c>
      <c r="G1639" s="66" t="n"/>
      <c r="H1639" s="66" t="n"/>
      <c r="I1639" s="66" t="inlineStr">
        <is>
          <t>76.162.740-6</t>
        </is>
      </c>
      <c r="J1639" s="66" t="n"/>
      <c r="K1639" s="66" t="inlineStr">
        <is>
          <t>Ventas: GRANDE 3 (600.000 - 1.000.000 UF) | Empleados: 52</t>
        </is>
      </c>
      <c r="L1639" s="61" t="n"/>
      <c r="M1639" s="61" t="n"/>
      <c r="N1639" s="61" t="n"/>
      <c r="O1639" s="61" t="n"/>
      <c r="P1639" s="61" t="n"/>
      <c r="Q1639" s="62" t="n"/>
      <c r="R1639" s="61" t="n"/>
    </row>
    <row r="1640" ht="15.75" customHeight="1" s="38">
      <c r="A1640" s="59" t="inlineStr">
        <is>
          <t>Rivet Ltda.</t>
        </is>
      </c>
      <c r="B1640" s="59" t="inlineStr">
        <is>
          <t>Polines</t>
        </is>
      </c>
      <c r="C1640" s="59" t="inlineStr">
        <is>
          <t>Santiago</t>
        </is>
      </c>
      <c r="D1640" s="59" t="inlineStr">
        <is>
          <t>ventas@rivet.cl</t>
        </is>
      </c>
      <c r="E1640" s="59" t="inlineStr">
        <is>
          <t>(56) 2 2489 1030</t>
        </is>
      </c>
      <c r="F1640" s="59" t="inlineStr">
        <is>
          <t>Yerko Jofré Araya (Ing. Ventas (Tech Contact))</t>
        </is>
      </c>
      <c r="G1640" s="59" t="inlineStr">
        <is>
          <t>yjofre@rivet.cl</t>
        </is>
      </c>
      <c r="H1640" s="59" t="n"/>
      <c r="I1640" s="59" t="inlineStr">
        <is>
          <t>95.151.000-9</t>
        </is>
      </c>
      <c r="J1640" s="59" t="inlineStr">
        <is>
          <t>Investigación en Proceso</t>
        </is>
      </c>
      <c r="K1640" s="59" t="inlineStr">
        <is>
          <t>Ventas: GRANDE 3 (600.000 - 1.000.000 UF) | Empleados: 91</t>
        </is>
      </c>
      <c r="L1640" s="61" t="n"/>
      <c r="M1640" s="61" t="n"/>
      <c r="N1640" s="61" t="n"/>
      <c r="O1640" s="61" t="n"/>
      <c r="P1640" s="61" t="n"/>
      <c r="Q1640" s="62" t="n"/>
      <c r="R1640" s="61" t="n"/>
    </row>
    <row r="1641" ht="15.75" customHeight="1" s="38">
      <c r="A1641" s="66" t="inlineStr">
        <is>
          <t>Rivulis Plastro Chile</t>
        </is>
      </c>
      <c r="B1641" s="66" t="inlineStr">
        <is>
          <t>Proveedor Destacado, Productos para Lixiviación, Soluciones para Lixiviación</t>
        </is>
      </c>
      <c r="C1641" s="66" t="inlineStr">
        <is>
          <t>Santiago</t>
        </is>
      </c>
      <c r="D1641" s="66" t="inlineStr">
        <is>
          <t>jose.lopez2@rivulis.com</t>
        </is>
      </c>
      <c r="E1641" s="66" t="inlineStr">
        <is>
          <t>(56) 2 2787 0500</t>
        </is>
      </c>
      <c r="F1641" s="66" t="inlineStr">
        <is>
          <t>Gerente de TI / CIO (Director de Tecnología)</t>
        </is>
      </c>
      <c r="G1641" s="66" t="n"/>
      <c r="H1641" s="66" t="inlineStr">
        <is>
          <t>http://www.rivulis.com</t>
        </is>
      </c>
      <c r="I1641" s="66" t="inlineStr">
        <is>
          <t>96.913.660-0</t>
        </is>
      </c>
      <c r="J1641" s="66" t="n"/>
      <c r="K1641" s="66" t="inlineStr">
        <is>
          <t>Ventas: GRANDE 4 (Mas de 1.000.000 UF) | Empleados: 86</t>
        </is>
      </c>
      <c r="L1641" s="61" t="n"/>
      <c r="M1641" s="61" t="n"/>
      <c r="N1641" s="61" t="n"/>
      <c r="O1641" s="61" t="n"/>
      <c r="P1641" s="61" t="n"/>
      <c r="Q1641" s="62" t="n"/>
      <c r="R1641" s="61" t="n"/>
    </row>
    <row r="1642" ht="15.75" customHeight="1" s="38">
      <c r="A1642" s="66" t="inlineStr">
        <is>
          <t>Rizzoli Stefano y Cía. Ltda.</t>
        </is>
      </c>
      <c r="B1642" s="66" t="inlineStr">
        <is>
          <t>Calzado para Seguridad, Ropa para Seguridad</t>
        </is>
      </c>
      <c r="C1642" s="66" t="inlineStr">
        <is>
          <t>Coquimbo</t>
        </is>
      </c>
      <c r="D1642" s="66" t="inlineStr">
        <is>
          <t>rizzoli@rizzoli.cl</t>
        </is>
      </c>
      <c r="E1642" s="66" t="inlineStr">
        <is>
          <t>(56) 51 224 4271</t>
        </is>
      </c>
      <c r="F1642" s="66" t="n"/>
      <c r="G1642" s="66" t="n"/>
      <c r="H1642" s="66" t="n"/>
      <c r="I1642" s="66" t="inlineStr">
        <is>
          <t>77.094.290-K</t>
        </is>
      </c>
      <c r="J1642" s="66" t="n"/>
      <c r="K1642" s="66" t="inlineStr">
        <is>
          <t>Ventas: GRANDE 1 (100.000 - 200.000 UF) | Empleados: 24</t>
        </is>
      </c>
      <c r="L1642" s="61" t="n"/>
      <c r="M1642" s="61" t="n"/>
      <c r="N1642" s="61" t="n"/>
      <c r="O1642" s="61" t="n"/>
      <c r="P1642" s="61" t="n"/>
      <c r="Q1642" s="62" t="n"/>
      <c r="R1642" s="61" t="n"/>
    </row>
    <row r="1643" ht="15.75" customHeight="1" s="38">
      <c r="A1643" s="66" t="inlineStr">
        <is>
          <t>RJR Salar</t>
        </is>
      </c>
      <c r="B1643" s="66" t="inlineStr">
        <is>
          <t>Desarrollo de Prospectos Mineros de Litio, Boro y Cobalto</t>
        </is>
      </c>
      <c r="C1643" s="66" t="inlineStr">
        <is>
          <t>Santiago</t>
        </is>
      </c>
      <c r="D1643" s="66" t="inlineStr">
        <is>
          <t>contacto@rjrlithium.cl</t>
        </is>
      </c>
      <c r="E1643" s="66" t="inlineStr">
        <is>
          <t>(56) 9 9338 6981</t>
        </is>
      </c>
      <c r="F1643" s="66" t="n"/>
      <c r="G1643" s="66" t="n"/>
      <c r="H1643" s="66" t="n"/>
      <c r="I1643" s="66" t="inlineStr">
        <is>
          <t>76358453-4</t>
        </is>
      </c>
      <c r="J1643" s="66" t="n"/>
      <c r="K1643" s="66" t="inlineStr">
        <is>
          <t>Ventas: PEQUEÑA 1 (2.400 - 5.000 UF) | Empleados: 0</t>
        </is>
      </c>
      <c r="L1643" s="61" t="n"/>
      <c r="M1643" s="61" t="n"/>
      <c r="N1643" s="61" t="n"/>
      <c r="O1643" s="61" t="n"/>
      <c r="P1643" s="61" t="n"/>
      <c r="Q1643" s="62" t="n"/>
      <c r="R1643" s="61" t="n"/>
    </row>
    <row r="1644" ht="15.75" customHeight="1" s="38">
      <c r="A1644" s="66" t="inlineStr">
        <is>
          <t>RMC Corporate SpA</t>
        </is>
      </c>
      <c r="B1644" s="66" t="inlineStr">
        <is>
          <t>Servicios y Estudios de Ingeniería, Sistemas de Protección Contra Incendios</t>
        </is>
      </c>
      <c r="C1644" s="66" t="inlineStr">
        <is>
          <t>Viña del Mar</t>
        </is>
      </c>
      <c r="D1644" s="66" t="inlineStr">
        <is>
          <t>contacto@rmc.cl</t>
        </is>
      </c>
      <c r="E1644" s="66" t="inlineStr">
        <is>
          <t>(56) 32 260 0305</t>
        </is>
      </c>
      <c r="F1644" s="66" t="n"/>
      <c r="G1644" s="66" t="n"/>
      <c r="H1644" s="66" t="n"/>
      <c r="I1644" s="66" t="inlineStr">
        <is>
          <t>77.289.504-6</t>
        </is>
      </c>
      <c r="J1644" s="66" t="n"/>
      <c r="K1644" s="66" t="inlineStr">
        <is>
          <t>Ventas: PEQUEÑA 3 (10.000 - 25.000 UF) | Empleados: 0</t>
        </is>
      </c>
      <c r="L1644" s="61" t="n"/>
      <c r="M1644" s="61" t="n"/>
      <c r="N1644" s="61" t="n"/>
      <c r="O1644" s="61" t="n"/>
      <c r="P1644" s="61" t="n"/>
      <c r="Q1644" s="62" t="n"/>
      <c r="R1644" s="61" t="n"/>
    </row>
    <row r="1645" ht="15.75" customHeight="1" s="38">
      <c r="A1645" s="66" t="inlineStr">
        <is>
          <t>RMC Oleohidráulica S.A.</t>
        </is>
      </c>
      <c r="B1645" s="66" t="inlineStr">
        <is>
          <t>Acoplamientos</t>
        </is>
      </c>
      <c r="C1645" s="66" t="inlineStr">
        <is>
          <t>Santiago</t>
        </is>
      </c>
      <c r="D1645" s="66" t="inlineStr">
        <is>
          <t>rmcweb@rmcoleohidraulica.cl</t>
        </is>
      </c>
      <c r="E1645" s="66" t="inlineStr">
        <is>
          <t>(56) 2 2209 9948</t>
        </is>
      </c>
      <c r="F1645" s="66" t="n"/>
      <c r="G1645" s="66" t="n"/>
      <c r="H1645" s="66" t="n"/>
      <c r="I1645" s="66" t="inlineStr">
        <is>
          <t>96.700.980-6</t>
        </is>
      </c>
      <c r="J1645" s="66" t="n"/>
      <c r="K1645" s="66" t="inlineStr">
        <is>
          <t>Ventas: PEQUEÑA 3 (10.000 - 25.000 UF) | Empleados: 4</t>
        </is>
      </c>
      <c r="L1645" s="61" t="n"/>
      <c r="M1645" s="61" t="n"/>
      <c r="N1645" s="61" t="n"/>
      <c r="O1645" s="61" t="n"/>
      <c r="P1645" s="61" t="n"/>
      <c r="Q1645" s="62" t="n"/>
      <c r="R1645" s="61" t="n"/>
    </row>
    <row r="1646" ht="15.75" customHeight="1" s="38">
      <c r="A1646" s="66" t="inlineStr">
        <is>
          <t>RMD Kwikform Chile S.A.</t>
        </is>
      </c>
      <c r="B1646" s="66" t="inlineStr">
        <is>
          <t>Andamios, Encofrados</t>
        </is>
      </c>
      <c r="C1646" s="66" t="inlineStr">
        <is>
          <t>Santiago</t>
        </is>
      </c>
      <c r="D1646" s="66" t="inlineStr">
        <is>
          <t>rmd.chile@rmd.cl</t>
        </is>
      </c>
      <c r="E1646" s="66" t="inlineStr">
        <is>
          <t>(56) 9 3449 3451</t>
        </is>
      </c>
      <c r="F1646" s="66" t="n"/>
      <c r="G1646" s="66" t="n"/>
      <c r="H1646" s="66" t="n"/>
      <c r="I1646" s="66" t="inlineStr">
        <is>
          <t>96.825.530-4</t>
        </is>
      </c>
      <c r="J1646" s="66" t="n"/>
      <c r="K1646" s="66" t="inlineStr">
        <is>
          <t>Ventas: GRANDE 1 (100.000 - 200.000 UF) | Empleados: 78</t>
        </is>
      </c>
      <c r="L1646" s="61" t="n"/>
      <c r="M1646" s="61" t="n"/>
      <c r="N1646" s="61" t="n"/>
      <c r="O1646" s="61" t="n"/>
      <c r="P1646" s="61" t="n"/>
      <c r="Q1646" s="62" t="n"/>
      <c r="R1646" s="61" t="n"/>
    </row>
    <row r="1647" ht="15.75" customHeight="1" s="38">
      <c r="A1647" s="66" t="inlineStr">
        <is>
          <t>RMH SpA</t>
        </is>
      </c>
      <c r="B1647" s="66" t="inlineStr">
        <is>
          <t>Accesorios para Seguridad, Artículos para Rescate</t>
        </is>
      </c>
      <c r="C1647" s="66" t="inlineStr">
        <is>
          <t>Santiago</t>
        </is>
      </c>
      <c r="D1647" s="66" t="inlineStr">
        <is>
          <t>contacto@rmh.cl</t>
        </is>
      </c>
      <c r="E1647" s="66" t="inlineStr">
        <is>
          <t>(56) 2 2233 0970</t>
        </is>
      </c>
      <c r="F1647" s="66" t="n"/>
      <c r="G1647" s="66" t="n"/>
      <c r="H1647" s="66" t="n"/>
      <c r="I1647" s="66" t="inlineStr">
        <is>
          <t>76.348.242-1</t>
        </is>
      </c>
      <c r="J1647" s="66" t="n"/>
      <c r="K1647" s="66" t="inlineStr">
        <is>
          <t>Ventas: GRANDE 2 (200.000 - 600.000 UF) | Empleados: 18</t>
        </is>
      </c>
      <c r="L1647" s="61" t="n"/>
      <c r="M1647" s="61" t="n"/>
      <c r="N1647" s="61" t="n"/>
      <c r="O1647" s="61" t="n"/>
      <c r="P1647" s="61" t="n"/>
      <c r="Q1647" s="62" t="n"/>
      <c r="R1647" s="61" t="n"/>
    </row>
    <row r="1648" ht="15.75" customHeight="1" s="38">
      <c r="A1648" s="66" t="inlineStr">
        <is>
          <t>Robert Bosch S.A.</t>
        </is>
      </c>
      <c r="B1648" s="66" t="inlineStr">
        <is>
          <t>Accionamientos Eléctricos</t>
        </is>
      </c>
      <c r="C1648" s="66" t="inlineStr">
        <is>
          <t>Santiago</t>
        </is>
      </c>
      <c r="D1648" s="66" t="n"/>
      <c r="E1648" s="66" t="inlineStr">
        <is>
          <t>(56) 2 2405 5500</t>
        </is>
      </c>
      <c r="F1648" s="66" t="n"/>
      <c r="G1648" s="66" t="n"/>
      <c r="H1648" s="66" t="n"/>
      <c r="I1648" s="66" t="inlineStr">
        <is>
          <t>96.853.390-8</t>
        </is>
      </c>
      <c r="J1648" s="66" t="n"/>
      <c r="K1648" s="66" t="inlineStr">
        <is>
          <t>Ventas: GRANDE (Estimado por Empleados) | Empleados: 262</t>
        </is>
      </c>
      <c r="L1648" s="61" t="n"/>
      <c r="M1648" s="61" t="n"/>
      <c r="N1648" s="61" t="n"/>
      <c r="O1648" s="61" t="n"/>
      <c r="P1648" s="61" t="n"/>
      <c r="Q1648" s="62" t="n"/>
      <c r="R1648" s="61" t="n"/>
    </row>
    <row r="1649" ht="15.75" customHeight="1" s="38">
      <c r="A1649" s="66" t="inlineStr">
        <is>
          <t>Robert Half</t>
        </is>
      </c>
      <c r="B1649" s="66" t="inlineStr">
        <is>
          <t>Selección y Reclutamiento de Ejecutivos y Personal</t>
        </is>
      </c>
      <c r="C1649" s="66" t="inlineStr">
        <is>
          <t>Santiago</t>
        </is>
      </c>
      <c r="D1649" s="66" t="n"/>
      <c r="E1649" s="66" t="inlineStr">
        <is>
          <t>(56) 2 2938 1864</t>
        </is>
      </c>
      <c r="F1649" s="66" t="n"/>
      <c r="G1649" s="66" t="n"/>
      <c r="H1649" s="66" t="n"/>
      <c r="I1649" s="66" t="inlineStr">
        <is>
          <t>76.108.845-9</t>
        </is>
      </c>
      <c r="J1649" s="66" t="n"/>
      <c r="K1649" s="66" t="inlineStr">
        <is>
          <t>Ventas: GRANDE 1 (100.000 - 200.000 UF) | Empleados: 269</t>
        </is>
      </c>
      <c r="L1649" s="61" t="n"/>
      <c r="M1649" s="61" t="n"/>
      <c r="N1649" s="61" t="n"/>
      <c r="O1649" s="61" t="n"/>
      <c r="P1649" s="61" t="n"/>
      <c r="Q1649" s="62" t="n"/>
      <c r="R1649" s="61" t="n"/>
    </row>
    <row r="1650" ht="15.75" customHeight="1" s="38">
      <c r="A1650" s="66" t="inlineStr">
        <is>
          <t>Robert Walters</t>
        </is>
      </c>
      <c r="B1650" s="66" t="inlineStr">
        <is>
          <t>Selección y Reclutamiento de Ejecutivos y Personal</t>
        </is>
      </c>
      <c r="C1650" s="66" t="inlineStr">
        <is>
          <t>Santiago</t>
        </is>
      </c>
      <c r="D1650" s="66" t="inlineStr">
        <is>
          <t>chile@robertwalters.com</t>
        </is>
      </c>
      <c r="E1650" s="66" t="inlineStr">
        <is>
          <t>(56) 9 6254 4890</t>
        </is>
      </c>
      <c r="F1650" s="66" t="n"/>
      <c r="G1650" s="66" t="n"/>
      <c r="H1650" s="66" t="n"/>
      <c r="I1650" s="66" t="inlineStr">
        <is>
          <t>76.963.127-5</t>
        </is>
      </c>
      <c r="J1650" s="66" t="n"/>
      <c r="K1650" s="66" t="inlineStr">
        <is>
          <t>Ventas: GRANDE 1 (100.000 - 200.000 UF) | Empleados: 39</t>
        </is>
      </c>
      <c r="L1650" s="61" t="n"/>
      <c r="M1650" s="61" t="n"/>
      <c r="N1650" s="61" t="n"/>
      <c r="O1650" s="61" t="n"/>
      <c r="P1650" s="61" t="n"/>
      <c r="Q1650" s="62" t="n"/>
      <c r="R1650" s="61" t="n"/>
    </row>
    <row r="1651" ht="15.75" customHeight="1" s="38">
      <c r="A1651" s="66" t="inlineStr">
        <is>
          <t>RoboMotic Chile</t>
        </is>
      </c>
      <c r="B1651" s="66" t="inlineStr">
        <is>
          <t>Sensores para la Minería</t>
        </is>
      </c>
      <c r="C1651" s="66" t="inlineStr">
        <is>
          <t>Santiago</t>
        </is>
      </c>
      <c r="D1651" s="66" t="inlineStr">
        <is>
          <t>contacto@robomotic.cl</t>
        </is>
      </c>
      <c r="E1651" s="66" t="inlineStr">
        <is>
          <t>(56) 2 3315 8494</t>
        </is>
      </c>
      <c r="F1651" s="66" t="n"/>
      <c r="G1651" s="66" t="n"/>
      <c r="H1651" s="66" t="n"/>
      <c r="I1651" s="66" t="inlineStr">
        <is>
          <t>76.667.783-5</t>
        </is>
      </c>
      <c r="J1651" s="66" t="n"/>
      <c r="K1651" s="66" t="inlineStr">
        <is>
          <t>Ventas: PEQUEÑA 2 (5.000 - 10.000 UF) | Empleados: 5</t>
        </is>
      </c>
      <c r="L1651" s="61" t="n"/>
      <c r="M1651" s="61" t="n"/>
      <c r="N1651" s="61" t="n"/>
      <c r="O1651" s="61" t="n"/>
      <c r="P1651" s="61" t="n"/>
      <c r="Q1651" s="62" t="n"/>
      <c r="R1651" s="61" t="n"/>
    </row>
    <row r="1652" ht="15.75" customHeight="1" s="38">
      <c r="A1652" s="66" t="inlineStr">
        <is>
          <t>Robotika Mining Innovations</t>
        </is>
      </c>
      <c r="B1652" s="66" t="inlineStr">
        <is>
          <t>Equipos para Manejo de Materiales, Plataforma Robótica de Limpieza de Bermas en Minas de Rajo Abierto</t>
        </is>
      </c>
      <c r="C1652" s="66" t="inlineStr">
        <is>
          <t>Antofagasta</t>
        </is>
      </c>
      <c r="D1652" s="66" t="inlineStr">
        <is>
          <t>info@robotika.cl</t>
        </is>
      </c>
      <c r="E1652" s="66" t="inlineStr">
        <is>
          <t>(56) 55 324 5609</t>
        </is>
      </c>
      <c r="F1652" s="66" t="n"/>
      <c r="G1652" s="66" t="n"/>
      <c r="H1652" s="66" t="n"/>
      <c r="I1652" s="66" t="inlineStr">
        <is>
          <t>76.071.133-0</t>
        </is>
      </c>
      <c r="J1652" s="66" t="n"/>
      <c r="K1652" s="66" t="inlineStr">
        <is>
          <t>Ventas: GRANDE 1 (100.000 - 200.000 UF) | Empleados: 37</t>
        </is>
      </c>
      <c r="L1652" s="61" t="n"/>
      <c r="M1652" s="61" t="n"/>
      <c r="N1652" s="61" t="n"/>
      <c r="O1652" s="61" t="n"/>
      <c r="P1652" s="61" t="n"/>
      <c r="Q1652" s="62" t="n"/>
      <c r="R1652" s="61" t="n"/>
    </row>
    <row r="1653" ht="15.75" customHeight="1" s="38">
      <c r="A1653" s="59" t="inlineStr">
        <is>
          <t>RockBlast</t>
        </is>
      </c>
      <c r="B1653" s="59" t="inlineStr">
        <is>
          <t>Drones</t>
        </is>
      </c>
      <c r="C1653" s="59" t="inlineStr">
        <is>
          <t>Santiago</t>
        </is>
      </c>
      <c r="D1653" s="59" t="inlineStr">
        <is>
          <t>info@rockblast.cl</t>
        </is>
      </c>
      <c r="E1653" s="59" t="inlineStr">
        <is>
          <t>(56) 2 2951 9696</t>
        </is>
      </c>
      <c r="F1653" s="59" t="inlineStr">
        <is>
          <t>Rodrigo Bascuñán (Network Engineer OT/IT)</t>
        </is>
      </c>
      <c r="G1653" s="59" t="inlineStr">
        <is>
          <t>rbascunan@rockblast.cl</t>
        </is>
      </c>
      <c r="H1653" s="59" t="n"/>
      <c r="I1653" s="59" t="inlineStr">
        <is>
          <t>76.096.364-K</t>
        </is>
      </c>
      <c r="J1653" s="59" t="inlineStr">
        <is>
          <t>Investigación en Proceso</t>
        </is>
      </c>
      <c r="K1653" s="59" t="inlineStr">
        <is>
          <t>Ventas: GRANDE 3 (600.000 - 1.000.000 UF) | Empleados: 126</t>
        </is>
      </c>
      <c r="L1653" s="61" t="n"/>
      <c r="M1653" s="61" t="n"/>
      <c r="N1653" s="61" t="n"/>
      <c r="O1653" s="61" t="n"/>
      <c r="P1653" s="61" t="n"/>
      <c r="Q1653" s="62" t="n"/>
      <c r="R1653" s="61" t="n"/>
    </row>
    <row r="1654" ht="15.75" customHeight="1" s="38">
      <c r="A1654" s="66" t="inlineStr">
        <is>
          <t>Rocktool Ltda.</t>
        </is>
      </c>
      <c r="B1654" s="66" t="inlineStr">
        <is>
          <t>Aceros de Perforación</t>
        </is>
      </c>
      <c r="C1654" s="66" t="inlineStr">
        <is>
          <t>Santiago</t>
        </is>
      </c>
      <c r="D1654" s="66" t="inlineStr">
        <is>
          <t>info@rocktool.cl</t>
        </is>
      </c>
      <c r="E1654" s="66" t="inlineStr">
        <is>
          <t>(56) 2 2885 2870</t>
        </is>
      </c>
      <c r="F1654" s="66" t="n"/>
      <c r="G1654" s="66" t="n"/>
      <c r="H1654" s="66" t="n"/>
      <c r="I1654" s="66" t="inlineStr">
        <is>
          <t>76.361.563-4</t>
        </is>
      </c>
      <c r="J1654" s="66" t="n"/>
      <c r="K1654" s="66" t="inlineStr">
        <is>
          <t>Ventas: MEDIANA 2 (50.000 - 100.000 UF) | Empleados: 7</t>
        </is>
      </c>
      <c r="L1654" s="61" t="n"/>
      <c r="M1654" s="61" t="n"/>
      <c r="N1654" s="61" t="n"/>
      <c r="O1654" s="61" t="n"/>
      <c r="P1654" s="61" t="n"/>
      <c r="Q1654" s="62" t="n"/>
      <c r="R1654" s="61" t="n"/>
    </row>
    <row r="1655" ht="15.75" customHeight="1" s="38">
      <c r="A1655" s="66" t="inlineStr">
        <is>
          <t>Rocktrain SpA</t>
        </is>
      </c>
      <c r="B1655" s="66" t="inlineStr">
        <is>
          <t>Aceros de Perforación, Equipos para Perforación</t>
        </is>
      </c>
      <c r="C1655" s="66" t="inlineStr">
        <is>
          <t>Antofagasta</t>
        </is>
      </c>
      <c r="D1655" s="66" t="inlineStr">
        <is>
          <t>contacto@rocktrain.cl</t>
        </is>
      </c>
      <c r="E1655" s="66" t="inlineStr">
        <is>
          <t>(56) 9 7650 6095</t>
        </is>
      </c>
      <c r="F1655" s="66" t="n"/>
      <c r="G1655" s="66" t="n"/>
      <c r="H1655" s="66" t="n"/>
      <c r="I1655" s="66" t="inlineStr">
        <is>
          <t>76.762.583-9</t>
        </is>
      </c>
      <c r="J1655" s="66" t="n"/>
      <c r="K1655" s="66" t="inlineStr">
        <is>
          <t>Ventas: No en base SII | Empleados: S/I</t>
        </is>
      </c>
      <c r="L1655" s="61" t="n"/>
      <c r="M1655" s="61" t="n"/>
      <c r="N1655" s="61" t="n"/>
      <c r="O1655" s="61" t="n"/>
      <c r="P1655" s="61" t="n"/>
      <c r="Q1655" s="62" t="n"/>
      <c r="R1655" s="61" t="n"/>
    </row>
    <row r="1656" ht="15.75" customHeight="1" s="38">
      <c r="A1656" s="66" t="inlineStr">
        <is>
          <t>Rockwell Automation Chile S.A.</t>
        </is>
      </c>
      <c r="B1656" s="66" t="inlineStr">
        <is>
          <t>Automatización</t>
        </is>
      </c>
      <c r="C1656" s="66" t="inlineStr">
        <is>
          <t>Santiago</t>
        </is>
      </c>
      <c r="D1656" s="66" t="n"/>
      <c r="E1656" s="66" t="inlineStr">
        <is>
          <t>(56) 2 2290 0700</t>
        </is>
      </c>
      <c r="F1656" s="66" t="n"/>
      <c r="G1656" s="66" t="n"/>
      <c r="H1656" s="66" t="n"/>
      <c r="I1656" s="66" t="inlineStr">
        <is>
          <t>96.822.800-5</t>
        </is>
      </c>
      <c r="J1656" s="66" t="n"/>
      <c r="K1656" s="66" t="inlineStr">
        <is>
          <t>Ventas: MEDIANA (Estimado por Empleados) | Empleados: 93</t>
        </is>
      </c>
      <c r="L1656" s="61" t="n"/>
      <c r="M1656" s="61" t="n"/>
      <c r="N1656" s="61" t="n"/>
      <c r="O1656" s="61" t="n"/>
      <c r="P1656" s="61" t="n"/>
      <c r="Q1656" s="62" t="n"/>
      <c r="R1656" s="61" t="n"/>
    </row>
    <row r="1657" ht="15.75" customHeight="1" s="38">
      <c r="A1657" s="59" t="inlineStr">
        <is>
          <t>Rodac S.A.</t>
        </is>
      </c>
      <c r="B1657" s="59" t="inlineStr">
        <is>
          <t>Repuestos para la Minería, Rodamientos</t>
        </is>
      </c>
      <c r="C1657" s="59" t="inlineStr">
        <is>
          <t>Iquique</t>
        </is>
      </c>
      <c r="D1657" s="59" t="inlineStr">
        <is>
          <t>contacto@rodac.cl</t>
        </is>
      </c>
      <c r="E1657" s="59" t="inlineStr">
        <is>
          <t>(56) 57 242 0343</t>
        </is>
      </c>
      <c r="F1657" s="59" t="inlineStr">
        <is>
          <t>Augusto Kuwae (Gerente General)</t>
        </is>
      </c>
      <c r="G1657" s="59" t="inlineStr">
        <is>
          <t>akuwae@rodac.cl</t>
        </is>
      </c>
      <c r="H1657" s="59" t="n"/>
      <c r="I1657" s="59" t="inlineStr">
        <is>
          <t>96.522.800-4</t>
        </is>
      </c>
      <c r="J1657" s="59" t="inlineStr">
        <is>
          <t>Investigación en Proceso</t>
        </is>
      </c>
      <c r="K1657" s="59" t="inlineStr">
        <is>
          <t>Ventas: GRANDE 3 (600.000 - 1.000.000 UF) | Empleados: 51</t>
        </is>
      </c>
      <c r="L1657" s="61" t="n"/>
      <c r="M1657" s="61" t="n"/>
      <c r="N1657" s="61" t="n"/>
      <c r="O1657" s="61" t="n"/>
      <c r="P1657" s="61" t="n"/>
      <c r="Q1657" s="62" t="n"/>
      <c r="R1657" s="61" t="n"/>
    </row>
    <row r="1658" ht="15.75" customHeight="1" s="38">
      <c r="A1658" s="66" t="inlineStr">
        <is>
          <t>Rodamientos Brinck Ltda.</t>
        </is>
      </c>
      <c r="B1658" s="66" t="inlineStr">
        <is>
          <t>Rodamientos, Transmisión de Potencia</t>
        </is>
      </c>
      <c r="C1658" s="66" t="inlineStr">
        <is>
          <t>Santiago</t>
        </is>
      </c>
      <c r="D1658" s="66" t="inlineStr">
        <is>
          <t>ventas@rodamientosbrinck.cl</t>
        </is>
      </c>
      <c r="E1658" s="66" t="inlineStr">
        <is>
          <t>(56) 2 2554 6396</t>
        </is>
      </c>
      <c r="F1658" s="66" t="n"/>
      <c r="G1658" s="66" t="n"/>
      <c r="H1658" s="66" t="n"/>
      <c r="I1658" s="66" t="inlineStr">
        <is>
          <t>86.028.400-6</t>
        </is>
      </c>
      <c r="J1658" s="66" t="n"/>
      <c r="K1658" s="66" t="inlineStr">
        <is>
          <t>Ventas: MEDIANA 2 (50.000 - 100.000 UF) | Empleados: 16</t>
        </is>
      </c>
      <c r="L1658" s="61" t="n"/>
      <c r="M1658" s="61" t="n"/>
      <c r="N1658" s="61" t="n"/>
      <c r="O1658" s="61" t="n"/>
      <c r="P1658" s="61" t="n"/>
      <c r="Q1658" s="62" t="n"/>
      <c r="R1658" s="61" t="n"/>
    </row>
    <row r="1659" ht="15.75" customHeight="1" s="38">
      <c r="A1659" s="66" t="inlineStr">
        <is>
          <t>Rodamientos Industriales Ltda.</t>
        </is>
      </c>
      <c r="B1659" s="66" t="inlineStr">
        <is>
          <t>Correas para Transmisión de Potencia, Rodamientos</t>
        </is>
      </c>
      <c r="C1659" s="66" t="inlineStr">
        <is>
          <t>Santiago</t>
        </is>
      </c>
      <c r="D1659" s="66" t="inlineStr">
        <is>
          <t>ventas@rodamientosindustriales.cl</t>
        </is>
      </c>
      <c r="E1659" s="66" t="inlineStr">
        <is>
          <t>(56) 2 2689 6634</t>
        </is>
      </c>
      <c r="F1659" s="66" t="n"/>
      <c r="G1659" s="66" t="n"/>
      <c r="H1659" s="66" t="n"/>
      <c r="I1659" s="66" t="inlineStr">
        <is>
          <t>78.462.640-7</t>
        </is>
      </c>
      <c r="J1659" s="66" t="n"/>
      <c r="K1659" s="66" t="inlineStr">
        <is>
          <t>Ventas: PEQUEÑA 3 (10.000 - 25.000 UF) | Empleados: 7</t>
        </is>
      </c>
      <c r="L1659" s="61" t="n"/>
      <c r="M1659" s="61" t="n"/>
      <c r="N1659" s="61" t="n"/>
      <c r="O1659" s="61" t="n"/>
      <c r="P1659" s="61" t="n"/>
      <c r="Q1659" s="62" t="n"/>
      <c r="R1659" s="61" t="n"/>
    </row>
    <row r="1660" ht="15.75" customHeight="1" s="38">
      <c r="A1660" s="66" t="inlineStr">
        <is>
          <t>Rodamientos Piera Ltda.</t>
        </is>
      </c>
      <c r="B1660" s="66" t="inlineStr">
        <is>
          <t>Rodamientos, Transmisión de Potencia</t>
        </is>
      </c>
      <c r="C1660" s="66" t="inlineStr">
        <is>
          <t>Santiago</t>
        </is>
      </c>
      <c r="D1660" s="66" t="inlineStr">
        <is>
          <t>contacto@prtp.cl</t>
        </is>
      </c>
      <c r="E1660" s="66" t="inlineStr">
        <is>
          <t>(56) 2 2763 4000</t>
        </is>
      </c>
      <c r="F1660" s="66" t="n"/>
      <c r="G1660" s="66" t="n"/>
      <c r="H1660" s="66" t="n"/>
      <c r="I1660" s="66" t="inlineStr">
        <is>
          <t>89.994.600-6</t>
        </is>
      </c>
      <c r="J1660" s="66" t="n"/>
      <c r="K1660" s="66" t="inlineStr">
        <is>
          <t>Ventas: GRANDE 2 (200.000 - 600.000 UF) | Empleados: 21</t>
        </is>
      </c>
      <c r="L1660" s="61" t="n"/>
      <c r="M1660" s="61" t="n"/>
      <c r="N1660" s="61" t="n"/>
      <c r="O1660" s="61" t="n"/>
      <c r="P1660" s="61" t="n"/>
      <c r="Q1660" s="62" t="n"/>
      <c r="R1660" s="61" t="n"/>
    </row>
    <row r="1661" ht="15.75" customHeight="1" s="38">
      <c r="A1661" s="59" t="inlineStr">
        <is>
          <t>Rodaméndez Ltda.</t>
        </is>
      </c>
      <c r="B1661" s="59" t="inlineStr">
        <is>
          <t>Cadenas para Transmisión de Potencia, Correas para Transmisión de Potencia</t>
        </is>
      </c>
      <c r="C1661" s="59" t="inlineStr">
        <is>
          <t>Chillán</t>
        </is>
      </c>
      <c r="D1661" s="59" t="inlineStr">
        <is>
          <t>contacto@rodamendez.cl</t>
        </is>
      </c>
      <c r="E1661" s="59" t="inlineStr">
        <is>
          <t>(56) 2 2444 1500</t>
        </is>
      </c>
      <c r="F1661" s="59" t="inlineStr">
        <is>
          <t>Jaime Mendez (Gerente General)</t>
        </is>
      </c>
      <c r="G1661" s="59" t="inlineStr">
        <is>
          <t>jmendez@rodamendez.cl</t>
        </is>
      </c>
      <c r="H1661" s="59" t="n"/>
      <c r="I1661" s="59" t="inlineStr">
        <is>
          <t>89.515.900-K</t>
        </is>
      </c>
      <c r="J1661" s="59" t="inlineStr">
        <is>
          <t>Investigación en Proceso</t>
        </is>
      </c>
      <c r="K1661" s="59" t="inlineStr">
        <is>
          <t>Ventas: GRANDE 3 (600.000 - 1.000.000 UF) | Empleados: 129</t>
        </is>
      </c>
      <c r="L1661" s="61" t="n"/>
      <c r="M1661" s="61" t="n"/>
      <c r="N1661" s="61" t="n"/>
      <c r="O1661" s="61" t="n"/>
      <c r="P1661" s="61" t="n"/>
      <c r="Q1661" s="62" t="n"/>
      <c r="R1661" s="61" t="n"/>
    </row>
    <row r="1662" ht="15.75" customHeight="1" s="38">
      <c r="A1662" s="66" t="inlineStr">
        <is>
          <t>Rodastock</t>
        </is>
      </c>
      <c r="B1662" s="66" t="inlineStr">
        <is>
          <t>Acoplamientos Flexibles, Acoplamientos Mecánicos</t>
        </is>
      </c>
      <c r="C1662" s="66" t="inlineStr">
        <is>
          <t>Santiago</t>
        </is>
      </c>
      <c r="D1662" s="66" t="inlineStr">
        <is>
          <t>contacto@rodastock.cl</t>
        </is>
      </c>
      <c r="E1662" s="66" t="inlineStr">
        <is>
          <t>(56) 2 2378 8350</t>
        </is>
      </c>
      <c r="F1662" s="66" t="inlineStr">
        <is>
          <t>Gerente de TI / CIO (Director de Tecnología)</t>
        </is>
      </c>
      <c r="G1662" s="66" t="n"/>
      <c r="H1662" s="66" t="n"/>
      <c r="I1662" s="66" t="inlineStr">
        <is>
          <t>76.842.605-8</t>
        </is>
      </c>
      <c r="J1662" s="66" t="n"/>
      <c r="K1662" s="66" t="inlineStr">
        <is>
          <t>Ventas: GRANDE 3 (600.000 - 1.000.000 UF) | Empleados: 66</t>
        </is>
      </c>
      <c r="L1662" s="61" t="n"/>
      <c r="M1662" s="61" t="n"/>
      <c r="N1662" s="61" t="n"/>
      <c r="O1662" s="61" t="n"/>
      <c r="P1662" s="61" t="n"/>
      <c r="Q1662" s="62" t="n"/>
      <c r="R1662" s="61" t="n"/>
    </row>
    <row r="1663" ht="15.75" customHeight="1" s="38">
      <c r="A1663" s="66" t="inlineStr">
        <is>
          <t>Ropa FYL</t>
        </is>
      </c>
      <c r="B1663" s="66" t="inlineStr">
        <is>
          <t>Ropa Corporativa</t>
        </is>
      </c>
      <c r="C1663" s="66" t="inlineStr">
        <is>
          <t>Copiapó</t>
        </is>
      </c>
      <c r="D1663" s="66" t="inlineStr">
        <is>
          <t>ventas1@ropafyl.cl</t>
        </is>
      </c>
      <c r="E1663" s="66" t="inlineStr">
        <is>
          <t>(56) 52 236 6838</t>
        </is>
      </c>
      <c r="F1663" s="66" t="n"/>
      <c r="G1663" s="66" t="n"/>
      <c r="H1663" s="66" t="n"/>
      <c r="I1663" s="66" t="inlineStr">
        <is>
          <t>76.019.776-9</t>
        </is>
      </c>
      <c r="J1663" s="66" t="n"/>
      <c r="K1663" s="66" t="inlineStr">
        <is>
          <t>Ventas: MEDIANA 1 (25.000 - 50.000 UF) | Empleados: 54</t>
        </is>
      </c>
      <c r="L1663" s="61" t="n"/>
      <c r="M1663" s="61" t="n"/>
      <c r="N1663" s="61" t="n"/>
      <c r="O1663" s="61" t="n"/>
      <c r="P1663" s="61" t="n"/>
      <c r="Q1663" s="62" t="n"/>
      <c r="R1663" s="61" t="n"/>
    </row>
    <row r="1664" ht="15.75" customHeight="1" s="38">
      <c r="A1664" s="66" t="inlineStr">
        <is>
          <t>Rossel Ligeti</t>
        </is>
      </c>
      <c r="B1664" s="66" t="inlineStr">
        <is>
          <t>Anticorrosivos, Antioxidantes, Reparación de Guantes de Malla de Metal</t>
        </is>
      </c>
      <c r="C1664" s="66" t="inlineStr">
        <is>
          <t>Santiago</t>
        </is>
      </c>
      <c r="D1664" s="66" t="inlineStr">
        <is>
          <t>contacto@rossel-ligeti.com</t>
        </is>
      </c>
      <c r="E1664" s="66" t="inlineStr">
        <is>
          <t>(56) 9 5409 9697</t>
        </is>
      </c>
      <c r="F1664" s="66" t="n"/>
      <c r="G1664" s="66" t="n"/>
      <c r="H1664" s="66" t="n"/>
      <c r="I1664" s="66" t="inlineStr">
        <is>
          <t>76.070.559-4</t>
        </is>
      </c>
      <c r="J1664" s="66" t="n"/>
      <c r="K1664" s="66" t="inlineStr">
        <is>
          <t>Ventas: PEQUEÑA 1 (2.400 - 5.000 UF) | Empleados: 1</t>
        </is>
      </c>
      <c r="L1664" s="61" t="n"/>
      <c r="M1664" s="61" t="n"/>
      <c r="N1664" s="61" t="n"/>
      <c r="O1664" s="61" t="n"/>
      <c r="P1664" s="61" t="n"/>
      <c r="Q1664" s="62" t="n"/>
      <c r="R1664" s="61" t="n"/>
    </row>
    <row r="1665" ht="15.75" customHeight="1" s="38">
      <c r="A1665" s="66" t="inlineStr">
        <is>
          <t>Rotho Blaas Chile SpA</t>
        </is>
      </c>
      <c r="B1665" s="66" t="inlineStr">
        <is>
          <t>Anclajes de Fijación, Sistemas Anticaidas</t>
        </is>
      </c>
      <c r="C1665" s="66" t="inlineStr">
        <is>
          <t>Santiago</t>
        </is>
      </c>
      <c r="D1665" s="66" t="inlineStr">
        <is>
          <t>chile@rothoblaas.com</t>
        </is>
      </c>
      <c r="E1665" s="66" t="inlineStr">
        <is>
          <t>(56) 2 6465 5039</t>
        </is>
      </c>
      <c r="F1665" s="66" t="n"/>
      <c r="G1665" s="66" t="n"/>
      <c r="H1665" s="66" t="n"/>
      <c r="I1665" s="66" t="inlineStr">
        <is>
          <t>76.244.206-K</t>
        </is>
      </c>
      <c r="J1665" s="66" t="n"/>
      <c r="K1665" s="66" t="inlineStr">
        <is>
          <t>Ventas: MEDIANA 2 (50.000 - 100.000 UF) | Empleados: 11</t>
        </is>
      </c>
      <c r="L1665" s="61" t="n"/>
      <c r="M1665" s="61" t="n"/>
      <c r="N1665" s="61" t="n"/>
      <c r="O1665" s="61" t="n"/>
      <c r="P1665" s="61" t="n"/>
      <c r="Q1665" s="62" t="n"/>
      <c r="R1665" s="61" t="n"/>
    </row>
    <row r="1666" ht="15.75" customHeight="1" s="38">
      <c r="A1666" s="66" t="inlineStr">
        <is>
          <t>Roxia</t>
        </is>
      </c>
      <c r="B1666" s="66" t="inlineStr">
        <is>
          <t>Proveedor Destacado, Automatización Industrial, Pruebas de Filtración, Repuestos para Filtros de Presión Tipo Torre y Cerámicos, Servicios de Asesoramiento en Terreno en Tecnologías de Filtración</t>
        </is>
      </c>
      <c r="C1666" s="66" t="inlineStr">
        <is>
          <t>Santiago</t>
        </is>
      </c>
      <c r="D1666" s="66" t="inlineStr">
        <is>
          <t>sales-cl@roxia.com</t>
        </is>
      </c>
      <c r="E1666" s="66" t="inlineStr">
        <is>
          <t>(56) 2 2942 8953</t>
        </is>
      </c>
      <c r="F1666" s="66" t="n"/>
      <c r="G1666" s="66" t="n"/>
      <c r="H1666" s="66" t="inlineStr">
        <is>
          <t>http://www.roxia.com</t>
        </is>
      </c>
      <c r="I1666" s="66" t="inlineStr">
        <is>
          <t>76.850.443-1</t>
        </is>
      </c>
      <c r="J1666" s="66" t="n"/>
      <c r="K1666" s="66" t="inlineStr">
        <is>
          <t>Ventas: GRANDE 2 (200.000 - 600.000 UF) | Empleados: 5</t>
        </is>
      </c>
      <c r="L1666" s="61" t="n"/>
      <c r="M1666" s="61" t="n"/>
      <c r="N1666" s="61" t="n"/>
      <c r="O1666" s="61" t="n"/>
      <c r="P1666" s="61" t="n"/>
      <c r="Q1666" s="62" t="n"/>
      <c r="R1666" s="61" t="n"/>
    </row>
    <row r="1667" ht="15.75" customHeight="1" s="38">
      <c r="A1667" s="66" t="inlineStr">
        <is>
          <t>Royal Tec Chile</t>
        </is>
      </c>
      <c r="B1667" s="66" t="inlineStr">
        <is>
          <t>Plataformas Hidráulicas de Carga</t>
        </is>
      </c>
      <c r="C1667" s="66" t="inlineStr">
        <is>
          <t>Santiago</t>
        </is>
      </c>
      <c r="D1667" s="66" t="inlineStr">
        <is>
          <t>contacto@royaltec.cl</t>
        </is>
      </c>
      <c r="E1667" s="66" t="inlineStr">
        <is>
          <t>(56) 9 9975 3674</t>
        </is>
      </c>
      <c r="F1667" s="66" t="n"/>
      <c r="G1667" s="66" t="n"/>
      <c r="H1667" s="66" t="n"/>
      <c r="I1667" s="66" t="inlineStr">
        <is>
          <t>76.574.799-6</t>
        </is>
      </c>
      <c r="J1667" s="66" t="n"/>
      <c r="K1667" s="66" t="inlineStr">
        <is>
          <t>Ventas: GRANDE 1 (100.000 - 200.000 UF) | Empleados: 15</t>
        </is>
      </c>
      <c r="L1667" s="61" t="n"/>
      <c r="M1667" s="61" t="n"/>
      <c r="N1667" s="61" t="n"/>
      <c r="O1667" s="61" t="n"/>
      <c r="P1667" s="61" t="n"/>
      <c r="Q1667" s="62" t="n"/>
      <c r="R1667" s="61" t="n"/>
    </row>
    <row r="1668" ht="15.75" customHeight="1" s="38">
      <c r="A1668" s="66" t="inlineStr">
        <is>
          <t>RPI S.A.</t>
        </is>
      </c>
      <c r="B1668" s="66" t="inlineStr">
        <is>
          <t>Termofusión</t>
        </is>
      </c>
      <c r="C1668" s="66" t="inlineStr">
        <is>
          <t>Santiago</t>
        </is>
      </c>
      <c r="D1668" s="66" t="inlineStr">
        <is>
          <t>ventas@rpichile.cl</t>
        </is>
      </c>
      <c r="E1668" s="66" t="inlineStr">
        <is>
          <t>(56) 2 2618 9900</t>
        </is>
      </c>
      <c r="F1668" s="66" t="n"/>
      <c r="G1668" s="66" t="n"/>
      <c r="H1668" s="66" t="n"/>
      <c r="I1668" s="66" t="inlineStr">
        <is>
          <t>76.351.559-1</t>
        </is>
      </c>
      <c r="J1668" s="66" t="n"/>
      <c r="K1668" s="66" t="inlineStr">
        <is>
          <t>Ventas: GRANDE 2 (200.000 - 600.000 UF) | Empleados: 38</t>
        </is>
      </c>
      <c r="L1668" s="61" t="n"/>
      <c r="M1668" s="61" t="n"/>
      <c r="N1668" s="61" t="n"/>
      <c r="O1668" s="61" t="n"/>
      <c r="P1668" s="61" t="n"/>
      <c r="Q1668" s="62" t="n"/>
      <c r="R1668" s="61" t="n"/>
    </row>
    <row r="1669" ht="15.75" customHeight="1" s="38">
      <c r="A1669" s="66" t="inlineStr">
        <is>
          <t>RPM Global</t>
        </is>
      </c>
      <c r="B1669" s="66" t="inlineStr">
        <is>
          <t>Software para la Minería</t>
        </is>
      </c>
      <c r="C1669" s="66" t="inlineStr">
        <is>
          <t>Santiago</t>
        </is>
      </c>
      <c r="D1669" s="66" t="inlineStr">
        <is>
          <t>info@rpmglobal.com</t>
        </is>
      </c>
      <c r="E1669" s="66" t="inlineStr">
        <is>
          <t>(56) 2 2763 9400</t>
        </is>
      </c>
      <c r="F1669" s="66" t="n"/>
      <c r="G1669" s="66" t="n"/>
      <c r="H1669" s="66" t="n"/>
      <c r="I1669" s="66" t="inlineStr">
        <is>
          <t>77549420-4</t>
        </is>
      </c>
      <c r="J1669" s="66" t="n"/>
      <c r="K1669" s="66" t="inlineStr">
        <is>
          <t>Ventas: GRANDE 1 (100.000 - 200.000 UF) | Empleados: 13</t>
        </is>
      </c>
      <c r="L1669" s="61" t="n"/>
      <c r="M1669" s="61" t="n"/>
      <c r="N1669" s="61" t="n"/>
      <c r="O1669" s="61" t="n"/>
      <c r="P1669" s="61" t="n"/>
      <c r="Q1669" s="62" t="n"/>
      <c r="R1669" s="61" t="n"/>
    </row>
    <row r="1670" ht="15.75" customHeight="1" s="38">
      <c r="A1670" s="66" t="inlineStr">
        <is>
          <t>RST Chile</t>
        </is>
      </c>
      <c r="B1670" s="66" t="inlineStr">
        <is>
          <t>Sistemas para Control de Polvo</t>
        </is>
      </c>
      <c r="C1670" s="66" t="inlineStr">
        <is>
          <t>Coquimbo</t>
        </is>
      </c>
      <c r="D1670" s="66" t="inlineStr">
        <is>
          <t>chile@rstsolutions.com.au</t>
        </is>
      </c>
      <c r="E1670" s="66" t="inlineStr">
        <is>
          <t>(56) 51 254 5445</t>
        </is>
      </c>
      <c r="F1670" s="66" t="n"/>
      <c r="G1670" s="66" t="n"/>
      <c r="H1670" s="66" t="n"/>
      <c r="I1670" s="66" t="inlineStr">
        <is>
          <t>77.234.290-3</t>
        </is>
      </c>
      <c r="J1670" s="66" t="n"/>
      <c r="K1670" s="66" t="inlineStr">
        <is>
          <t>Ventas: No en base SII | Empleados: S/I</t>
        </is>
      </c>
      <c r="L1670" s="61" t="n"/>
      <c r="M1670" s="61" t="n"/>
      <c r="N1670" s="61" t="n"/>
      <c r="O1670" s="61" t="n"/>
      <c r="P1670" s="61" t="n"/>
      <c r="Q1670" s="62" t="n"/>
      <c r="R1670" s="61" t="n"/>
    </row>
    <row r="1671" ht="15.75" customHeight="1" s="38">
      <c r="A1671" s="59" t="inlineStr">
        <is>
          <t>Rthö Elektrische</t>
        </is>
      </c>
      <c r="B1671" s="59" t="inlineStr">
        <is>
          <t>Conductor de Alta Temperatura / Re-Potencionamiento, Equipamiento para SS/EE y LL/TT Alta Tensión</t>
        </is>
      </c>
      <c r="C1671" s="59" t="inlineStr">
        <is>
          <t>Santiago</t>
        </is>
      </c>
      <c r="D1671" s="59" t="inlineStr">
        <is>
          <t>info@rtho.com</t>
        </is>
      </c>
      <c r="E1671" s="59" t="inlineStr">
        <is>
          <t>(56) 2 2264 7700</t>
        </is>
      </c>
      <c r="F1671" s="59" t="inlineStr">
        <is>
          <t>Matías O'Shea L. (Gerente General)</t>
        </is>
      </c>
      <c r="G1671" s="59" t="n"/>
      <c r="H1671" s="59" t="n"/>
      <c r="I1671" s="59" t="inlineStr">
        <is>
          <t>78.404.720-2</t>
        </is>
      </c>
      <c r="J1671" s="59" t="inlineStr">
        <is>
          <t>Movilidad Eléctrica &amp; Infraestructura Eléctrica</t>
        </is>
      </c>
      <c r="K1671" s="59" t="inlineStr">
        <is>
          <t>Ventas: GRANDE 2 (200.000 - 600.000 UF) | Empleados: 11</t>
        </is>
      </c>
      <c r="L1671" s="61" t="n"/>
      <c r="M1671" s="61" t="n"/>
      <c r="N1671" s="61" t="n"/>
      <c r="O1671" s="61" t="n"/>
      <c r="P1671" s="61" t="n"/>
      <c r="Q1671" s="62" t="n"/>
      <c r="R1671" s="61" t="n"/>
    </row>
    <row r="1672" ht="15.75" customHeight="1" s="38">
      <c r="A1672" s="66" t="inlineStr">
        <is>
          <t>Rud Lifting &amp; Engineering Chile SpA</t>
        </is>
      </c>
      <c r="B1672" s="66" t="inlineStr">
        <is>
          <t>Cadenas para la Nieve, Equipos para Izaje</t>
        </is>
      </c>
      <c r="C1672" s="66" t="inlineStr">
        <is>
          <t>Santiago</t>
        </is>
      </c>
      <c r="D1672" s="66" t="n"/>
      <c r="E1672" s="66" t="inlineStr">
        <is>
          <t>(56) 2 2558 9202</t>
        </is>
      </c>
      <c r="F1672" s="66" t="n"/>
      <c r="G1672" s="66" t="n"/>
      <c r="H1672" s="66" t="n"/>
      <c r="I1672" s="66" t="inlineStr">
        <is>
          <t>76.485.851-4</t>
        </is>
      </c>
      <c r="J1672" s="66" t="n"/>
      <c r="K1672" s="66" t="inlineStr">
        <is>
          <t>Ventas: MEDIANA 1 (25.000 - 50.000 UF) | Empleados: 5</t>
        </is>
      </c>
      <c r="L1672" s="61" t="n"/>
      <c r="M1672" s="61" t="n"/>
      <c r="N1672" s="61" t="n"/>
      <c r="O1672" s="61" t="n"/>
      <c r="P1672" s="61" t="n"/>
      <c r="Q1672" s="62" t="n"/>
      <c r="R1672" s="61" t="n"/>
    </row>
    <row r="1673" ht="15.75" customHeight="1" s="38">
      <c r="A1673" s="66" t="inlineStr">
        <is>
          <t>Rudanac Biotec SpA</t>
        </is>
      </c>
      <c r="B1673" s="66" t="inlineStr">
        <is>
          <t>Procesos de Optimización</t>
        </is>
      </c>
      <c r="C1673" s="66" t="inlineStr">
        <is>
          <t>Antofagasta</t>
        </is>
      </c>
      <c r="D1673" s="66" t="inlineStr">
        <is>
          <t>nadacreales@rudanacbiotec.com</t>
        </is>
      </c>
      <c r="E1673" s="66" t="inlineStr">
        <is>
          <t>(56) 9 6595 6559</t>
        </is>
      </c>
      <c r="F1673" s="66" t="n"/>
      <c r="G1673" s="66" t="n"/>
      <c r="H1673" s="66" t="n"/>
      <c r="I1673" s="66" t="inlineStr">
        <is>
          <t>77028473-2</t>
        </is>
      </c>
      <c r="J1673" s="66" t="n"/>
      <c r="K1673" s="66" t="inlineStr">
        <is>
          <t>Ventas: MICRO 2 (200 - 600 UF) | Empleados: 0</t>
        </is>
      </c>
      <c r="L1673" s="61" t="n"/>
      <c r="M1673" s="61" t="n"/>
      <c r="N1673" s="61" t="n"/>
      <c r="O1673" s="61" t="n"/>
      <c r="P1673" s="61" t="n"/>
      <c r="Q1673" s="62" t="n"/>
      <c r="R1673" s="61" t="n"/>
    </row>
    <row r="1674" ht="15.75" customHeight="1" s="38">
      <c r="A1674" s="66" t="inlineStr">
        <is>
          <t>Ruggedtech</t>
        </is>
      </c>
      <c r="B1674" s="66" t="inlineStr">
        <is>
          <t>Computadores Industriales</t>
        </is>
      </c>
      <c r="C1674" s="66" t="inlineStr">
        <is>
          <t>Santiago</t>
        </is>
      </c>
      <c r="D1674" s="66" t="inlineStr">
        <is>
          <t>contacto@ruggedtechla.com</t>
        </is>
      </c>
      <c r="E1674" s="66" t="inlineStr">
        <is>
          <t>(56) 2 2706 4645</t>
        </is>
      </c>
      <c r="F1674" s="66" t="n"/>
      <c r="G1674" s="66" t="n"/>
      <c r="H1674" s="66" t="n"/>
      <c r="I1674" s="66" t="inlineStr">
        <is>
          <t>76.049.985-4</t>
        </is>
      </c>
      <c r="J1674" s="66" t="n"/>
      <c r="K1674" s="66" t="inlineStr">
        <is>
          <t>Ventas: MEDIANA 2 (50.000 - 100.000 UF) | Empleados: 6</t>
        </is>
      </c>
      <c r="L1674" s="61" t="n"/>
      <c r="M1674" s="61" t="n"/>
      <c r="N1674" s="61" t="n"/>
      <c r="O1674" s="61" t="n"/>
      <c r="P1674" s="61" t="n"/>
      <c r="Q1674" s="62" t="n"/>
      <c r="R1674" s="61" t="n"/>
    </row>
    <row r="1675" ht="15.75" customHeight="1" s="38">
      <c r="A1675" s="66" t="inlineStr">
        <is>
          <t>Ruhrpumpen</t>
        </is>
      </c>
      <c r="B1675" s="66" t="inlineStr">
        <is>
          <t>Bombas Centrífugas, Bombas Verticales</t>
        </is>
      </c>
      <c r="C1675" s="66" t="inlineStr">
        <is>
          <t>Santiago</t>
        </is>
      </c>
      <c r="D1675" s="66" t="inlineStr">
        <is>
          <t>ventaschile@ruhrpumpen.com</t>
        </is>
      </c>
      <c r="E1675" s="66" t="inlineStr">
        <is>
          <t>(56) 2 2232 8475</t>
        </is>
      </c>
      <c r="F1675" s="66" t="inlineStr">
        <is>
          <t>Gerente de TI / CIO (Director de Tecnología)</t>
        </is>
      </c>
      <c r="G1675" s="66" t="n"/>
      <c r="H1675" s="66" t="n"/>
      <c r="I1675" s="66" t="inlineStr">
        <is>
          <t>76.201.980-9</t>
        </is>
      </c>
      <c r="J1675" s="66" t="n"/>
      <c r="K1675" s="66" t="inlineStr">
        <is>
          <t>Ventas: GRANDE 4 (Mas de 1.000.000 UF) | Empleados: 46</t>
        </is>
      </c>
      <c r="L1675" s="61" t="n"/>
      <c r="M1675" s="61" t="n"/>
      <c r="N1675" s="61" t="n"/>
      <c r="O1675" s="61" t="n"/>
      <c r="P1675" s="61" t="n"/>
      <c r="Q1675" s="62" t="n"/>
      <c r="R1675" s="61" t="n"/>
    </row>
    <row r="1676" ht="15.75" customHeight="1" s="38">
      <c r="A1676" s="66" t="inlineStr">
        <is>
          <t>S &amp; A Consultores Asociados Chile S.A.</t>
        </is>
      </c>
      <c r="B1676" s="66" t="inlineStr">
        <is>
          <t>Software para la Minería, Soluciones Integrales de TI</t>
        </is>
      </c>
      <c r="C1676" s="66" t="inlineStr">
        <is>
          <t>Santiago</t>
        </is>
      </c>
      <c r="D1676" s="66" t="inlineStr">
        <is>
          <t>marketing@syachile.cl</t>
        </is>
      </c>
      <c r="E1676" s="66" t="inlineStr">
        <is>
          <t>(56) 2 2940 1500</t>
        </is>
      </c>
      <c r="F1676" s="66" t="inlineStr">
        <is>
          <t>Gerente de TI / CIO (Director de Tecnología)</t>
        </is>
      </c>
      <c r="G1676" s="66" t="n"/>
      <c r="H1676" s="66" t="n"/>
      <c r="I1676" s="66" t="inlineStr">
        <is>
          <t>96.565.670-7</t>
        </is>
      </c>
      <c r="J1676" s="66" t="n"/>
      <c r="K1676" s="66" t="inlineStr">
        <is>
          <t>Ventas: GRANDE 3 (600.000 - 1.000.000 UF) | Empleados: 104</t>
        </is>
      </c>
      <c r="L1676" s="61" t="n"/>
      <c r="M1676" s="61" t="n"/>
      <c r="N1676" s="61" t="n"/>
      <c r="O1676" s="61" t="n"/>
      <c r="P1676" s="61" t="n"/>
      <c r="Q1676" s="62" t="n"/>
      <c r="R1676" s="61" t="n"/>
    </row>
    <row r="1677" ht="15.75" customHeight="1" s="38">
      <c r="A1677" s="66" t="inlineStr">
        <is>
          <t>S&amp;P Chile SpA</t>
        </is>
      </c>
      <c r="B1677" s="66" t="inlineStr">
        <is>
          <t>Ventilación, Ventiladores Axiales</t>
        </is>
      </c>
      <c r="C1677" s="66" t="inlineStr">
        <is>
          <t>Santiago</t>
        </is>
      </c>
      <c r="D1677" s="66" t="n"/>
      <c r="E1677" s="66" t="inlineStr">
        <is>
          <t>(56) 2 2306 3000</t>
        </is>
      </c>
      <c r="F1677" s="66" t="inlineStr">
        <is>
          <t>Gerente de TI / CIO (Director de Tecnología)</t>
        </is>
      </c>
      <c r="G1677" s="66" t="n"/>
      <c r="H1677" s="66" t="n"/>
      <c r="I1677" s="66" t="inlineStr">
        <is>
          <t>76.186.451-3</t>
        </is>
      </c>
      <c r="J1677" s="66" t="n"/>
      <c r="K1677" s="66" t="inlineStr">
        <is>
          <t>Ventas: GRANDE 3 (600.000 - 1.000.000 UF) | Empleados: 47</t>
        </is>
      </c>
      <c r="L1677" s="61" t="n"/>
      <c r="M1677" s="61" t="n"/>
      <c r="N1677" s="61" t="n"/>
      <c r="O1677" s="61" t="n"/>
      <c r="P1677" s="61" t="n"/>
      <c r="Q1677" s="62" t="n"/>
      <c r="R1677" s="61" t="n"/>
    </row>
    <row r="1678" ht="15.75" customHeight="1" s="38">
      <c r="A1678" s="66" t="inlineStr">
        <is>
          <t>S-3, Safety &amp; Security Services</t>
        </is>
      </c>
      <c r="B1678" s="66" t="inlineStr">
        <is>
          <t>Detectores de Incendios</t>
        </is>
      </c>
      <c r="C1678" s="66" t="inlineStr">
        <is>
          <t>Santiago</t>
        </is>
      </c>
      <c r="D1678" s="66" t="inlineStr">
        <is>
          <t>contacto@s-3.cl</t>
        </is>
      </c>
      <c r="E1678" s="66" t="inlineStr">
        <is>
          <t>(56) 2 2813 1100</t>
        </is>
      </c>
      <c r="F1678" s="66" t="n"/>
      <c r="G1678" s="66" t="n"/>
      <c r="H1678" s="66" t="n"/>
      <c r="I1678" s="66" t="inlineStr">
        <is>
          <t>76.491.960-2</t>
        </is>
      </c>
      <c r="J1678" s="66" t="n"/>
      <c r="K1678" s="66" t="inlineStr">
        <is>
          <t>Ventas: GRANDE 1 (100.000 - 200.000 UF) | Empleados: 218</t>
        </is>
      </c>
      <c r="L1678" s="61" t="n"/>
      <c r="M1678" s="61" t="n"/>
      <c r="N1678" s="61" t="n"/>
      <c r="O1678" s="61" t="n"/>
      <c r="P1678" s="61" t="n"/>
      <c r="Q1678" s="62" t="n"/>
      <c r="R1678" s="61" t="n"/>
    </row>
    <row r="1679" ht="15.75" customHeight="1" s="38">
      <c r="A1679" s="59" t="inlineStr">
        <is>
          <t>Saam Extraportuarios</t>
        </is>
      </c>
      <c r="B1679" s="59" t="inlineStr">
        <is>
          <t>Almacenamiento de Carga, Almacenamiento de Contenedores</t>
        </is>
      </c>
      <c r="C1679" s="59" t="inlineStr">
        <is>
          <t>Valparaíso</t>
        </is>
      </c>
      <c r="D1679" s="59" t="inlineStr">
        <is>
          <t>comercial@saamlogistics.com</t>
        </is>
      </c>
      <c r="E1679" s="59" t="inlineStr">
        <is>
          <t>(56) 32 232 4200</t>
        </is>
      </c>
      <c r="F1679" s="59" t="inlineStr">
        <is>
          <t>Juan Carlos Montjoy (Group CIO)</t>
        </is>
      </c>
      <c r="G1679" s="59" t="inlineStr">
        <is>
          <t>jmontjoy@saam.com</t>
        </is>
      </c>
      <c r="H1679" s="59" t="n"/>
      <c r="I1679" s="59" t="inlineStr">
        <is>
          <t>96.798.520-1</t>
        </is>
      </c>
      <c r="J1679" s="59" t="inlineStr">
        <is>
          <t>Sistemas Portuarios TOS</t>
        </is>
      </c>
      <c r="K1679" s="59" t="inlineStr">
        <is>
          <t>Ventas: GRANDE 4 (Mas de 1.000.000 UF) | Empleados: 159</t>
        </is>
      </c>
      <c r="L1679" s="61" t="n"/>
      <c r="M1679" s="61" t="n"/>
      <c r="N1679" s="61" t="n"/>
      <c r="O1679" s="61" t="n"/>
      <c r="P1679" s="61" t="n"/>
      <c r="Q1679" s="62" t="n"/>
      <c r="R1679" s="61" t="n"/>
    </row>
    <row r="1680" ht="15.75" customHeight="1" s="38">
      <c r="A1680" s="59" t="inlineStr">
        <is>
          <t>Saam S.A.</t>
        </is>
      </c>
      <c r="B1680" s="59" t="inlineStr">
        <is>
          <t>Terminales Portuarios, Transferencia de Carga Marítima</t>
        </is>
      </c>
      <c r="C1680" s="59" t="inlineStr">
        <is>
          <t>Santiago</t>
        </is>
      </c>
      <c r="D1680" s="59" t="inlineStr">
        <is>
          <t>comunicacionessaam@saam.cl</t>
        </is>
      </c>
      <c r="E1680" s="59" t="inlineStr">
        <is>
          <t>(56) 2 3384 8530</t>
        </is>
      </c>
      <c r="F1680" s="59" t="inlineStr">
        <is>
          <t>Juan Carlos Montjoy (Group CIO)</t>
        </is>
      </c>
      <c r="G1680" s="59" t="inlineStr">
        <is>
          <t>jmontjoy@saam.com</t>
        </is>
      </c>
      <c r="H1680" s="59" t="n"/>
      <c r="I1680" s="59" t="inlineStr">
        <is>
          <t>92.048.000-4</t>
        </is>
      </c>
      <c r="J1680" s="59" t="inlineStr">
        <is>
          <t>Sistemas Portuarios TOS</t>
        </is>
      </c>
      <c r="K1680" s="59" t="inlineStr">
        <is>
          <t>Ventas: MEDIANA (Estimado por Empleados) | Empleados: 151</t>
        </is>
      </c>
      <c r="L1680" s="61" t="n"/>
      <c r="M1680" s="61" t="n"/>
      <c r="N1680" s="61" t="n"/>
      <c r="O1680" s="61" t="n"/>
      <c r="P1680" s="61" t="n"/>
      <c r="Q1680" s="62" t="n"/>
      <c r="R1680" s="61" t="n"/>
    </row>
    <row r="1681" ht="15.75" customHeight="1" s="38">
      <c r="A1681" s="59" t="inlineStr">
        <is>
          <t>Saavedra y Abalo M&amp;S Ltda.</t>
        </is>
      </c>
      <c r="B1681" s="59" t="inlineStr">
        <is>
          <t>Reparación de Maquinaria para la Minería</t>
        </is>
      </c>
      <c r="C1681" s="59" t="inlineStr">
        <is>
          <t>Santiago</t>
        </is>
      </c>
      <c r="D1681" s="59" t="inlineStr">
        <is>
          <t>ventas@mysspa.com</t>
        </is>
      </c>
      <c r="E1681" s="59" t="inlineStr">
        <is>
          <t>(56) 2 2641 0144</t>
        </is>
      </c>
      <c r="F1681" s="59" t="inlineStr">
        <is>
          <t>Jorge Biernay (Jefe de Operaciones (IT Resp))</t>
        </is>
      </c>
      <c r="G1681" s="59" t="inlineStr">
        <is>
          <t>jbiernay@sabalo.cl</t>
        </is>
      </c>
      <c r="H1681" s="59" t="n"/>
      <c r="I1681" s="59" t="inlineStr">
        <is>
          <t>79.804.140-1</t>
        </is>
      </c>
      <c r="J1681" s="59" t="inlineStr">
        <is>
          <t>Investigación en Proceso</t>
        </is>
      </c>
      <c r="K1681" s="59" t="inlineStr">
        <is>
          <t>Ventas: GRANDE 3 (600.000 - 1.000.000 UF) | Empleados: 22</t>
        </is>
      </c>
      <c r="L1681" s="61" t="n"/>
      <c r="M1681" s="61" t="n"/>
      <c r="N1681" s="61" t="n"/>
      <c r="O1681" s="61" t="n"/>
      <c r="P1681" s="61" t="n"/>
      <c r="Q1681" s="62" t="n"/>
      <c r="R1681" s="61" t="n"/>
    </row>
    <row r="1682" ht="15.75" customHeight="1" s="38">
      <c r="A1682" s="66" t="inlineStr">
        <is>
          <t>Sack</t>
        </is>
      </c>
      <c r="B1682" s="66" t="inlineStr">
        <is>
          <t>Aceros Antiabrasivos, Aceros Especiales</t>
        </is>
      </c>
      <c r="C1682" s="66" t="inlineStr">
        <is>
          <t>Santiago</t>
        </is>
      </c>
      <c r="D1682" s="66" t="inlineStr">
        <is>
          <t>ventas@sack.cl</t>
        </is>
      </c>
      <c r="E1682" s="66" t="inlineStr">
        <is>
          <t>(56) 2 2876 6900</t>
        </is>
      </c>
      <c r="F1682" s="66" t="n"/>
      <c r="G1682" s="66" t="n"/>
      <c r="H1682" s="66" t="n"/>
      <c r="I1682" s="66" t="inlineStr">
        <is>
          <t>90.970.000-0</t>
        </is>
      </c>
      <c r="J1682" s="66" t="n"/>
      <c r="K1682" s="66" t="inlineStr">
        <is>
          <t>Ventas: GRANDE (Estimado por Empleados) | Empleados: 320</t>
        </is>
      </c>
      <c r="L1682" s="61" t="n"/>
      <c r="M1682" s="61" t="n"/>
      <c r="N1682" s="61" t="n"/>
      <c r="O1682" s="61" t="n"/>
      <c r="P1682" s="61" t="n"/>
      <c r="Q1682" s="62" t="n"/>
      <c r="R1682" s="61" t="n"/>
    </row>
    <row r="1683" ht="15.75" customHeight="1" s="38">
      <c r="A1683" s="66" t="inlineStr">
        <is>
          <t>Sacyr Chile</t>
        </is>
      </c>
      <c r="B1683" s="66" t="inlineStr">
        <is>
          <t>Diseño y Construcción de Plantas de Energía, Tratamiento de Residuos Sólidos Urbanos (RSU)</t>
        </is>
      </c>
      <c r="C1683" s="66" t="inlineStr">
        <is>
          <t>Santiago</t>
        </is>
      </c>
      <c r="D1683" s="66" t="n"/>
      <c r="E1683" s="66" t="inlineStr">
        <is>
          <t>(56) 2 2355 6800</t>
        </is>
      </c>
      <c r="F1683" s="66" t="n"/>
      <c r="G1683" s="66" t="n"/>
      <c r="H1683" s="66" t="n"/>
      <c r="I1683" s="66" t="inlineStr">
        <is>
          <t>76.580.621-6</t>
        </is>
      </c>
      <c r="J1683" s="66" t="n"/>
      <c r="K1683" s="66" t="inlineStr">
        <is>
          <t>Ventas: MEDIANA 2 (50.000 - 100.000 UF) | Empleados: 8</t>
        </is>
      </c>
      <c r="L1683" s="61" t="n"/>
      <c r="M1683" s="61" t="n"/>
      <c r="N1683" s="61" t="n"/>
      <c r="O1683" s="61" t="n"/>
      <c r="P1683" s="61" t="n"/>
      <c r="Q1683" s="62" t="n"/>
      <c r="R1683" s="61" t="n"/>
    </row>
    <row r="1684" ht="15.75" customHeight="1" s="38">
      <c r="A1684" s="66" t="inlineStr">
        <is>
          <t>Safedrill</t>
        </is>
      </c>
      <c r="B1684" s="66" t="inlineStr">
        <is>
          <t>Equipos de Automatización para Sondaje Minero, Equipos de Control de Sólidos</t>
        </is>
      </c>
      <c r="C1684" s="66" t="inlineStr">
        <is>
          <t>Santiago</t>
        </is>
      </c>
      <c r="D1684" s="66" t="inlineStr">
        <is>
          <t>mfontaine@technosteel.cl</t>
        </is>
      </c>
      <c r="E1684" s="66" t="inlineStr">
        <is>
          <t>(56) 2 2378 1580</t>
        </is>
      </c>
      <c r="F1684" s="66" t="n"/>
      <c r="G1684" s="66" t="n"/>
      <c r="H1684" s="66" t="n"/>
      <c r="I1684" s="66" t="inlineStr">
        <is>
          <t>76.835.055-8</t>
        </is>
      </c>
      <c r="J1684" s="66" t="n"/>
      <c r="K1684" s="66" t="inlineStr">
        <is>
          <t>Ventas: MEDIANA 2 (50.000 - 100.000 UF) | Empleados: 13</t>
        </is>
      </c>
      <c r="L1684" s="61" t="n"/>
      <c r="M1684" s="61" t="n"/>
      <c r="N1684" s="61" t="n"/>
      <c r="O1684" s="61" t="n"/>
      <c r="P1684" s="61" t="n"/>
      <c r="Q1684" s="62" t="n"/>
      <c r="R1684" s="61" t="n"/>
    </row>
    <row r="1685" ht="15.75" customHeight="1" s="38">
      <c r="A1685" s="66" t="inlineStr">
        <is>
          <t>SafeMap Latinoamérica Ltda.</t>
        </is>
      </c>
      <c r="B1685" s="66" t="inlineStr">
        <is>
          <t>Asesorías en Salud Ocupacional, Seguridad Industrial y Minera</t>
        </is>
      </c>
      <c r="C1685" s="66" t="inlineStr">
        <is>
          <t>Santiago</t>
        </is>
      </c>
      <c r="D1685" s="66" t="n"/>
      <c r="E1685" s="66" t="inlineStr">
        <is>
          <t>(56) 2 2415 3963</t>
        </is>
      </c>
      <c r="F1685" s="66" t="n"/>
      <c r="G1685" s="66" t="n"/>
      <c r="H1685" s="66" t="n"/>
      <c r="I1685" s="66" t="inlineStr">
        <is>
          <t>76.007.735-6</t>
        </is>
      </c>
      <c r="J1685" s="66" t="n"/>
      <c r="K1685" s="66" t="inlineStr">
        <is>
          <t>Ventas: PEQUEÑA 2 (5.000 - 10.000 UF) | Empleados: 1</t>
        </is>
      </c>
      <c r="L1685" s="61" t="n"/>
      <c r="M1685" s="61" t="n"/>
      <c r="N1685" s="61" t="n"/>
      <c r="O1685" s="61" t="n"/>
      <c r="P1685" s="61" t="n"/>
      <c r="Q1685" s="62" t="n"/>
      <c r="R1685" s="61" t="n"/>
    </row>
    <row r="1686" ht="15.75" customHeight="1" s="38">
      <c r="A1686" s="66" t="inlineStr">
        <is>
          <t>Safety Mind</t>
        </is>
      </c>
      <c r="B1686" s="66" t="inlineStr">
        <is>
          <t>Seguridad Minera e Industrial, Seguridad Vial</t>
        </is>
      </c>
      <c r="C1686" s="66" t="inlineStr">
        <is>
          <t>Santiago</t>
        </is>
      </c>
      <c r="D1686" s="66" t="n"/>
      <c r="E1686" s="66" t="inlineStr">
        <is>
          <t>(56) 9 7806 8873</t>
        </is>
      </c>
      <c r="F1686" s="66" t="n"/>
      <c r="G1686" s="66" t="n"/>
      <c r="H1686" s="66" t="n"/>
      <c r="I1686" s="66" t="inlineStr">
        <is>
          <t>77548526-4</t>
        </is>
      </c>
      <c r="J1686" s="66" t="n"/>
      <c r="K1686" s="66" t="inlineStr">
        <is>
          <t>Ventas: PEQUEÑA 2 (5.000 - 10.000 UF) | Empleados: 4</t>
        </is>
      </c>
      <c r="L1686" s="61" t="n"/>
      <c r="M1686" s="61" t="n"/>
      <c r="N1686" s="61" t="n"/>
      <c r="O1686" s="61" t="n"/>
      <c r="P1686" s="61" t="n"/>
      <c r="Q1686" s="62" t="n"/>
      <c r="R1686" s="61" t="n"/>
    </row>
    <row r="1687" ht="15.75" customHeight="1" s="38">
      <c r="A1687" s="66" t="inlineStr">
        <is>
          <t>Safi América SpA</t>
        </is>
      </c>
      <c r="B1687" s="66" t="inlineStr">
        <is>
          <t>Bombas Anticorrosivas, Válvulas Termoplásticas (PVC, CPVC, PP, PDCF, PVCPD)</t>
        </is>
      </c>
      <c r="C1687" s="66" t="inlineStr">
        <is>
          <t>Santiago</t>
        </is>
      </c>
      <c r="D1687" s="66" t="inlineStr">
        <is>
          <t>info@safi-america.com</t>
        </is>
      </c>
      <c r="E1687" s="66" t="inlineStr">
        <is>
          <t>(56) 2 2510 3500</t>
        </is>
      </c>
      <c r="F1687" s="66" t="n"/>
      <c r="G1687" s="66" t="n"/>
      <c r="H1687" s="66" t="n"/>
      <c r="I1687" s="66" t="inlineStr">
        <is>
          <t>76.020.536-2</t>
        </is>
      </c>
      <c r="J1687" s="66" t="n"/>
      <c r="K1687" s="66" t="inlineStr">
        <is>
          <t>Ventas: GRANDE 1 (100.000 - 200.000 UF) | Empleados: 11</t>
        </is>
      </c>
      <c r="L1687" s="61" t="n"/>
      <c r="M1687" s="61" t="n"/>
      <c r="N1687" s="61" t="n"/>
      <c r="O1687" s="61" t="n"/>
      <c r="P1687" s="61" t="n"/>
      <c r="Q1687" s="62" t="n"/>
      <c r="R1687" s="61" t="n"/>
    </row>
    <row r="1688" ht="15.75" customHeight="1" s="38">
      <c r="A1688" s="66" t="inlineStr">
        <is>
          <t>Sagemar</t>
        </is>
      </c>
      <c r="B1688" s="66" t="inlineStr">
        <is>
          <t>Campamentos Mineros, Construcciones Modulares</t>
        </is>
      </c>
      <c r="C1688" s="66" t="inlineStr">
        <is>
          <t>Santiago</t>
        </is>
      </c>
      <c r="D1688" s="66" t="inlineStr">
        <is>
          <t>sagemar@sagemar.cl</t>
        </is>
      </c>
      <c r="E1688" s="66" t="inlineStr">
        <is>
          <t>(56) 2 2752 7920</t>
        </is>
      </c>
      <c r="F1688" s="66" t="n"/>
      <c r="G1688" s="66" t="n"/>
      <c r="H1688" s="66" t="n"/>
      <c r="I1688" s="66" t="inlineStr">
        <is>
          <t>77.841.550-K</t>
        </is>
      </c>
      <c r="J1688" s="66" t="n"/>
      <c r="K1688" s="66" t="inlineStr">
        <is>
          <t>Ventas: GRANDE 2 (200.000 - 600.000 UF) | Empleados: 15</t>
        </is>
      </c>
      <c r="L1688" s="61" t="n"/>
      <c r="M1688" s="61" t="n"/>
      <c r="N1688" s="61" t="n"/>
      <c r="O1688" s="61" t="n"/>
      <c r="P1688" s="61" t="n"/>
      <c r="Q1688" s="62" t="n"/>
      <c r="R1688" s="61" t="n"/>
    </row>
    <row r="1689" ht="15.75" customHeight="1" s="38">
      <c r="A1689" s="66" t="inlineStr">
        <is>
          <t>Sagita</t>
        </is>
      </c>
      <c r="B1689" s="66" t="inlineStr">
        <is>
          <t>Consultoría en Riesgos Químicos, Productos para Urgencias en Quemaduras</t>
        </is>
      </c>
      <c r="C1689" s="66" t="inlineStr">
        <is>
          <t>Santiago</t>
        </is>
      </c>
      <c r="D1689" s="66" t="inlineStr">
        <is>
          <t>hablemos@sagita.cl</t>
        </is>
      </c>
      <c r="E1689" s="66" t="inlineStr">
        <is>
          <t>(56) 2 2244 1191</t>
        </is>
      </c>
      <c r="F1689" s="66" t="n"/>
      <c r="G1689" s="66" t="n"/>
      <c r="H1689" s="66" t="n"/>
      <c r="I1689" s="66" t="inlineStr">
        <is>
          <t>76.185.799-1</t>
        </is>
      </c>
      <c r="J1689" s="66" t="n"/>
      <c r="K1689" s="66" t="inlineStr">
        <is>
          <t>Ventas: GRANDE 1 (100.000 - 200.000 UF) | Empleados: 38</t>
        </is>
      </c>
      <c r="L1689" s="61" t="n"/>
      <c r="M1689" s="61" t="n"/>
      <c r="N1689" s="61" t="n"/>
      <c r="O1689" s="61" t="n"/>
      <c r="P1689" s="61" t="n"/>
      <c r="Q1689" s="62" t="n"/>
      <c r="R1689" s="61" t="n"/>
    </row>
    <row r="1690" ht="15.75" customHeight="1" s="38">
      <c r="A1690" s="66" t="inlineStr">
        <is>
          <t>Saime SG Chile</t>
        </is>
      </c>
      <c r="B1690" s="66" t="inlineStr">
        <is>
          <t>Productos Eléctricos</t>
        </is>
      </c>
      <c r="C1690" s="66" t="inlineStr">
        <is>
          <t>Santiago</t>
        </is>
      </c>
      <c r="D1690" s="66" t="inlineStr">
        <is>
          <t>info@indsaime.cl</t>
        </is>
      </c>
      <c r="E1690" s="66" t="inlineStr">
        <is>
          <t>(56) 2 2413 3800</t>
        </is>
      </c>
      <c r="F1690" s="66" t="n"/>
      <c r="G1690" s="66" t="n"/>
      <c r="H1690" s="66" t="n"/>
      <c r="I1690" s="66" t="inlineStr">
        <is>
          <t>92.052.000-6</t>
        </is>
      </c>
      <c r="J1690" s="66" t="n"/>
      <c r="K1690" s="66" t="inlineStr">
        <is>
          <t>Ventas: GRANDE 2 (200.000 - 600.000 UF) | Empleados: 189</t>
        </is>
      </c>
      <c r="L1690" s="61" t="n"/>
      <c r="M1690" s="61" t="n"/>
      <c r="N1690" s="61" t="n"/>
      <c r="O1690" s="61" t="n"/>
      <c r="P1690" s="61" t="n"/>
      <c r="Q1690" s="62" t="n"/>
      <c r="R1690" s="61" t="n"/>
    </row>
    <row r="1691" ht="15.75" customHeight="1" s="38">
      <c r="A1691" s="66" t="inlineStr">
        <is>
          <t>Saint-Gobain Canalización Chile S.A.</t>
        </is>
      </c>
      <c r="B1691" s="66" t="inlineStr">
        <is>
          <t>Canalización</t>
        </is>
      </c>
      <c r="C1691" s="66" t="inlineStr">
        <is>
          <t>Santiago</t>
        </is>
      </c>
      <c r="D1691" s="66" t="inlineStr">
        <is>
          <t>andrea.alcaino@saint-gobain.com</t>
        </is>
      </c>
      <c r="E1691" s="66" t="inlineStr">
        <is>
          <t>(56) 2 2444 1300</t>
        </is>
      </c>
      <c r="F1691" s="66" t="inlineStr">
        <is>
          <t>Gerente de TI / CIO (Director de Tecnología)</t>
        </is>
      </c>
      <c r="G1691" s="66" t="n"/>
      <c r="H1691" s="66" t="n"/>
      <c r="I1691" s="66" t="inlineStr">
        <is>
          <t>96.925.510-3</t>
        </is>
      </c>
      <c r="J1691" s="66" t="n"/>
      <c r="K1691" s="66" t="inlineStr">
        <is>
          <t>Ventas: GRANDE 4 (Mas de 1.000.000 UF) | Empleados: 8</t>
        </is>
      </c>
      <c r="L1691" s="61" t="n"/>
      <c r="M1691" s="61" t="n"/>
      <c r="N1691" s="61" t="n"/>
      <c r="O1691" s="61" t="n"/>
      <c r="P1691" s="61" t="n"/>
      <c r="Q1691" s="62" t="n"/>
      <c r="R1691" s="61" t="n"/>
    </row>
    <row r="1692" ht="15.75" customHeight="1" s="38">
      <c r="A1692" s="66" t="inlineStr">
        <is>
          <t>Sajonia Ltda.</t>
        </is>
      </c>
      <c r="B1692" s="66" t="inlineStr">
        <is>
          <t>Conductores Eléctricos, Productos Eléctricos</t>
        </is>
      </c>
      <c r="C1692" s="66" t="inlineStr">
        <is>
          <t>Santiago</t>
        </is>
      </c>
      <c r="D1692" s="66" t="inlineStr">
        <is>
          <t>web@socomsa.cl</t>
        </is>
      </c>
      <c r="E1692" s="66" t="inlineStr">
        <is>
          <t>(56) 2 2944 2600</t>
        </is>
      </c>
      <c r="F1692" s="66" t="n"/>
      <c r="G1692" s="66" t="n"/>
      <c r="H1692" s="66" t="n"/>
      <c r="I1692" s="66" t="inlineStr">
        <is>
          <t>76.106.010-4</t>
        </is>
      </c>
      <c r="J1692" s="66" t="n"/>
      <c r="K1692" s="66" t="inlineStr">
        <is>
          <t>Ventas: GRANDE 2 (200.000 - 600.000 UF) | Empleados: 5</t>
        </is>
      </c>
      <c r="L1692" s="61" t="n"/>
      <c r="M1692" s="61" t="n"/>
      <c r="N1692" s="61" t="n"/>
      <c r="O1692" s="61" t="n"/>
      <c r="P1692" s="61" t="n"/>
      <c r="Q1692" s="62" t="n"/>
      <c r="R1692" s="61" t="n"/>
    </row>
    <row r="1693" ht="15.75" customHeight="1" s="38">
      <c r="A1693" s="66" t="inlineStr">
        <is>
          <t>Sal Alpina</t>
        </is>
      </c>
      <c r="B1693" s="66" t="inlineStr">
        <is>
          <t>Sal para Deshielo de Caminos, Sal para Estabilización de Suelos</t>
        </is>
      </c>
      <c r="C1693" s="66" t="inlineStr">
        <is>
          <t>Buin</t>
        </is>
      </c>
      <c r="D1693" s="66" t="inlineStr">
        <is>
          <t>contacto@salalpinachile.cl</t>
        </is>
      </c>
      <c r="E1693" s="66" t="inlineStr">
        <is>
          <t>(56) 2 3288 7514</t>
        </is>
      </c>
      <c r="F1693" s="66" t="n"/>
      <c r="G1693" s="66" t="n"/>
      <c r="H1693" s="66" t="n"/>
      <c r="I1693" s="66" t="inlineStr">
        <is>
          <t>76917994-1</t>
        </is>
      </c>
      <c r="J1693" s="66" t="n"/>
      <c r="K1693" s="66" t="inlineStr">
        <is>
          <t>Ventas: PEQUEÑA 3 (10.000 - 25.000 UF) | Empleados: 2</t>
        </is>
      </c>
      <c r="L1693" s="61" t="n"/>
      <c r="M1693" s="61" t="n"/>
      <c r="N1693" s="61" t="n"/>
      <c r="O1693" s="61" t="n"/>
      <c r="P1693" s="61" t="n"/>
      <c r="Q1693" s="62" t="n"/>
      <c r="R1693" s="61" t="n"/>
    </row>
    <row r="1694" ht="15.75" customHeight="1" s="38">
      <c r="A1694" s="66" t="inlineStr">
        <is>
          <t>Salas Hnos.</t>
        </is>
      </c>
      <c r="B1694" s="66" t="inlineStr">
        <is>
          <t>Equipos para Laboratorios Minero Metalúrgico</t>
        </is>
      </c>
      <c r="C1694" s="66" t="inlineStr">
        <is>
          <t>Santiago</t>
        </is>
      </c>
      <c r="D1694" s="66" t="inlineStr">
        <is>
          <t>salas@salasing.cl</t>
        </is>
      </c>
      <c r="E1694" s="66" t="inlineStr">
        <is>
          <t>(56) 2 2624 0939</t>
        </is>
      </c>
      <c r="F1694" s="66" t="n"/>
      <c r="G1694" s="66" t="n"/>
      <c r="H1694" s="66" t="n"/>
      <c r="I1694" s="66" t="inlineStr">
        <is>
          <t>89.070.300-3</t>
        </is>
      </c>
      <c r="J1694" s="66" t="n"/>
      <c r="K1694" s="66" t="inlineStr">
        <is>
          <t>Ventas: MEDIANA 2 (50.000 - 100.000 UF) | Empleados: 42</t>
        </is>
      </c>
      <c r="L1694" s="61" t="n"/>
      <c r="M1694" s="61" t="n"/>
      <c r="N1694" s="61" t="n"/>
      <c r="O1694" s="61" t="n"/>
      <c r="P1694" s="61" t="n"/>
      <c r="Q1694" s="62" t="n"/>
      <c r="R1694" s="61" t="n"/>
    </row>
    <row r="1695" ht="15.75" customHeight="1" s="38">
      <c r="A1695" s="66" t="inlineStr">
        <is>
          <t>Salfa</t>
        </is>
      </c>
      <c r="B1695" s="66" t="inlineStr">
        <is>
          <t>Camiones</t>
        </is>
      </c>
      <c r="C1695" s="66" t="inlineStr">
        <is>
          <t>Santiago</t>
        </is>
      </c>
      <c r="D1695" s="66" t="n"/>
      <c r="E1695" s="66" t="inlineStr">
        <is>
          <t>(56) 2 2963 4440</t>
        </is>
      </c>
      <c r="F1695" s="66" t="n"/>
      <c r="G1695" s="66" t="n"/>
      <c r="H1695" s="66" t="n"/>
      <c r="I1695" s="66" t="inlineStr">
        <is>
          <t>91.502.000-3</t>
        </is>
      </c>
      <c r="J1695" s="66" t="n"/>
      <c r="K1695" s="66" t="inlineStr">
        <is>
          <t>Ventas: GRANDE (Estimado por Empleados) | Empleados: 2463</t>
        </is>
      </c>
      <c r="L1695" s="61" t="n"/>
      <c r="M1695" s="61" t="n"/>
      <c r="N1695" s="61" t="n"/>
      <c r="O1695" s="61" t="n"/>
      <c r="P1695" s="61" t="n"/>
      <c r="Q1695" s="62" t="n"/>
      <c r="R1695" s="61" t="n"/>
    </row>
    <row r="1696" ht="15.75" customHeight="1" s="38">
      <c r="A1696" s="66" t="inlineStr">
        <is>
          <t>Salfa Montajes S.A.</t>
        </is>
      </c>
      <c r="B1696" s="66" t="inlineStr">
        <is>
          <t>Construcciones Industriales</t>
        </is>
      </c>
      <c r="C1696" s="66" t="inlineStr">
        <is>
          <t>Santiago</t>
        </is>
      </c>
      <c r="D1696" s="66" t="inlineStr">
        <is>
          <t>salfacorp@salfacorp.com</t>
        </is>
      </c>
      <c r="E1696" s="66" t="inlineStr">
        <is>
          <t>(56) 2 2902 0000</t>
        </is>
      </c>
      <c r="F1696" s="66" t="n"/>
      <c r="G1696" s="66" t="n"/>
      <c r="H1696" s="66" t="n"/>
      <c r="I1696" s="66" t="inlineStr">
        <is>
          <t>96.684.600-3</t>
        </is>
      </c>
      <c r="J1696" s="66" t="n"/>
      <c r="K1696" s="66" t="inlineStr">
        <is>
          <t>Ventas: GRANDE (Estimado por Empleados) | Empleados: 12374</t>
        </is>
      </c>
      <c r="L1696" s="61" t="n"/>
      <c r="M1696" s="61" t="n"/>
      <c r="N1696" s="61" t="n"/>
      <c r="O1696" s="61" t="n"/>
      <c r="P1696" s="61" t="n"/>
      <c r="Q1696" s="62" t="n"/>
      <c r="R1696" s="61" t="n"/>
    </row>
    <row r="1697" ht="15.75" customHeight="1" s="38">
      <c r="A1697" s="66" t="inlineStr">
        <is>
          <t>Salfavel Comercial S.A.</t>
        </is>
      </c>
      <c r="B1697" s="66" t="inlineStr">
        <is>
          <t>Acoplamientos, Transmisión de Potencia</t>
        </is>
      </c>
      <c r="C1697" s="66" t="inlineStr">
        <is>
          <t>Santiago</t>
        </is>
      </c>
      <c r="D1697" s="66" t="inlineStr">
        <is>
          <t>ventas@salfacom.cl</t>
        </is>
      </c>
      <c r="E1697" s="66" t="inlineStr">
        <is>
          <t>(56) 2 2948 4264</t>
        </is>
      </c>
      <c r="F1697" s="66" t="n"/>
      <c r="G1697" s="66" t="n"/>
      <c r="H1697" s="66" t="n"/>
      <c r="I1697" s="66" t="inlineStr">
        <is>
          <t>96.805.600-K</t>
        </is>
      </c>
      <c r="J1697" s="66" t="n"/>
      <c r="K1697" s="66" t="inlineStr">
        <is>
          <t>Ventas: PEQUEÑA 3 (10.000 - 25.000 UF) | Empleados: 3</t>
        </is>
      </c>
      <c r="L1697" s="61" t="n"/>
      <c r="M1697" s="61" t="n"/>
      <c r="N1697" s="61" t="n"/>
      <c r="O1697" s="61" t="n"/>
      <c r="P1697" s="61" t="n"/>
      <c r="Q1697" s="62" t="n"/>
      <c r="R1697" s="61" t="n"/>
    </row>
    <row r="1698" ht="15.75" customHeight="1" s="38">
      <c r="A1698" s="66" t="inlineStr">
        <is>
          <t>Saltec Engineering SpA</t>
        </is>
      </c>
      <c r="B1698" s="66" t="inlineStr">
        <is>
          <t>Sistemas de Energía Redundantes</t>
        </is>
      </c>
      <c r="C1698" s="66" t="inlineStr">
        <is>
          <t>Santiago</t>
        </is>
      </c>
      <c r="D1698" s="66" t="inlineStr">
        <is>
          <t>info@saltec.de</t>
        </is>
      </c>
      <c r="E1698" s="66" t="inlineStr">
        <is>
          <t>(56) 2 2952 0611</t>
        </is>
      </c>
      <c r="F1698" s="66" t="n"/>
      <c r="G1698" s="66" t="n"/>
      <c r="H1698" s="66" t="n"/>
      <c r="I1698" s="66" t="inlineStr">
        <is>
          <t>76.491.502-K</t>
        </is>
      </c>
      <c r="J1698" s="66" t="n"/>
      <c r="K1698" s="66" t="inlineStr">
        <is>
          <t>Ventas: No en base SII | Empleados: S/I</t>
        </is>
      </c>
      <c r="L1698" s="61" t="n"/>
      <c r="M1698" s="61" t="n"/>
      <c r="N1698" s="61" t="n"/>
      <c r="O1698" s="61" t="n"/>
      <c r="P1698" s="61" t="n"/>
      <c r="Q1698" s="62" t="n"/>
      <c r="R1698" s="61" t="n"/>
    </row>
    <row r="1699" ht="15.75" customHeight="1" s="38">
      <c r="A1699" s="66" t="inlineStr">
        <is>
          <t>Samex</t>
        </is>
      </c>
      <c r="B1699" s="66" t="inlineStr">
        <is>
          <t>Proveedor Destacado, Servicios de Camiones Exclusivos, Servicios de Logística de Reversa, Servicios de Retiro y Entrega en Ultima Milla, Sistemas de Trazabilidad, Transporte de Carga Peligrosa, Transporte y Distribución Terrestre</t>
        </is>
      </c>
      <c r="C1699" s="66" t="inlineStr">
        <is>
          <t>Santiago</t>
        </is>
      </c>
      <c r="D1699" s="66" t="inlineStr">
        <is>
          <t>contacto@samex.cl</t>
        </is>
      </c>
      <c r="E1699" s="66" t="n"/>
      <c r="F1699" s="66" t="inlineStr">
        <is>
          <t>Gerente de TI / CIO (Director de Tecnología)</t>
        </is>
      </c>
      <c r="G1699" s="66" t="n"/>
      <c r="H1699" s="66" t="inlineStr">
        <is>
          <t>http://www.samex.cl</t>
        </is>
      </c>
      <c r="I1699" s="66" t="inlineStr">
        <is>
          <t>76.629.600-9</t>
        </is>
      </c>
      <c r="J1699" s="66" t="n"/>
      <c r="K1699" s="66" t="inlineStr">
        <is>
          <t>Ventas: GRANDE 4 (Mas de 1.000.000 UF) | Empleados: 605</t>
        </is>
      </c>
      <c r="L1699" s="61" t="n"/>
      <c r="M1699" s="61" t="n"/>
      <c r="N1699" s="61" t="n"/>
      <c r="O1699" s="61" t="n"/>
      <c r="P1699" s="61" t="n"/>
      <c r="Q1699" s="62" t="n"/>
      <c r="R1699" s="61" t="n"/>
    </row>
    <row r="1700" ht="15.75" customHeight="1" s="38">
      <c r="A1700" s="66" t="inlineStr">
        <is>
          <t>Samson Controls S.A.</t>
        </is>
      </c>
      <c r="B1700" s="66" t="inlineStr">
        <is>
          <t>Válvulas, Válvulas de Acero Inoxidable</t>
        </is>
      </c>
      <c r="C1700" s="66" t="inlineStr">
        <is>
          <t>Santiago</t>
        </is>
      </c>
      <c r="D1700" s="66" t="inlineStr">
        <is>
          <t>info-cl@samsongroup.com</t>
        </is>
      </c>
      <c r="E1700" s="66" t="inlineStr">
        <is>
          <t>(56) 2 2240 5100</t>
        </is>
      </c>
      <c r="F1700" s="66" t="n"/>
      <c r="G1700" s="66" t="n"/>
      <c r="H1700" s="66" t="n"/>
      <c r="I1700" s="66" t="inlineStr">
        <is>
          <t>99.529.960-7</t>
        </is>
      </c>
      <c r="J1700" s="66" t="n"/>
      <c r="K1700" s="66" t="inlineStr">
        <is>
          <t>Ventas: GRANDE 2 (200.000 - 600.000 UF) | Empleados: 20</t>
        </is>
      </c>
      <c r="L1700" s="61" t="n"/>
      <c r="M1700" s="61" t="n"/>
      <c r="N1700" s="61" t="n"/>
      <c r="O1700" s="61" t="n"/>
      <c r="P1700" s="61" t="n"/>
      <c r="Q1700" s="62" t="n"/>
      <c r="R1700" s="61" t="n"/>
    </row>
    <row r="1701" ht="15.75" customHeight="1" s="38">
      <c r="A1701" s="59" t="inlineStr">
        <is>
          <t>Samtech S.A.</t>
        </is>
      </c>
      <c r="B1701" s="59" t="inlineStr">
        <is>
          <t>Servicios de Telemetría, Sistemas Automáticos para Medición de Volumen de Material a Granel en Camiones</t>
        </is>
      </c>
      <c r="C1701" s="59" t="inlineStr">
        <is>
          <t>Santiago</t>
        </is>
      </c>
      <c r="D1701" s="59" t="n"/>
      <c r="E1701" s="59" t="inlineStr">
        <is>
          <t>(56) 2 2898 8900</t>
        </is>
      </c>
      <c r="F1701" s="59" t="inlineStr">
        <is>
          <t>Claudio Palacios (Gerente de Infraestructura y Seguridad)</t>
        </is>
      </c>
      <c r="G1701" s="59" t="inlineStr">
        <is>
          <t>claudio.palacios@samtech.cl</t>
        </is>
      </c>
      <c r="H1701" s="59" t="n"/>
      <c r="I1701" s="59" t="inlineStr">
        <is>
          <t>76.962.510-0</t>
        </is>
      </c>
      <c r="J1701" s="59" t="inlineStr">
        <is>
          <t>Investigación en Proceso</t>
        </is>
      </c>
      <c r="K1701" s="59" t="inlineStr">
        <is>
          <t>Ventas: GRANDE 3 (600.000 - 1.000.000 UF) | Empleados: 175</t>
        </is>
      </c>
      <c r="L1701" s="61" t="n"/>
      <c r="M1701" s="61" t="n"/>
      <c r="N1701" s="61" t="n"/>
      <c r="O1701" s="61" t="n"/>
      <c r="P1701" s="61" t="n"/>
      <c r="Q1701" s="62" t="n"/>
      <c r="R1701" s="61" t="n"/>
    </row>
    <row r="1702" ht="15.75" customHeight="1" s="38">
      <c r="A1702" s="66" t="inlineStr">
        <is>
          <t>San Ignacio Ltda.</t>
        </is>
      </c>
      <c r="B1702" s="66" t="inlineStr">
        <is>
          <t>Reparación de Equipos Hidráulicos</t>
        </is>
      </c>
      <c r="C1702" s="66" t="inlineStr">
        <is>
          <t>Copiapó</t>
        </is>
      </c>
      <c r="D1702" s="66" t="inlineStr">
        <is>
          <t>angelica.vitali@sanignacioltda.cl</t>
        </is>
      </c>
      <c r="E1702" s="66" t="inlineStr">
        <is>
          <t>(56) 52 254 4800</t>
        </is>
      </c>
      <c r="F1702" s="66" t="inlineStr">
        <is>
          <t>Gerente de TI / CIO (Director de Tecnología)</t>
        </is>
      </c>
      <c r="G1702" s="66" t="n"/>
      <c r="H1702" s="66" t="n"/>
      <c r="I1702" s="66" t="inlineStr">
        <is>
          <t>76.038.564-6</t>
        </is>
      </c>
      <c r="J1702" s="66" t="n"/>
      <c r="K1702" s="66" t="inlineStr">
        <is>
          <t>Ventas: GRANDE 3 (600.000 - 1.000.000 UF) | Empleados: 295</t>
        </is>
      </c>
      <c r="L1702" s="61" t="n"/>
      <c r="M1702" s="61" t="n"/>
      <c r="N1702" s="61" t="n"/>
      <c r="O1702" s="61" t="n"/>
      <c r="P1702" s="61" t="n"/>
      <c r="Q1702" s="62" t="n"/>
      <c r="R1702" s="61" t="n"/>
    </row>
    <row r="1703" ht="15.75" customHeight="1" s="38">
      <c r="A1703" s="66" t="inlineStr">
        <is>
          <t>Sande S.A.</t>
        </is>
      </c>
      <c r="B1703" s="66" t="inlineStr">
        <is>
          <t>Bombas, Tecles</t>
        </is>
      </c>
      <c r="C1703" s="66" t="inlineStr">
        <is>
          <t>Santiago</t>
        </is>
      </c>
      <c r="D1703" s="66" t="inlineStr">
        <is>
          <t>ventas@sande.cl</t>
        </is>
      </c>
      <c r="E1703" s="66" t="inlineStr">
        <is>
          <t>600 600 0900</t>
        </is>
      </c>
      <c r="F1703" s="66" t="inlineStr">
        <is>
          <t>Gerente de TI / CIO (Director de Tecnología)</t>
        </is>
      </c>
      <c r="G1703" s="66" t="n"/>
      <c r="H1703" s="66" t="n"/>
      <c r="I1703" s="66" t="inlineStr">
        <is>
          <t>92.217.000-2</t>
        </is>
      </c>
      <c r="J1703" s="66" t="n"/>
      <c r="K1703" s="66" t="inlineStr">
        <is>
          <t>Ventas: GRANDE 3 (600.000 - 1.000.000 UF) | Empleados: 85</t>
        </is>
      </c>
      <c r="L1703" s="61" t="n"/>
      <c r="M1703" s="61" t="n"/>
      <c r="N1703" s="61" t="n"/>
      <c r="O1703" s="61" t="n"/>
      <c r="P1703" s="61" t="n"/>
      <c r="Q1703" s="62" t="n"/>
      <c r="R1703" s="61" t="n"/>
    </row>
    <row r="1704" ht="15.75" customHeight="1" s="38">
      <c r="A1704" s="66" t="inlineStr">
        <is>
          <t>Sandiman S.A.</t>
        </is>
      </c>
      <c r="B1704" s="66" t="inlineStr">
        <is>
          <t>Productos para Automatización y Control</t>
        </is>
      </c>
      <c r="C1704" s="66" t="inlineStr">
        <is>
          <t>Santiago</t>
        </is>
      </c>
      <c r="D1704" s="66" t="inlineStr">
        <is>
          <t>contacto@sandiman.cl</t>
        </is>
      </c>
      <c r="E1704" s="66" t="inlineStr">
        <is>
          <t>(56) 2 2476 2200</t>
        </is>
      </c>
      <c r="F1704" s="66" t="n"/>
      <c r="G1704" s="66" t="n"/>
      <c r="H1704" s="66" t="n"/>
      <c r="I1704" s="66" t="inlineStr">
        <is>
          <t>78.923.230-k</t>
        </is>
      </c>
      <c r="J1704" s="66" t="n"/>
      <c r="K1704" s="66" t="inlineStr">
        <is>
          <t>Ventas: GRANDE 1 (100.000 - 200.000 UF) | Empleados: 42</t>
        </is>
      </c>
      <c r="L1704" s="61" t="n"/>
      <c r="M1704" s="61" t="n"/>
      <c r="N1704" s="61" t="n"/>
      <c r="O1704" s="61" t="n"/>
      <c r="P1704" s="61" t="n"/>
      <c r="Q1704" s="62" t="n"/>
      <c r="R1704" s="61" t="n"/>
    </row>
    <row r="1705" ht="15.75" customHeight="1" s="38">
      <c r="A1705" s="66" t="inlineStr">
        <is>
          <t>Sandra de la Cruz M.</t>
        </is>
      </c>
      <c r="B1705" s="66" t="inlineStr">
        <is>
          <t>Proveedor Destacado, Diseño Gráfico Industrial y Corporativo, Diseño Web y Redes Sociales</t>
        </is>
      </c>
      <c r="C1705" s="66" t="n"/>
      <c r="D1705" s="66" t="inlineStr">
        <is>
          <t>sandradelacruzm@gmail.com</t>
        </is>
      </c>
      <c r="E1705" s="66" t="inlineStr">
        <is>
          <t>(56) 9 9895 7953</t>
        </is>
      </c>
      <c r="F1705" s="66" t="n"/>
      <c r="G1705" s="66" t="n"/>
      <c r="H1705" s="66" t="n"/>
      <c r="I1705" s="66" t="inlineStr">
        <is>
          <t>10.345.187-6</t>
        </is>
      </c>
      <c r="J1705" s="66" t="n"/>
      <c r="K1705" s="66" t="inlineStr">
        <is>
          <t>Ventas: No en base SII | Empleados: S/I</t>
        </is>
      </c>
      <c r="L1705" s="61" t="n"/>
      <c r="M1705" s="61" t="n"/>
      <c r="N1705" s="61" t="n"/>
      <c r="O1705" s="61" t="n"/>
      <c r="P1705" s="61" t="n"/>
      <c r="Q1705" s="62" t="n"/>
      <c r="R1705" s="61" t="n"/>
    </row>
    <row r="1706" ht="15.75" customHeight="1" s="38">
      <c r="A1706" s="66" t="inlineStr">
        <is>
          <t>Sandvik Chile S.A.</t>
        </is>
      </c>
      <c r="B1706" s="66" t="inlineStr">
        <is>
          <t>Servicios de Operación de Equipos Mineros</t>
        </is>
      </c>
      <c r="C1706" s="66" t="inlineStr">
        <is>
          <t>Santiago</t>
        </is>
      </c>
      <c r="D1706" s="66" t="inlineStr">
        <is>
          <t>info@sandvik.com</t>
        </is>
      </c>
      <c r="E1706" s="66" t="inlineStr">
        <is>
          <t>(56) 2 2676 0250</t>
        </is>
      </c>
      <c r="F1706" s="66" t="n"/>
      <c r="G1706" s="66" t="n"/>
      <c r="H1706" s="66" t="n"/>
      <c r="I1706" s="66" t="inlineStr">
        <is>
          <t>94.879.000-9</t>
        </is>
      </c>
      <c r="J1706" s="66" t="n"/>
      <c r="K1706" s="66" t="inlineStr">
        <is>
          <t>Ventas: GRANDE (Estimado por Empleados) | Empleados: 662</t>
        </is>
      </c>
      <c r="L1706" s="61" t="n"/>
      <c r="M1706" s="61" t="n"/>
      <c r="N1706" s="61" t="n"/>
      <c r="O1706" s="61" t="n"/>
      <c r="P1706" s="61" t="n"/>
      <c r="Q1706" s="62" t="n"/>
      <c r="R1706" s="61" t="n"/>
    </row>
    <row r="1707" ht="15.75" customHeight="1" s="38">
      <c r="A1707" s="66" t="inlineStr">
        <is>
          <t>Santa Elvira S.A.</t>
        </is>
      </c>
      <c r="B1707" s="66" t="inlineStr">
        <is>
          <t>Camiones Fuera de Carretera, Transporte Terrestre</t>
        </is>
      </c>
      <c r="C1707" s="66" t="inlineStr">
        <is>
          <t>Santiago</t>
        </is>
      </c>
      <c r="D1707" s="66" t="inlineStr">
        <is>
          <t>informaciones@tse.cl</t>
        </is>
      </c>
      <c r="E1707" s="66" t="inlineStr">
        <is>
          <t>(56) 2 2379 2650</t>
        </is>
      </c>
      <c r="F1707" s="66" t="n"/>
      <c r="G1707" s="66" t="n"/>
      <c r="H1707" s="66" t="n"/>
      <c r="I1707" s="66" t="inlineStr">
        <is>
          <t>86.146.400-8</t>
        </is>
      </c>
      <c r="J1707" s="66" t="n"/>
      <c r="K1707" s="66" t="inlineStr">
        <is>
          <t>Ventas: GRANDE (Estimado por Empleados) | Empleados: 786</t>
        </is>
      </c>
      <c r="L1707" s="61" t="n"/>
      <c r="M1707" s="61" t="n"/>
      <c r="N1707" s="61" t="n"/>
      <c r="O1707" s="61" t="n"/>
      <c r="P1707" s="61" t="n"/>
      <c r="Q1707" s="62" t="n"/>
      <c r="R1707" s="61" t="n"/>
    </row>
    <row r="1708" ht="15.75" customHeight="1" s="38">
      <c r="A1708" s="66" t="inlineStr">
        <is>
          <t>Santerno Chile SpA</t>
        </is>
      </c>
      <c r="B1708" s="66" t="inlineStr">
        <is>
          <t>Automatización Industrial, Variadores de Frecuencia</t>
        </is>
      </c>
      <c r="C1708" s="66" t="inlineStr">
        <is>
          <t>Santiago</t>
        </is>
      </c>
      <c r="D1708" s="66" t="inlineStr">
        <is>
          <t>info@santerno.com</t>
        </is>
      </c>
      <c r="E1708" s="66" t="inlineStr">
        <is>
          <t>(56) 9 7109 3823</t>
        </is>
      </c>
      <c r="F1708" s="66" t="n"/>
      <c r="G1708" s="66" t="n"/>
      <c r="H1708" s="66" t="n"/>
      <c r="I1708" s="66" t="inlineStr">
        <is>
          <t>76622786-4</t>
        </is>
      </c>
      <c r="J1708" s="66" t="n"/>
      <c r="K1708" s="66" t="inlineStr">
        <is>
          <t>Ventas: GRANDE 1 (100.000 - 200.000 UF) | Empleados: 15</t>
        </is>
      </c>
      <c r="L1708" s="61" t="n"/>
      <c r="M1708" s="61" t="n"/>
      <c r="N1708" s="61" t="n"/>
      <c r="O1708" s="61" t="n"/>
      <c r="P1708" s="61" t="n"/>
      <c r="Q1708" s="62" t="n"/>
      <c r="R1708" s="61" t="n"/>
    </row>
    <row r="1709" ht="15.75" customHeight="1" s="38">
      <c r="A1709" s="66" t="inlineStr">
        <is>
          <t>SAP Ariba</t>
        </is>
      </c>
      <c r="B1709" s="66" t="inlineStr">
        <is>
          <t>Proveedor Destacado, Portal de Negocios y Abastecimiento</t>
        </is>
      </c>
      <c r="C1709" s="66" t="inlineStr">
        <is>
          <t>Santiago</t>
        </is>
      </c>
      <c r="D1709" s="66" t="inlineStr">
        <is>
          <t>ventaschile@sap.com</t>
        </is>
      </c>
      <c r="E1709" s="66" t="inlineStr">
        <is>
          <t>(56) 2 2440 3500</t>
        </is>
      </c>
      <c r="F1709" s="66" t="inlineStr">
        <is>
          <t>Gerente de TI / CIO (Director de Tecnología)</t>
        </is>
      </c>
      <c r="G1709" s="66" t="n"/>
      <c r="H1709" s="66" t="inlineStr">
        <is>
          <t>http://www.sap.com</t>
        </is>
      </c>
      <c r="I1709" s="66" t="inlineStr">
        <is>
          <t>77.546.140-3</t>
        </is>
      </c>
      <c r="J1709" s="66" t="n"/>
      <c r="K1709" s="66" t="inlineStr">
        <is>
          <t>Ventas: GRANDE 4 (Mas de 1.000.000 UF) | Empleados: 68</t>
        </is>
      </c>
      <c r="L1709" s="61" t="n"/>
      <c r="M1709" s="61" t="n"/>
      <c r="N1709" s="61" t="n"/>
      <c r="O1709" s="61" t="n"/>
      <c r="P1709" s="61" t="n"/>
      <c r="Q1709" s="62" t="n"/>
      <c r="R1709" s="61" t="n"/>
    </row>
    <row r="1710" ht="15.75" customHeight="1" s="38">
      <c r="A1710" s="59" t="inlineStr">
        <is>
          <t>Sargent S.A.</t>
        </is>
      </c>
      <c r="B1710" s="59" t="inlineStr">
        <is>
          <t>Automatización Industrial, Variadores de Frecuencia</t>
        </is>
      </c>
      <c r="C1710" s="59" t="inlineStr">
        <is>
          <t>Santiago</t>
        </is>
      </c>
      <c r="D1710" s="59" t="inlineStr">
        <is>
          <t>mfuentes@sargentchile.cl</t>
        </is>
      </c>
      <c r="E1710" s="59" t="inlineStr">
        <is>
          <t>(56) 2 2583 2730</t>
        </is>
      </c>
      <c r="F1710" s="59" t="inlineStr">
        <is>
          <t>Mario Pavez (Jefe de Sistemas)</t>
        </is>
      </c>
      <c r="G1710" s="59" t="inlineStr">
        <is>
          <t>mpavez@sargent.cl</t>
        </is>
      </c>
      <c r="H1710" s="59" t="n"/>
      <c r="I1710" s="59" t="inlineStr">
        <is>
          <t>92.357.000-4</t>
        </is>
      </c>
      <c r="J1710" s="59" t="inlineStr">
        <is>
          <t>Investigación en Proceso</t>
        </is>
      </c>
      <c r="K1710" s="59" t="inlineStr">
        <is>
          <t>Ventas: GRANDE 3 (600.000 - 1.000.000 UF) | Empleados: 88</t>
        </is>
      </c>
      <c r="L1710" s="61" t="n"/>
      <c r="M1710" s="61" t="n"/>
      <c r="N1710" s="61" t="n"/>
      <c r="O1710" s="61" t="n"/>
      <c r="P1710" s="61" t="n"/>
      <c r="Q1710" s="62" t="n"/>
      <c r="R1710" s="61" t="n"/>
    </row>
    <row r="1711" ht="15.75" customHeight="1" s="38">
      <c r="A1711" s="66" t="inlineStr">
        <is>
          <t>Saroen Global Chile</t>
        </is>
      </c>
      <c r="B1711" s="66" t="inlineStr">
        <is>
          <t>Desarrollo de Proyectos de Energía Eólica y Solar, Turbinas Eólicas</t>
        </is>
      </c>
      <c r="C1711" s="66" t="inlineStr">
        <is>
          <t>Santiago</t>
        </is>
      </c>
      <c r="D1711" s="66" t="inlineStr">
        <is>
          <t>info@saroenglobal.com</t>
        </is>
      </c>
      <c r="E1711" s="66" t="inlineStr">
        <is>
          <t>(56) 2 2666 4234</t>
        </is>
      </c>
      <c r="F1711" s="66" t="n"/>
      <c r="G1711" s="66" t="n"/>
      <c r="H1711" s="66" t="n"/>
      <c r="I1711" s="66" t="inlineStr">
        <is>
          <t>76423428-6</t>
        </is>
      </c>
      <c r="J1711" s="66" t="n"/>
      <c r="K1711" s="66" t="inlineStr">
        <is>
          <t>Ventas: PEQUEÑA 3 (10.000 - 25.000 UF) | Empleados: 19</t>
        </is>
      </c>
      <c r="L1711" s="61" t="n"/>
      <c r="M1711" s="61" t="n"/>
      <c r="N1711" s="61" t="n"/>
      <c r="O1711" s="61" t="n"/>
      <c r="P1711" s="61" t="n"/>
      <c r="Q1711" s="62" t="n"/>
      <c r="R1711" s="61" t="n"/>
    </row>
    <row r="1712" ht="15.75" customHeight="1" s="38">
      <c r="A1712" s="59" t="inlineStr">
        <is>
          <t>Sattel Chile Ltda.</t>
        </is>
      </c>
      <c r="B1712" s="59" t="inlineStr">
        <is>
          <t>Servicios de Ingeniería, Torres de Iluminacion Solar</t>
        </is>
      </c>
      <c r="C1712" s="59" t="inlineStr">
        <is>
          <t>Copiapó</t>
        </is>
      </c>
      <c r="D1712" s="59" t="inlineStr">
        <is>
          <t>contacto@sattelchile.cl</t>
        </is>
      </c>
      <c r="E1712" s="59" t="inlineStr">
        <is>
          <t>(56) 52 235 2800</t>
        </is>
      </c>
      <c r="F1712" s="59" t="inlineStr">
        <is>
          <t>Jairo Sarmiento (Gerente Operaciones)</t>
        </is>
      </c>
      <c r="G1712" s="59" t="n"/>
      <c r="H1712" s="59" t="n"/>
      <c r="I1712" s="59" t="inlineStr">
        <is>
          <t>76.095.501-9</t>
        </is>
      </c>
      <c r="J1712" s="59" t="inlineStr">
        <is>
          <t>Automatización Monitoreo &amp; Seguridad Minera</t>
        </is>
      </c>
      <c r="K1712" s="59" t="inlineStr">
        <is>
          <t>Ventas: GRANDE 2 (200.000 - 600.000 UF) | Empleados: 103</t>
        </is>
      </c>
      <c r="L1712" s="61" t="n"/>
      <c r="M1712" s="61" t="n"/>
      <c r="N1712" s="61" t="n"/>
      <c r="O1712" s="61" t="n"/>
      <c r="P1712" s="61" t="n"/>
      <c r="Q1712" s="62" t="n"/>
      <c r="R1712" s="61" t="n"/>
    </row>
    <row r="1713" ht="15.75" customHeight="1" s="38">
      <c r="A1713" s="59" t="inlineStr">
        <is>
          <t>Scafom-Rux Chile SpA</t>
        </is>
      </c>
      <c r="B1713" s="59" t="inlineStr">
        <is>
          <t>Alzaprimas, Andamios</t>
        </is>
      </c>
      <c r="C1713" s="59" t="inlineStr">
        <is>
          <t>Santiago</t>
        </is>
      </c>
      <c r="D1713" s="59" t="inlineStr">
        <is>
          <t>chile@scafom-rux.cl</t>
        </is>
      </c>
      <c r="E1713" s="59" t="inlineStr">
        <is>
          <t>(56) 9 7135 8585</t>
        </is>
      </c>
      <c r="F1713" s="59" t="inlineStr">
        <is>
          <t>Cristian Rodriguez (Operations Manager)</t>
        </is>
      </c>
      <c r="G1713" s="59" t="n"/>
      <c r="H1713" s="59" t="n"/>
      <c r="I1713" s="59" t="inlineStr">
        <is>
          <t>76.133.111-6</t>
        </is>
      </c>
      <c r="J1713" s="59" t="inlineStr">
        <is>
          <t>Andamiaje Gran Escala Infraestructura</t>
        </is>
      </c>
      <c r="K1713" s="59" t="inlineStr">
        <is>
          <t>Ventas: GRANDE 2 (200.000 - 600.000 UF) | Empleados: 32</t>
        </is>
      </c>
      <c r="L1713" s="61" t="n"/>
      <c r="M1713" s="61" t="n"/>
      <c r="N1713" s="61" t="n"/>
      <c r="O1713" s="61" t="n"/>
      <c r="P1713" s="61" t="n"/>
      <c r="Q1713" s="62" t="n"/>
      <c r="R1713" s="61" t="n"/>
    </row>
    <row r="1714" ht="15.75" customHeight="1" s="38">
      <c r="A1714" s="59" t="inlineStr">
        <is>
          <t>Scan Global Logistics Chile S.A.</t>
        </is>
      </c>
      <c r="B1714" s="59" t="inlineStr">
        <is>
          <t>Transporte Internacional</t>
        </is>
      </c>
      <c r="C1714" s="59" t="inlineStr">
        <is>
          <t>Santiago</t>
        </is>
      </c>
      <c r="D1714" s="59" t="n"/>
      <c r="E1714" s="59" t="inlineStr">
        <is>
          <t>(56) 2 2938 3550</t>
        </is>
      </c>
      <c r="F1714" s="59" t="inlineStr">
        <is>
          <t>Eduardo Valenzuela (IT Manager Chile)</t>
        </is>
      </c>
      <c r="G1714" s="59" t="inlineStr">
        <is>
          <t>edva@scangl.com</t>
        </is>
      </c>
      <c r="H1714" s="59" t="n"/>
      <c r="I1714" s="59" t="inlineStr">
        <is>
          <t>76.041.117-5</t>
        </is>
      </c>
      <c r="J1714" s="59" t="inlineStr">
        <is>
          <t>Investigación en Proceso</t>
        </is>
      </c>
      <c r="K1714" s="59" t="inlineStr">
        <is>
          <t>Ventas: GRANDE 3 (600.000 - 1.000.000 UF) | Empleados: 39</t>
        </is>
      </c>
      <c r="L1714" s="61" t="n"/>
      <c r="M1714" s="61" t="n"/>
      <c r="N1714" s="61" t="n"/>
      <c r="O1714" s="61" t="n"/>
      <c r="P1714" s="61" t="n"/>
      <c r="Q1714" s="62" t="n"/>
      <c r="R1714" s="61" t="n"/>
    </row>
    <row r="1715" ht="15.75" customHeight="1" s="38">
      <c r="A1715" s="59" t="inlineStr">
        <is>
          <t>Scanavini S.A.</t>
        </is>
      </c>
      <c r="B1715" s="59" t="inlineStr">
        <is>
          <t>Candados para Alta Seguridad</t>
        </is>
      </c>
      <c r="C1715" s="59" t="inlineStr">
        <is>
          <t>Santiago</t>
        </is>
      </c>
      <c r="D1715" s="59" t="inlineStr">
        <is>
          <t>info@scanavini.com</t>
        </is>
      </c>
      <c r="E1715" s="59" t="inlineStr">
        <is>
          <t>(56) 2 2829 0100</t>
        </is>
      </c>
      <c r="F1715" s="59" t="inlineStr">
        <is>
          <t>Manuel Garrido (Jefe de Sistemas)</t>
        </is>
      </c>
      <c r="G1715" s="59" t="inlineStr">
        <is>
          <t>mgarrido@scanavini.cl</t>
        </is>
      </c>
      <c r="H1715" s="59" t="n"/>
      <c r="I1715" s="59" t="inlineStr">
        <is>
          <t>79.831.880-2</t>
        </is>
      </c>
      <c r="J1715" s="59" t="inlineStr">
        <is>
          <t>Investigación en Proceso</t>
        </is>
      </c>
      <c r="K1715" s="59" t="inlineStr">
        <is>
          <t>Ventas: GRANDE 3 (600.000 - 1.000.000 UF) | Empleados: 73</t>
        </is>
      </c>
      <c r="L1715" s="61" t="n"/>
      <c r="M1715" s="61" t="n"/>
      <c r="N1715" s="61" t="n"/>
      <c r="O1715" s="61" t="n"/>
      <c r="P1715" s="61" t="n"/>
      <c r="Q1715" s="62" t="n"/>
      <c r="R1715" s="61" t="n"/>
    </row>
    <row r="1716" ht="15.75" customHeight="1" s="38">
      <c r="A1716" s="59" t="inlineStr">
        <is>
          <t>Scancontrols</t>
        </is>
      </c>
      <c r="B1716" s="59" t="inlineStr">
        <is>
          <t>Reparación de Válvulas, Válvulas</t>
        </is>
      </c>
      <c r="C1716" s="59" t="inlineStr">
        <is>
          <t>Santiago</t>
        </is>
      </c>
      <c r="D1716" s="59" t="inlineStr">
        <is>
          <t>infonorte@scancontrols.cl</t>
        </is>
      </c>
      <c r="E1716" s="59" t="inlineStr">
        <is>
          <t>(56) 9 5169 7887</t>
        </is>
      </c>
      <c r="F1716" s="59" t="inlineStr">
        <is>
          <t>Patricio Soto (Jefe de Informática)</t>
        </is>
      </c>
      <c r="G1716" s="59" t="inlineStr">
        <is>
          <t>psoto@scancontrols.cl</t>
        </is>
      </c>
      <c r="H1716" s="59" t="n"/>
      <c r="I1716" s="59" t="inlineStr">
        <is>
          <t>77.572.850-7</t>
        </is>
      </c>
      <c r="J1716" s="59" t="inlineStr">
        <is>
          <t>Investigación en Proceso</t>
        </is>
      </c>
      <c r="K1716" s="59" t="inlineStr">
        <is>
          <t>Ventas: GRANDE 3 (600.000 - 1.000.000 UF) | Empleados: 92</t>
        </is>
      </c>
      <c r="L1716" s="61" t="n"/>
      <c r="M1716" s="61" t="n"/>
      <c r="N1716" s="61" t="n"/>
      <c r="O1716" s="61" t="n"/>
      <c r="P1716" s="61" t="n"/>
      <c r="Q1716" s="62" t="n"/>
      <c r="R1716" s="61" t="n"/>
    </row>
    <row r="1717" ht="15.75" customHeight="1" s="38">
      <c r="A1717" s="66" t="inlineStr">
        <is>
          <t>Scania Chile</t>
        </is>
      </c>
      <c r="B1717" s="66" t="inlineStr">
        <is>
          <t>Buses, Camiones, Sistemas de Gestión de Flotas</t>
        </is>
      </c>
      <c r="C1717" s="66" t="inlineStr">
        <is>
          <t>Santiago</t>
        </is>
      </c>
      <c r="D1717" s="66" t="inlineStr">
        <is>
          <t>scania.chile@scania.com</t>
        </is>
      </c>
      <c r="E1717" s="66" t="inlineStr">
        <is>
          <t>(56) 2 2636 1600</t>
        </is>
      </c>
      <c r="F1717" s="66" t="n"/>
      <c r="G1717" s="66" t="n"/>
      <c r="H1717" s="66" t="n"/>
      <c r="I1717" s="66" t="inlineStr">
        <is>
          <t>96.538.460-K</t>
        </is>
      </c>
      <c r="J1717" s="66" t="n"/>
      <c r="K1717" s="66" t="inlineStr">
        <is>
          <t>Ventas: GRANDE (Estimado por Empleados) | Empleados: 554</t>
        </is>
      </c>
      <c r="L1717" s="61" t="n"/>
      <c r="M1717" s="61" t="n"/>
      <c r="N1717" s="61" t="n"/>
      <c r="O1717" s="61" t="n"/>
      <c r="P1717" s="61" t="n"/>
      <c r="Q1717" s="62" t="n"/>
      <c r="R1717" s="61" t="n"/>
    </row>
    <row r="1718" ht="15.75" customHeight="1" s="38">
      <c r="A1718" s="66" t="inlineStr">
        <is>
          <t>Schaeffler Chile Rodamientos Ltda.</t>
        </is>
      </c>
      <c r="B1718" s="66" t="inlineStr">
        <is>
          <t>Rodamientos, Servicios de Análisis de Vibraciones</t>
        </is>
      </c>
      <c r="C1718" s="66" t="inlineStr">
        <is>
          <t>Santiago</t>
        </is>
      </c>
      <c r="D1718" s="66" t="inlineStr">
        <is>
          <t>info-chile@schaeffler.com</t>
        </is>
      </c>
      <c r="E1718" s="66" t="inlineStr">
        <is>
          <t>(56) 2 2477 5000</t>
        </is>
      </c>
      <c r="F1718" s="66" t="n"/>
      <c r="G1718" s="66" t="n"/>
      <c r="H1718" s="66" t="n"/>
      <c r="I1718" s="66" t="inlineStr">
        <is>
          <t>76.281.830-2</t>
        </is>
      </c>
      <c r="J1718" s="66" t="n"/>
      <c r="K1718" s="66" t="inlineStr">
        <is>
          <t>Ventas: GRANDE 1 (100.000 - 200.000 UF) | Empleados: 19</t>
        </is>
      </c>
      <c r="L1718" s="61" t="n"/>
      <c r="M1718" s="61" t="n"/>
      <c r="N1718" s="61" t="n"/>
      <c r="O1718" s="61" t="n"/>
      <c r="P1718" s="61" t="n"/>
      <c r="Q1718" s="62" t="n"/>
      <c r="R1718" s="61" t="n"/>
    </row>
    <row r="1719" ht="15.75" customHeight="1" s="38">
      <c r="A1719" s="66" t="inlineStr">
        <is>
          <t>Schaffner S.A.</t>
        </is>
      </c>
      <c r="B1719" s="66" t="inlineStr">
        <is>
          <t>Portaconductores Eléctricos, Transformadores Eléctricos</t>
        </is>
      </c>
      <c r="C1719" s="66" t="inlineStr">
        <is>
          <t>Santiago</t>
        </is>
      </c>
      <c r="D1719" s="66" t="inlineStr">
        <is>
          <t>comercial@schaffner.cl</t>
        </is>
      </c>
      <c r="E1719" s="66" t="inlineStr">
        <is>
          <t>(56) 2 2560 2600</t>
        </is>
      </c>
      <c r="F1719" s="66" t="n"/>
      <c r="G1719" s="66" t="n"/>
      <c r="H1719" s="66" t="n"/>
      <c r="I1719" s="66" t="inlineStr">
        <is>
          <t>89.091.900-6</t>
        </is>
      </c>
      <c r="J1719" s="66" t="n"/>
      <c r="K1719" s="66" t="inlineStr">
        <is>
          <t>Ventas: GRANDE 1 (100.000 - 200.000 UF) | Empleados: 48</t>
        </is>
      </c>
      <c r="L1719" s="61" t="n"/>
      <c r="M1719" s="61" t="n"/>
      <c r="N1719" s="61" t="n"/>
      <c r="O1719" s="61" t="n"/>
      <c r="P1719" s="61" t="n"/>
      <c r="Q1719" s="62" t="n"/>
      <c r="R1719" s="61" t="n"/>
    </row>
    <row r="1720" ht="15.75" customHeight="1" s="38">
      <c r="A1720" s="59" t="inlineStr">
        <is>
          <t>Scharfstein S.A.</t>
        </is>
      </c>
      <c r="B1720" s="59" t="inlineStr">
        <is>
          <t>Comunicaciones, Equipos para Seguridad, Sistemas de Control y Seguridad</t>
        </is>
      </c>
      <c r="C1720" s="59" t="inlineStr">
        <is>
          <t>Santiago</t>
        </is>
      </c>
      <c r="D1720" s="59" t="inlineStr">
        <is>
          <t>ventas@scharfstein.cl</t>
        </is>
      </c>
      <c r="E1720" s="59" t="inlineStr">
        <is>
          <t>(56) 2 2550 0000</t>
        </is>
      </c>
      <c r="F1720" s="59" t="inlineStr">
        <is>
          <t>Pablo San Martín Delgado (Encargado IT e Infraestructura)</t>
        </is>
      </c>
      <c r="G1720" s="59" t="inlineStr">
        <is>
          <t>p.sanmartin@scharfstein.cl</t>
        </is>
      </c>
      <c r="H1720" s="59" t="n"/>
      <c r="I1720" s="59" t="inlineStr">
        <is>
          <t>92.734.000-3</t>
        </is>
      </c>
      <c r="J1720" s="59" t="inlineStr">
        <is>
          <t>Investigación en Proceso</t>
        </is>
      </c>
      <c r="K1720" s="59" t="inlineStr">
        <is>
          <t>Ventas: GRANDE 3 (600.000 - 1.000.000 UF) | Empleados: 138</t>
        </is>
      </c>
      <c r="L1720" s="61" t="n"/>
      <c r="M1720" s="61" t="n"/>
      <c r="N1720" s="61" t="n"/>
      <c r="O1720" s="61" t="n"/>
      <c r="P1720" s="61" t="n"/>
      <c r="Q1720" s="62" t="n"/>
      <c r="R1720" s="61" t="n"/>
    </row>
    <row r="1721" ht="15.75" customHeight="1" s="38">
      <c r="A1721" s="66" t="inlineStr">
        <is>
          <t>Schindler Chile S.A.</t>
        </is>
      </c>
      <c r="B1721" s="66" t="inlineStr">
        <is>
          <t>Ascensores</t>
        </is>
      </c>
      <c r="C1721" s="66" t="inlineStr">
        <is>
          <t>Santiago</t>
        </is>
      </c>
      <c r="D1721" s="66" t="n"/>
      <c r="E1721" s="66" t="inlineStr">
        <is>
          <t>(56) 2 2753 7700</t>
        </is>
      </c>
      <c r="F1721" s="66" t="n"/>
      <c r="G1721" s="66" t="n"/>
      <c r="H1721" s="66" t="n"/>
      <c r="I1721" s="66" t="inlineStr">
        <is>
          <t>93.565.000-3</t>
        </is>
      </c>
      <c r="J1721" s="66" t="n"/>
      <c r="K1721" s="66" t="inlineStr">
        <is>
          <t>Ventas: GRANDE (Estimado por Empleados) | Empleados: 590</t>
        </is>
      </c>
      <c r="L1721" s="61" t="n"/>
      <c r="M1721" s="61" t="n"/>
      <c r="N1721" s="61" t="n"/>
      <c r="O1721" s="61" t="n"/>
      <c r="P1721" s="61" t="n"/>
      <c r="Q1721" s="62" t="n"/>
      <c r="R1721" s="61" t="n"/>
    </row>
    <row r="1722" ht="15.75" customHeight="1" s="38">
      <c r="A1722" s="66" t="inlineStr">
        <is>
          <t>Schneider Electric Chile S.A.</t>
        </is>
      </c>
      <c r="B1722" s="66" t="inlineStr">
        <is>
          <t>Almacenamiento de Energía Solar, Software para Automatización y Análisis de Procesos</t>
        </is>
      </c>
      <c r="C1722" s="66" t="inlineStr">
        <is>
          <t>Santiago</t>
        </is>
      </c>
      <c r="D1722" s="66" t="n"/>
      <c r="E1722" s="66" t="inlineStr">
        <is>
          <t>(56) 2 2465 7000</t>
        </is>
      </c>
      <c r="F1722" s="66" t="n"/>
      <c r="G1722" s="66" t="n"/>
      <c r="H1722" s="66" t="n"/>
      <c r="I1722" s="66" t="inlineStr">
        <is>
          <t>96.592.740-9</t>
        </is>
      </c>
      <c r="J1722" s="66" t="n"/>
      <c r="K1722" s="66" t="inlineStr">
        <is>
          <t>Ventas: GRANDE (Estimado por Empleados) | Empleados: 334</t>
        </is>
      </c>
      <c r="L1722" s="61" t="n"/>
      <c r="M1722" s="61" t="n"/>
      <c r="N1722" s="61" t="n"/>
      <c r="O1722" s="61" t="n"/>
      <c r="P1722" s="61" t="n"/>
      <c r="Q1722" s="62" t="n"/>
      <c r="R1722" s="61" t="n"/>
    </row>
    <row r="1723" ht="15.75" customHeight="1" s="38">
      <c r="A1723" s="66" t="inlineStr">
        <is>
          <t>Schultz Automatización e Ingeniería</t>
        </is>
      </c>
      <c r="B1723" s="66" t="inlineStr">
        <is>
          <t>Automatización, Válvulas</t>
        </is>
      </c>
      <c r="C1723" s="66" t="inlineStr">
        <is>
          <t>Santiago</t>
        </is>
      </c>
      <c r="D1723" s="66" t="inlineStr">
        <is>
          <t>schultz@schultzautomatizacion.cl</t>
        </is>
      </c>
      <c r="E1723" s="66" t="inlineStr">
        <is>
          <t>(56) 2 2495 1420</t>
        </is>
      </c>
      <c r="F1723" s="66" t="n"/>
      <c r="G1723" s="66" t="n"/>
      <c r="H1723" s="66" t="n"/>
      <c r="I1723" s="66" t="inlineStr">
        <is>
          <t>77.101.500-K</t>
        </is>
      </c>
      <c r="J1723" s="66" t="n"/>
      <c r="K1723" s="66" t="inlineStr">
        <is>
          <t>Ventas: GRANDE 1 (100.000 - 200.000 UF) | Empleados: 44</t>
        </is>
      </c>
      <c r="L1723" s="61" t="n"/>
      <c r="M1723" s="61" t="n"/>
      <c r="N1723" s="61" t="n"/>
      <c r="O1723" s="61" t="n"/>
      <c r="P1723" s="61" t="n"/>
      <c r="Q1723" s="62" t="n"/>
      <c r="R1723" s="61" t="n"/>
    </row>
    <row r="1724" ht="15.75" customHeight="1" s="38">
      <c r="A1724" s="66" t="inlineStr">
        <is>
          <t>Schwager</t>
        </is>
      </c>
      <c r="B1724" s="66" t="inlineStr">
        <is>
          <t>Proveedor Destacado, Plantas de Tratamiento de Residuos, Salas de Control y Monitoreo, Salas Eléctricas, Servicios de Operación de Equipos Mineros, Tecnología y Equipos de Ultima Generación marca Denyo y Be Energy</t>
        </is>
      </c>
      <c r="C1724" s="66" t="inlineStr">
        <is>
          <t>Rancagua</t>
        </is>
      </c>
      <c r="D1724" s="66" t="inlineStr">
        <is>
          <t>comunicaciones@schwager.cl</t>
        </is>
      </c>
      <c r="E1724" s="66" t="inlineStr">
        <is>
          <t>(56) 72 297 5760</t>
        </is>
      </c>
      <c r="F1724" s="66" t="n"/>
      <c r="G1724" s="66" t="n"/>
      <c r="H1724" s="66" t="inlineStr">
        <is>
          <t>http://www.schwager.cl</t>
        </is>
      </c>
      <c r="I1724" s="66" t="inlineStr">
        <is>
          <t>76.145.047-6</t>
        </is>
      </c>
      <c r="J1724" s="66" t="n"/>
      <c r="K1724" s="66" t="inlineStr">
        <is>
          <t>Ventas: GRANDE (Estimado por Empleados) | Empleados: 3797</t>
        </is>
      </c>
      <c r="L1724" s="61" t="n"/>
      <c r="M1724" s="61" t="n"/>
      <c r="N1724" s="61" t="n"/>
      <c r="O1724" s="61" t="n"/>
      <c r="P1724" s="61" t="n"/>
      <c r="Q1724" s="62" t="n"/>
      <c r="R1724" s="61" t="n"/>
    </row>
    <row r="1725" ht="15.75" customHeight="1" s="38">
      <c r="A1725" s="66" t="inlineStr">
        <is>
          <t>SCM El Abra</t>
        </is>
      </c>
      <c r="B1725" s="66" t="inlineStr">
        <is>
          <t>Cátodos de Cobre</t>
        </is>
      </c>
      <c r="C1725" s="66" t="inlineStr">
        <is>
          <t>Calama</t>
        </is>
      </c>
      <c r="D1725" s="66" t="inlineStr">
        <is>
          <t>fcx_communications@fmi.com</t>
        </is>
      </c>
      <c r="E1725" s="66" t="inlineStr">
        <is>
          <t>(56) 55 281 8720</t>
        </is>
      </c>
      <c r="F1725" s="66" t="n"/>
      <c r="G1725" s="66" t="n"/>
      <c r="H1725" s="66" t="n"/>
      <c r="I1725" s="66" t="inlineStr">
        <is>
          <t>96.701.340-4</t>
        </is>
      </c>
      <c r="J1725" s="66" t="n"/>
      <c r="K1725" s="66" t="inlineStr">
        <is>
          <t>Ventas: GRANDE (Estimado por Empleados) | Empleados: 1451</t>
        </is>
      </c>
      <c r="L1725" s="61" t="n"/>
      <c r="M1725" s="61" t="n"/>
      <c r="N1725" s="61" t="n"/>
      <c r="O1725" s="61" t="n"/>
      <c r="P1725" s="61" t="n"/>
      <c r="Q1725" s="62" t="n"/>
      <c r="R1725" s="61" t="n"/>
    </row>
    <row r="1726" ht="15.75" customHeight="1" s="38">
      <c r="A1726" s="66" t="inlineStr">
        <is>
          <t>Scontrol</t>
        </is>
      </c>
      <c r="B1726" s="66" t="inlineStr">
        <is>
          <t>Sistemas de Control Remoto Inalámbrico, Sistemas de Pesaje en Equipos Móviles y Puentes Grúa</t>
        </is>
      </c>
      <c r="C1726" s="66" t="inlineStr">
        <is>
          <t>Santiago</t>
        </is>
      </c>
      <c r="D1726" s="66" t="inlineStr">
        <is>
          <t>alorca@scontrol.cl</t>
        </is>
      </c>
      <c r="E1726" s="66" t="inlineStr">
        <is>
          <t>(56) 2 2952 7966</t>
        </is>
      </c>
      <c r="F1726" s="66" t="n"/>
      <c r="G1726" s="66" t="n"/>
      <c r="H1726" s="66" t="n"/>
      <c r="I1726" s="66" t="inlineStr">
        <is>
          <t>76.324.172-6</t>
        </is>
      </c>
      <c r="J1726" s="66" t="n"/>
      <c r="K1726" s="66" t="inlineStr">
        <is>
          <t>Ventas: MEDIANA 2 (50.000 - 100.000 UF) | Empleados: 15</t>
        </is>
      </c>
      <c r="L1726" s="61" t="n"/>
      <c r="M1726" s="61" t="n"/>
      <c r="N1726" s="61" t="n"/>
      <c r="O1726" s="61" t="n"/>
      <c r="P1726" s="61" t="n"/>
      <c r="Q1726" s="62" t="n"/>
      <c r="R1726" s="61" t="n"/>
    </row>
    <row r="1727" ht="15.75" customHeight="1" s="38">
      <c r="A1727" s="66" t="inlineStr">
        <is>
          <t>SCS Ltda.</t>
        </is>
      </c>
      <c r="B1727" s="66" t="inlineStr">
        <is>
          <t>Topografía</t>
        </is>
      </c>
      <c r="C1727" s="66" t="inlineStr">
        <is>
          <t>Santiago</t>
        </is>
      </c>
      <c r="D1727" s="66" t="inlineStr">
        <is>
          <t>ddomancic@scsltda.cl</t>
        </is>
      </c>
      <c r="E1727" s="66" t="inlineStr">
        <is>
          <t>(56) 2 2223 8627</t>
        </is>
      </c>
      <c r="F1727" s="66" t="n"/>
      <c r="G1727" s="66" t="n"/>
      <c r="H1727" s="66" t="n"/>
      <c r="I1727" s="66" t="inlineStr">
        <is>
          <t>77.834.590-0</t>
        </is>
      </c>
      <c r="J1727" s="66" t="n"/>
      <c r="K1727" s="66" t="inlineStr">
        <is>
          <t>Ventas: GRANDE 2 (200.000 - 600.000 UF) | Empleados: 221</t>
        </is>
      </c>
      <c r="L1727" s="61" t="n"/>
      <c r="M1727" s="61" t="n"/>
      <c r="N1727" s="61" t="n"/>
      <c r="O1727" s="61" t="n"/>
      <c r="P1727" s="61" t="n"/>
      <c r="Q1727" s="62" t="n"/>
      <c r="R1727" s="61" t="n"/>
    </row>
    <row r="1728" ht="15.75" customHeight="1" s="38">
      <c r="A1728" s="66" t="inlineStr">
        <is>
          <t>Seacom Ltda.</t>
        </is>
      </c>
      <c r="B1728" s="66" t="inlineStr">
        <is>
          <t>Capturadores de Información</t>
        </is>
      </c>
      <c r="C1728" s="66" t="inlineStr">
        <is>
          <t>Santiago</t>
        </is>
      </c>
      <c r="D1728" s="66" t="inlineStr">
        <is>
          <t>ventas@seacom.cl</t>
        </is>
      </c>
      <c r="E1728" s="66" t="inlineStr">
        <is>
          <t>(56) 2 2235 7927</t>
        </is>
      </c>
      <c r="F1728" s="66" t="n"/>
      <c r="G1728" s="66" t="n"/>
      <c r="H1728" s="66" t="n"/>
      <c r="I1728" s="66" t="inlineStr">
        <is>
          <t>78.133.350-6</t>
        </is>
      </c>
      <c r="J1728" s="66" t="n"/>
      <c r="K1728" s="66" t="inlineStr">
        <is>
          <t>Ventas: MEDIANA 2 (50.000 - 100.000 UF) | Empleados: 9</t>
        </is>
      </c>
      <c r="L1728" s="61" t="n"/>
      <c r="M1728" s="61" t="n"/>
      <c r="N1728" s="61" t="n"/>
      <c r="O1728" s="61" t="n"/>
      <c r="P1728" s="61" t="n"/>
      <c r="Q1728" s="62" t="n"/>
      <c r="R1728" s="61" t="n"/>
    </row>
    <row r="1729" ht="15.75" customHeight="1" s="38">
      <c r="A1729" s="66" t="inlineStr">
        <is>
          <t>Seequent Chile SpA</t>
        </is>
      </c>
      <c r="B1729" s="66" t="inlineStr">
        <is>
          <t>Capacitación en Modelos Geológicos, Software</t>
        </is>
      </c>
      <c r="C1729" s="66" t="inlineStr">
        <is>
          <t>Santiago</t>
        </is>
      </c>
      <c r="D1729" s="66" t="inlineStr">
        <is>
          <t>support@seequent.com</t>
        </is>
      </c>
      <c r="E1729" s="66" t="inlineStr">
        <is>
          <t>(56) 2 3202 6533</t>
        </is>
      </c>
      <c r="F1729" s="66" t="n"/>
      <c r="G1729" s="66" t="n"/>
      <c r="H1729" s="66" t="n"/>
      <c r="I1729" s="66" t="inlineStr">
        <is>
          <t>76.410.022-0</t>
        </is>
      </c>
      <c r="J1729" s="66" t="n"/>
      <c r="K1729" s="66" t="inlineStr">
        <is>
          <t>Ventas: MEDIANA 2 (50.000 - 100.000 UF) | Empleados: 20</t>
        </is>
      </c>
      <c r="L1729" s="61" t="n"/>
      <c r="M1729" s="61" t="n"/>
      <c r="N1729" s="61" t="n"/>
      <c r="O1729" s="61" t="n"/>
      <c r="P1729" s="61" t="n"/>
      <c r="Q1729" s="62" t="n"/>
      <c r="R1729" s="61" t="n"/>
    </row>
    <row r="1730" ht="15.75" customHeight="1" s="38">
      <c r="A1730" s="66" t="inlineStr">
        <is>
          <t>Segacy SpA</t>
        </is>
      </c>
      <c r="B1730" s="66" t="inlineStr">
        <is>
          <t>Transformación Digital</t>
        </is>
      </c>
      <c r="C1730" s="66" t="inlineStr">
        <is>
          <t>Santiago</t>
        </is>
      </c>
      <c r="D1730" s="66" t="n"/>
      <c r="E1730" s="66" t="inlineStr">
        <is>
          <t>(56) 2 2993 2718</t>
        </is>
      </c>
      <c r="F1730" s="66" t="n"/>
      <c r="G1730" s="66" t="n"/>
      <c r="H1730" s="66" t="n"/>
      <c r="I1730" s="66" t="inlineStr">
        <is>
          <t>76.023.369-2</t>
        </is>
      </c>
      <c r="J1730" s="66" t="n"/>
      <c r="K1730" s="66" t="inlineStr">
        <is>
          <t>Ventas: MICRO 1 (0.01 - 200 UF) | Empleados: 0</t>
        </is>
      </c>
      <c r="L1730" s="61" t="n"/>
      <c r="M1730" s="61" t="n"/>
      <c r="N1730" s="61" t="n"/>
      <c r="O1730" s="61" t="n"/>
      <c r="P1730" s="61" t="n"/>
      <c r="Q1730" s="62" t="n"/>
      <c r="R1730" s="61" t="n"/>
    </row>
    <row r="1731" ht="15.75" customHeight="1" s="38">
      <c r="A1731" s="66" t="inlineStr">
        <is>
          <t>Segurycel</t>
        </is>
      </c>
      <c r="B1731" s="66" t="inlineStr">
        <is>
          <t>Artículos para Protección Personal</t>
        </is>
      </c>
      <c r="C1731" s="66" t="inlineStr">
        <is>
          <t>Santiago</t>
        </is>
      </c>
      <c r="D1731" s="66" t="inlineStr">
        <is>
          <t>MiCotizacion@segurycel.cl</t>
        </is>
      </c>
      <c r="E1731" s="66" t="inlineStr">
        <is>
          <t>(56) 2 2707 5701</t>
        </is>
      </c>
      <c r="F1731" s="66" t="n"/>
      <c r="G1731" s="66" t="n"/>
      <c r="H1731" s="66" t="n"/>
      <c r="I1731" s="66" t="inlineStr">
        <is>
          <t>99.510.910-7</t>
        </is>
      </c>
      <c r="J1731" s="66" t="n"/>
      <c r="K1731" s="66" t="inlineStr">
        <is>
          <t>Ventas: GRANDE (Estimado por Empleados) | Empleados: 479</t>
        </is>
      </c>
      <c r="L1731" s="61" t="n"/>
      <c r="M1731" s="61" t="n"/>
      <c r="N1731" s="61" t="n"/>
      <c r="O1731" s="61" t="n"/>
      <c r="P1731" s="61" t="n"/>
      <c r="Q1731" s="62" t="n"/>
      <c r="R1731" s="61" t="n"/>
    </row>
    <row r="1732" ht="15.75" customHeight="1" s="38">
      <c r="A1732" s="66" t="inlineStr">
        <is>
          <t>Sein Ltda.</t>
        </is>
      </c>
      <c r="B1732" s="66" t="inlineStr">
        <is>
          <t>Señalética Vial</t>
        </is>
      </c>
      <c r="C1732" s="66" t="inlineStr">
        <is>
          <t>Viña del Mar</t>
        </is>
      </c>
      <c r="D1732" s="66" t="inlineStr">
        <is>
          <t>info@seinltda.cl</t>
        </is>
      </c>
      <c r="E1732" s="66" t="inlineStr">
        <is>
          <t>(56) 32 319 5983</t>
        </is>
      </c>
      <c r="F1732" s="66" t="n"/>
      <c r="G1732" s="66" t="n"/>
      <c r="H1732" s="66" t="n"/>
      <c r="I1732" s="66" t="inlineStr">
        <is>
          <t>78.393.560-0</t>
        </is>
      </c>
      <c r="J1732" s="66" t="n"/>
      <c r="K1732" s="66" t="inlineStr">
        <is>
          <t>Ventas: GRANDE 1 (100.000 - 200.000 UF) | Empleados: 12</t>
        </is>
      </c>
      <c r="L1732" s="61" t="n"/>
      <c r="M1732" s="61" t="n"/>
      <c r="N1732" s="61" t="n"/>
      <c r="O1732" s="61" t="n"/>
      <c r="P1732" s="61" t="n"/>
      <c r="Q1732" s="62" t="n"/>
      <c r="R1732" s="61" t="n"/>
    </row>
    <row r="1733" ht="15.75" customHeight="1" s="38">
      <c r="A1733" s="66" t="inlineStr">
        <is>
          <t>Seing Ingeniería SpA</t>
        </is>
      </c>
      <c r="B1733" s="66" t="inlineStr">
        <is>
          <t>Servicios Oleo Hidráulicos</t>
        </is>
      </c>
      <c r="C1733" s="66" t="inlineStr">
        <is>
          <t>Concepción</t>
        </is>
      </c>
      <c r="D1733" s="66" t="inlineStr">
        <is>
          <t>ventas@seingspa.cl</t>
        </is>
      </c>
      <c r="E1733" s="66" t="inlineStr">
        <is>
          <t>(56) 9 9465 8564</t>
        </is>
      </c>
      <c r="F1733" s="66" t="n"/>
      <c r="G1733" s="66" t="n"/>
      <c r="H1733" s="66" t="n"/>
      <c r="I1733" s="66" t="inlineStr">
        <is>
          <t>76.022.806-0</t>
        </is>
      </c>
      <c r="J1733" s="66" t="n"/>
      <c r="K1733" s="66" t="inlineStr">
        <is>
          <t>Ventas: MICRO 3 (600 - 2.400 UF) | Empleados: 0</t>
        </is>
      </c>
      <c r="L1733" s="61" t="n"/>
      <c r="M1733" s="61" t="n"/>
      <c r="N1733" s="61" t="n"/>
      <c r="O1733" s="61" t="n"/>
      <c r="P1733" s="61" t="n"/>
      <c r="Q1733" s="62" t="n"/>
      <c r="R1733" s="61" t="n"/>
    </row>
    <row r="1734" ht="15.75" customHeight="1" s="38">
      <c r="A1734" s="66" t="inlineStr">
        <is>
          <t>Seis S.A.</t>
        </is>
      </c>
      <c r="B1734" s="66" t="inlineStr">
        <is>
          <t>Sistemas Eléctricos de Potencia</t>
        </is>
      </c>
      <c r="C1734" s="66" t="inlineStr">
        <is>
          <t>Santiago</t>
        </is>
      </c>
      <c r="D1734" s="66" t="inlineStr">
        <is>
          <t>contacto@distrocuyo.com</t>
        </is>
      </c>
      <c r="E1734" s="66" t="inlineStr">
        <is>
          <t>(56) 2 2231 2781</t>
        </is>
      </c>
      <c r="F1734" s="66" t="n"/>
      <c r="G1734" s="66" t="n"/>
      <c r="H1734" s="66" t="n"/>
      <c r="I1734" s="66" t="inlineStr">
        <is>
          <t>77908337-3</t>
        </is>
      </c>
      <c r="J1734" s="66" t="n"/>
      <c r="K1734" s="66" t="inlineStr">
        <is>
          <t>Ventas: MICRO 2 (200 - 600 UF) | Empleados: 0</t>
        </is>
      </c>
      <c r="L1734" s="61" t="n"/>
      <c r="M1734" s="61" t="n"/>
      <c r="N1734" s="61" t="n"/>
      <c r="O1734" s="61" t="n"/>
      <c r="P1734" s="61" t="n"/>
      <c r="Q1734" s="62" t="n"/>
      <c r="R1734" s="61" t="n"/>
    </row>
    <row r="1735" ht="15.75" customHeight="1" s="38">
      <c r="A1735" s="66" t="inlineStr">
        <is>
          <t>Semperit Group</t>
        </is>
      </c>
      <c r="B1735" s="66" t="inlineStr">
        <is>
          <t>Cintas Transportadoras, Suministro de Áridos, Suministro de Cemento, Suministro de Hormigón</t>
        </is>
      </c>
      <c r="C1735" s="66" t="inlineStr">
        <is>
          <t>Santiago</t>
        </is>
      </c>
      <c r="D1735" s="66" t="inlineStr">
        <is>
          <t>office@semperitgroup.com</t>
        </is>
      </c>
      <c r="E1735" s="66" t="inlineStr">
        <is>
          <t>(56) 9 5326 8665</t>
        </is>
      </c>
      <c r="F1735" s="66" t="n"/>
      <c r="G1735" s="66" t="n"/>
      <c r="H1735" s="66" t="n"/>
      <c r="I1735" s="66" t="inlineStr">
        <is>
          <t>93.248.000-K</t>
        </is>
      </c>
      <c r="J1735" s="66" t="n"/>
      <c r="K1735" s="66" t="inlineStr">
        <is>
          <t>Ventas: GRANDE (Estimado por Empleados) | Empleados: 623</t>
        </is>
      </c>
      <c r="L1735" s="61" t="n"/>
      <c r="M1735" s="61" t="n"/>
      <c r="N1735" s="61" t="n"/>
      <c r="O1735" s="61" t="n"/>
      <c r="P1735" s="61" t="n"/>
      <c r="Q1735" s="62" t="n"/>
      <c r="R1735" s="61" t="n"/>
    </row>
    <row r="1736" ht="15.75" customHeight="1" s="38">
      <c r="A1736" s="66" t="inlineStr">
        <is>
          <t>Senavin SpA</t>
        </is>
      </c>
      <c r="B1736" s="66" t="inlineStr">
        <is>
          <t>Tratamiento de Residuos Industriales</t>
        </is>
      </c>
      <c r="C1736" s="66" t="inlineStr">
        <is>
          <t>Santiago</t>
        </is>
      </c>
      <c r="D1736" s="66" t="inlineStr">
        <is>
          <t>senavin@senavin.cl</t>
        </is>
      </c>
      <c r="E1736" s="66" t="inlineStr">
        <is>
          <t>(56) 2 2535 2355</t>
        </is>
      </c>
      <c r="F1736" s="66" t="n"/>
      <c r="G1736" s="66" t="n"/>
      <c r="H1736" s="66" t="n"/>
      <c r="I1736" s="66" t="inlineStr">
        <is>
          <t>78.269.080-9</t>
        </is>
      </c>
      <c r="J1736" s="66" t="n"/>
      <c r="K1736" s="66" t="inlineStr">
        <is>
          <t>Ventas: GRANDE 2 (200.000 - 600.000 UF) | Empleados: 176</t>
        </is>
      </c>
      <c r="L1736" s="61" t="n"/>
      <c r="M1736" s="61" t="n"/>
      <c r="N1736" s="61" t="n"/>
      <c r="O1736" s="61" t="n"/>
      <c r="P1736" s="61" t="n"/>
      <c r="Q1736" s="62" t="n"/>
      <c r="R1736" s="61" t="n"/>
    </row>
    <row r="1737" ht="15.75" customHeight="1" s="38">
      <c r="A1737" s="66" t="inlineStr">
        <is>
          <t>Senegocia</t>
        </is>
      </c>
      <c r="B1737" s="66" t="inlineStr">
        <is>
          <t>Proveedor Destacado, Portal de Negocios y Abastecimiento</t>
        </is>
      </c>
      <c r="C1737" s="66" t="inlineStr">
        <is>
          <t>Santiago</t>
        </is>
      </c>
      <c r="D1737" s="66" t="inlineStr">
        <is>
          <t>contactos@senegocia.com</t>
        </is>
      </c>
      <c r="E1737" s="66" t="inlineStr">
        <is>
          <t>(56) 2 2923 8700</t>
        </is>
      </c>
      <c r="F1737" s="66" t="n"/>
      <c r="G1737" s="66" t="n"/>
      <c r="H1737" s="66" t="inlineStr">
        <is>
          <t>http://www.senegocia.com</t>
        </is>
      </c>
      <c r="I1737" s="66" t="inlineStr">
        <is>
          <t>96.868.900-2</t>
        </is>
      </c>
      <c r="J1737" s="66" t="n"/>
      <c r="K1737" s="66" t="inlineStr">
        <is>
          <t>Ventas: GRANDE 1 (100.000 - 200.000 UF) | Empleados: 56</t>
        </is>
      </c>
      <c r="L1737" s="61" t="n"/>
      <c r="M1737" s="61" t="n"/>
      <c r="N1737" s="61" t="n"/>
      <c r="O1737" s="61" t="n"/>
      <c r="P1737" s="61" t="n"/>
      <c r="Q1737" s="62" t="n"/>
      <c r="R1737" s="61" t="n"/>
    </row>
    <row r="1738" ht="15.75" customHeight="1" s="38">
      <c r="A1738" s="66" t="inlineStr">
        <is>
          <t>Sensorica Industrial SpA</t>
        </is>
      </c>
      <c r="B1738" s="66" t="inlineStr">
        <is>
          <t>Sensores</t>
        </is>
      </c>
      <c r="C1738" s="66" t="inlineStr">
        <is>
          <t>Santiago</t>
        </is>
      </c>
      <c r="D1738" s="66" t="inlineStr">
        <is>
          <t>ventas@sensorica.cl</t>
        </is>
      </c>
      <c r="E1738" s="66" t="inlineStr">
        <is>
          <t>(56) 2 2748 2023</t>
        </is>
      </c>
      <c r="F1738" s="66" t="n"/>
      <c r="G1738" s="66" t="n"/>
      <c r="H1738" s="66" t="n"/>
      <c r="I1738" s="66" t="inlineStr">
        <is>
          <t>76.164.842-K</t>
        </is>
      </c>
      <c r="J1738" s="66" t="n"/>
      <c r="K1738" s="66" t="inlineStr">
        <is>
          <t>Ventas: MEDIANA 1 (25.000 - 50.000 UF) | Empleados: 7</t>
        </is>
      </c>
      <c r="L1738" s="61" t="n"/>
      <c r="M1738" s="61" t="n"/>
      <c r="N1738" s="61" t="n"/>
      <c r="O1738" s="61" t="n"/>
      <c r="P1738" s="61" t="n"/>
      <c r="Q1738" s="62" t="n"/>
      <c r="R1738" s="61" t="n"/>
    </row>
    <row r="1739" ht="15.75" customHeight="1" s="38">
      <c r="A1739" s="66" t="inlineStr">
        <is>
          <t>Serbo Ltda.</t>
        </is>
      </c>
      <c r="B1739" s="66" t="inlineStr">
        <is>
          <t>Componentes Hidráulicos, Reparación de Equipos Hidráulicos</t>
        </is>
      </c>
      <c r="C1739" s="66" t="inlineStr">
        <is>
          <t>Santiago</t>
        </is>
      </c>
      <c r="D1739" s="66" t="inlineStr">
        <is>
          <t>contacto@serbo.cl</t>
        </is>
      </c>
      <c r="E1739" s="66" t="inlineStr">
        <is>
          <t>(56) 2 2854 5366</t>
        </is>
      </c>
      <c r="F1739" s="66" t="n"/>
      <c r="G1739" s="66" t="n"/>
      <c r="H1739" s="66" t="n"/>
      <c r="I1739" s="66" t="inlineStr">
        <is>
          <t>77.253.800-6</t>
        </is>
      </c>
      <c r="J1739" s="66" t="n"/>
      <c r="K1739" s="66" t="inlineStr">
        <is>
          <t>Ventas: MEDIANA 2 (50.000 - 100.000 UF) | Empleados: 20</t>
        </is>
      </c>
      <c r="L1739" s="61" t="n"/>
      <c r="M1739" s="61" t="n"/>
      <c r="N1739" s="61" t="n"/>
      <c r="O1739" s="61" t="n"/>
      <c r="P1739" s="61" t="n"/>
      <c r="Q1739" s="62" t="n"/>
      <c r="R1739" s="61" t="n"/>
    </row>
    <row r="1740" ht="15.75" customHeight="1" s="38">
      <c r="A1740" s="66" t="inlineStr">
        <is>
          <t>Serminsa S.A.</t>
        </is>
      </c>
      <c r="B1740" s="66" t="inlineStr">
        <is>
          <t>Repuestos para Equipos de Perforación, Repuestos para Equipos Frontales</t>
        </is>
      </c>
      <c r="C1740" s="66" t="inlineStr">
        <is>
          <t>Santiago</t>
        </is>
      </c>
      <c r="D1740" s="66" t="inlineStr">
        <is>
          <t>info@serminsa.cl</t>
        </is>
      </c>
      <c r="E1740" s="66" t="inlineStr">
        <is>
          <t>(56) 2 2745 3960</t>
        </is>
      </c>
      <c r="F1740" s="66" t="n"/>
      <c r="G1740" s="66" t="n"/>
      <c r="H1740" s="66" t="n"/>
      <c r="I1740" s="66" t="inlineStr">
        <is>
          <t>76.148.248-3</t>
        </is>
      </c>
      <c r="J1740" s="66" t="n"/>
      <c r="K1740" s="66" t="inlineStr">
        <is>
          <t>Ventas: MICRO 2 (200 - 600 UF) | Empleados: 0</t>
        </is>
      </c>
      <c r="L1740" s="61" t="n"/>
      <c r="M1740" s="61" t="n"/>
      <c r="N1740" s="61" t="n"/>
      <c r="O1740" s="61" t="n"/>
      <c r="P1740" s="61" t="n"/>
      <c r="Q1740" s="62" t="n"/>
      <c r="R1740" s="61" t="n"/>
    </row>
    <row r="1741" ht="15.75" customHeight="1" s="38">
      <c r="A1741" s="66" t="inlineStr">
        <is>
          <t>Sermyjor Ltda.</t>
        </is>
      </c>
      <c r="B1741" s="66" t="inlineStr">
        <is>
          <t>Contratistas para la Minería</t>
        </is>
      </c>
      <c r="C1741" s="66" t="inlineStr">
        <is>
          <t>Calama</t>
        </is>
      </c>
      <c r="D1741" s="66" t="inlineStr">
        <is>
          <t>administracion@sermyjor.cl</t>
        </is>
      </c>
      <c r="E1741" s="66" t="inlineStr">
        <is>
          <t>(56) 9 4403 8401</t>
        </is>
      </c>
      <c r="F1741" s="66" t="n"/>
      <c r="G1741" s="66" t="n"/>
      <c r="H1741" s="66" t="n"/>
      <c r="I1741" s="66" t="inlineStr">
        <is>
          <t>76.782.430-0</t>
        </is>
      </c>
      <c r="J1741" s="66" t="n"/>
      <c r="K1741" s="66" t="inlineStr">
        <is>
          <t>Ventas: GRANDE 2 (200.000 - 600.000 UF) | Empleados: 305</t>
        </is>
      </c>
      <c r="L1741" s="61" t="n"/>
      <c r="M1741" s="61" t="n"/>
      <c r="N1741" s="61" t="n"/>
      <c r="O1741" s="61" t="n"/>
      <c r="P1741" s="61" t="n"/>
      <c r="Q1741" s="62" t="n"/>
      <c r="R1741" s="61" t="n"/>
    </row>
    <row r="1742" ht="15.75" customHeight="1" s="38">
      <c r="A1742" s="59" t="inlineStr">
        <is>
          <t>Serpram S.A.</t>
        </is>
      </c>
      <c r="B1742" s="59" t="inlineStr">
        <is>
          <t>Equipos para Mediciones Ambientales</t>
        </is>
      </c>
      <c r="C1742" s="59" t="inlineStr">
        <is>
          <t>Santiago</t>
        </is>
      </c>
      <c r="D1742" s="59" t="inlineStr">
        <is>
          <t>contacto.serpram.chile@suez.com</t>
        </is>
      </c>
      <c r="E1742" s="59" t="inlineStr">
        <is>
          <t>(56) 9 4469 6615</t>
        </is>
      </c>
      <c r="F1742" s="59" t="inlineStr">
        <is>
          <t>Andrés Patricio Lagunas Andrade (TIC Manager)</t>
        </is>
      </c>
      <c r="G1742" s="59" t="inlineStr">
        <is>
          <t>a.lagunas@serpram.cl</t>
        </is>
      </c>
      <c r="H1742" s="59" t="n"/>
      <c r="I1742" s="59" t="inlineStr">
        <is>
          <t>96.799.790-0</t>
        </is>
      </c>
      <c r="J1742" s="59" t="inlineStr">
        <is>
          <t>Investigación en Proceso</t>
        </is>
      </c>
      <c r="K1742" s="59" t="inlineStr">
        <is>
          <t>Ventas: GRANDE 3 (600.000 - 1.000.000 UF) | Empleados: 119</t>
        </is>
      </c>
      <c r="L1742" s="61" t="n"/>
      <c r="M1742" s="61" t="n"/>
      <c r="N1742" s="61" t="n"/>
      <c r="O1742" s="61" t="n"/>
      <c r="P1742" s="61" t="n"/>
      <c r="Q1742" s="62" t="n"/>
      <c r="R1742" s="61" t="n"/>
    </row>
    <row r="1743" ht="15.75" customHeight="1" s="38">
      <c r="A1743" s="66" t="inlineStr">
        <is>
          <t>Serviall</t>
        </is>
      </c>
      <c r="B1743" s="66" t="inlineStr">
        <is>
          <t>Proveedor Destacado, Administración de Bodegas, Administración de Contratos, Administración de Pañoles, Artículos para la Minería, Automatización de Bodegas, Automatización de Procesos, Automatización y Control, Carros de Ferretería Móvil, Control de Recepción y Despacho de Productos</t>
        </is>
      </c>
      <c r="C1743" s="66" t="inlineStr">
        <is>
          <t>Santiago</t>
        </is>
      </c>
      <c r="D1743" s="66" t="inlineStr">
        <is>
          <t>ventas@serviall.cl</t>
        </is>
      </c>
      <c r="E1743" s="66" t="inlineStr">
        <is>
          <t>(56) 9 4046 6607</t>
        </is>
      </c>
      <c r="F1743" s="66" t="inlineStr">
        <is>
          <t>Gerente de TI / CIO (Director de Tecnología)</t>
        </is>
      </c>
      <c r="G1743" s="66" t="n"/>
      <c r="H1743" s="66" t="inlineStr">
        <is>
          <t>http://www.serviall.cl</t>
        </is>
      </c>
      <c r="I1743" s="66" t="inlineStr">
        <is>
          <t>76.035.324-8</t>
        </is>
      </c>
      <c r="J1743" s="66" t="n"/>
      <c r="K1743" s="66" t="inlineStr">
        <is>
          <t>Ventas: GRANDE 4 (Mas de 1.000.000 UF) | Empleados: 301</t>
        </is>
      </c>
      <c r="L1743" s="61" t="n"/>
      <c r="M1743" s="61" t="n"/>
      <c r="N1743" s="61" t="n"/>
      <c r="O1743" s="61" t="n"/>
      <c r="P1743" s="61" t="n"/>
      <c r="Q1743" s="62" t="n"/>
      <c r="R1743" s="61" t="n"/>
    </row>
    <row r="1744" ht="15.75" customHeight="1" s="38">
      <c r="A1744" s="66" t="inlineStr">
        <is>
          <t>Servicio Aerofotogramétrico SAF</t>
        </is>
      </c>
      <c r="B1744" s="66" t="inlineStr">
        <is>
          <t>Cartografía</t>
        </is>
      </c>
      <c r="C1744" s="66" t="inlineStr">
        <is>
          <t>Santiago</t>
        </is>
      </c>
      <c r="D1744" s="66" t="inlineStr">
        <is>
          <t>saf@saf.cl</t>
        </is>
      </c>
      <c r="E1744" s="66" t="inlineStr">
        <is>
          <t>(56) 2 2976 9343</t>
        </is>
      </c>
      <c r="F1744" s="66" t="n"/>
      <c r="G1744" s="66" t="n"/>
      <c r="H1744" s="66" t="n"/>
      <c r="I1744" s="66" t="inlineStr">
        <is>
          <t>61.103.018-5</t>
        </is>
      </c>
      <c r="J1744" s="66" t="n"/>
      <c r="K1744" s="66" t="inlineStr">
        <is>
          <t>Ventas: PEQUEÑA 3 (10.000 - 25.000 UF) | Empleados: 3</t>
        </is>
      </c>
      <c r="L1744" s="61" t="n"/>
      <c r="M1744" s="61" t="n"/>
      <c r="N1744" s="61" t="n"/>
      <c r="O1744" s="61" t="n"/>
      <c r="P1744" s="61" t="n"/>
      <c r="Q1744" s="62" t="n"/>
      <c r="R1744" s="61" t="n"/>
    </row>
    <row r="1745" ht="15.75" customHeight="1" s="38">
      <c r="A1745" s="66" t="inlineStr">
        <is>
          <t>Servicios Austral Santiago S.A.</t>
        </is>
      </c>
      <c r="B1745" s="66" t="inlineStr">
        <is>
          <t>Bombeo de Hormigón, Robots para Shotcrete</t>
        </is>
      </c>
      <c r="C1745" s="66" t="inlineStr">
        <is>
          <t>Santiago</t>
        </is>
      </c>
      <c r="D1745" s="66" t="inlineStr">
        <is>
          <t>contacto@serviciosaustral.cl</t>
        </is>
      </c>
      <c r="E1745" s="66" t="inlineStr">
        <is>
          <t>(56) 2 2738 9333</t>
        </is>
      </c>
      <c r="F1745" s="66" t="n"/>
      <c r="G1745" s="66" t="n"/>
      <c r="H1745" s="66" t="n"/>
      <c r="I1745" s="66" t="inlineStr">
        <is>
          <t>76.116.970-K</t>
        </is>
      </c>
      <c r="J1745" s="66" t="n"/>
      <c r="K1745" s="66" t="inlineStr">
        <is>
          <t>Ventas: GRANDE 1 (100.000 - 200.000 UF) | Empleados: 73</t>
        </is>
      </c>
      <c r="L1745" s="61" t="n"/>
      <c r="M1745" s="61" t="n"/>
      <c r="N1745" s="61" t="n"/>
      <c r="O1745" s="61" t="n"/>
      <c r="P1745" s="61" t="n"/>
      <c r="Q1745" s="62" t="n"/>
      <c r="R1745" s="61" t="n"/>
    </row>
    <row r="1746" ht="15.75" customHeight="1" s="38">
      <c r="A1746" s="66" t="inlineStr">
        <is>
          <t>Servicios Tirreau y Cía. Ltda.</t>
        </is>
      </c>
      <c r="B1746" s="66" t="inlineStr">
        <is>
          <t>Compresores</t>
        </is>
      </c>
      <c r="C1746" s="66" t="inlineStr">
        <is>
          <t>Santiago</t>
        </is>
      </c>
      <c r="D1746" s="66" t="inlineStr">
        <is>
          <t>ventas.santiago@tirreau.cl</t>
        </is>
      </c>
      <c r="E1746" s="66" t="inlineStr">
        <is>
          <t>(56) 2 2303 9930</t>
        </is>
      </c>
      <c r="F1746" s="66" t="n"/>
      <c r="G1746" s="66" t="n"/>
      <c r="H1746" s="66" t="n"/>
      <c r="I1746" s="66" t="inlineStr">
        <is>
          <t>76.039.285-5</t>
        </is>
      </c>
      <c r="J1746" s="66" t="n"/>
      <c r="K1746" s="66" t="inlineStr">
        <is>
          <t>Ventas: GRANDE 3 (600.000 - 1.000.000 UF) | Empleados: 181</t>
        </is>
      </c>
      <c r="L1746" s="61" t="n"/>
      <c r="M1746" s="61" t="n"/>
      <c r="N1746" s="61" t="n"/>
      <c r="O1746" s="61" t="n"/>
      <c r="P1746" s="61" t="n"/>
      <c r="Q1746" s="62" t="n"/>
      <c r="R1746" s="61" t="n"/>
    </row>
    <row r="1747" ht="15.75" customHeight="1" s="38">
      <c r="A1747" s="66" t="inlineStr">
        <is>
          <t>Servicomp SpA</t>
        </is>
      </c>
      <c r="B1747" s="66" t="inlineStr">
        <is>
          <t>Compresores para Aire</t>
        </is>
      </c>
      <c r="C1747" s="66" t="inlineStr">
        <is>
          <t>Santiago</t>
        </is>
      </c>
      <c r="D1747" s="66" t="inlineStr">
        <is>
          <t>ventas@servicomp.cl</t>
        </is>
      </c>
      <c r="E1747" s="66" t="inlineStr">
        <is>
          <t>(56) 2 2889 4700</t>
        </is>
      </c>
      <c r="F1747" s="66" t="n"/>
      <c r="G1747" s="66" t="n"/>
      <c r="H1747" s="66" t="n"/>
      <c r="I1747" s="66" t="inlineStr">
        <is>
          <t>79.603.770-9</t>
        </is>
      </c>
      <c r="J1747" s="66" t="n"/>
      <c r="K1747" s="66" t="inlineStr">
        <is>
          <t>Ventas: GRANDE 1 (100.000 - 200.000 UF) | Empleados: 38</t>
        </is>
      </c>
      <c r="L1747" s="61" t="n"/>
      <c r="M1747" s="61" t="n"/>
      <c r="N1747" s="61" t="n"/>
      <c r="O1747" s="61" t="n"/>
      <c r="P1747" s="61" t="n"/>
      <c r="Q1747" s="62" t="n"/>
      <c r="R1747" s="61" t="n"/>
    </row>
    <row r="1748" ht="15.75" customHeight="1" s="38">
      <c r="A1748" s="66" t="inlineStr">
        <is>
          <t>Servige SpA</t>
        </is>
      </c>
      <c r="B1748" s="66" t="inlineStr">
        <is>
          <t>Análisis de Vibraciones</t>
        </is>
      </c>
      <c r="C1748" s="66" t="inlineStr">
        <is>
          <t>Santiago</t>
        </is>
      </c>
      <c r="D1748" s="66" t="inlineStr">
        <is>
          <t>ventas@servige.cl</t>
        </is>
      </c>
      <c r="E1748" s="66" t="inlineStr">
        <is>
          <t>(56) 9 9519 5971</t>
        </is>
      </c>
      <c r="F1748" s="66" t="n"/>
      <c r="G1748" s="66" t="n"/>
      <c r="H1748" s="66" t="n"/>
      <c r="I1748" s="66" t="inlineStr">
        <is>
          <t>76.537.536-3</t>
        </is>
      </c>
      <c r="J1748" s="66" t="n"/>
      <c r="K1748" s="66" t="inlineStr">
        <is>
          <t>Ventas: MEDIANA 1 (25.000 - 50.000 UF) | Empleados: 18</t>
        </is>
      </c>
      <c r="L1748" s="61" t="n"/>
      <c r="M1748" s="61" t="n"/>
      <c r="N1748" s="61" t="n"/>
      <c r="O1748" s="61" t="n"/>
      <c r="P1748" s="61" t="n"/>
      <c r="Q1748" s="62" t="n"/>
      <c r="R1748" s="61" t="n"/>
    </row>
    <row r="1749" ht="15.75" customHeight="1" s="38">
      <c r="A1749" s="66" t="inlineStr">
        <is>
          <t>Servirep</t>
        </is>
      </c>
      <c r="B1749" s="66" t="inlineStr">
        <is>
          <t>Equipamiento Minero</t>
        </is>
      </c>
      <c r="C1749" s="66" t="inlineStr">
        <is>
          <t>Antofagasta</t>
        </is>
      </c>
      <c r="D1749" s="66" t="inlineStr">
        <is>
          <t>contacto@servirep.cl</t>
        </is>
      </c>
      <c r="E1749" s="66" t="inlineStr">
        <is>
          <t>(56) 55 237 3913</t>
        </is>
      </c>
      <c r="F1749" s="66" t="n"/>
      <c r="G1749" s="66" t="n"/>
      <c r="H1749" s="66" t="n"/>
      <c r="I1749" s="66" t="inlineStr">
        <is>
          <t>77.920.000-0</t>
        </is>
      </c>
      <c r="J1749" s="66" t="n"/>
      <c r="K1749" s="66" t="inlineStr">
        <is>
          <t>Ventas: GRANDE 2 (200.000 - 600.000 UF) | Empleados: 17</t>
        </is>
      </c>
      <c r="L1749" s="61" t="n"/>
      <c r="M1749" s="61" t="n"/>
      <c r="N1749" s="61" t="n"/>
      <c r="O1749" s="61" t="n"/>
      <c r="P1749" s="61" t="n"/>
      <c r="Q1749" s="62" t="n"/>
      <c r="R1749" s="61" t="n"/>
    </row>
    <row r="1750" ht="15.75" customHeight="1" s="38">
      <c r="A1750" s="66" t="inlineStr">
        <is>
          <t>Servisold Maquinarias Ltda.</t>
        </is>
      </c>
      <c r="B1750" s="66" t="inlineStr">
        <is>
          <t>Arriendo de Grupos Electrógenos</t>
        </is>
      </c>
      <c r="C1750" s="66" t="inlineStr">
        <is>
          <t>Santiago</t>
        </is>
      </c>
      <c r="D1750" s="66" t="inlineStr">
        <is>
          <t>ventas@servisold.cl</t>
        </is>
      </c>
      <c r="E1750" s="66" t="inlineStr">
        <is>
          <t>(56) 2 2295 4613</t>
        </is>
      </c>
      <c r="F1750" s="66" t="n"/>
      <c r="G1750" s="66" t="n"/>
      <c r="H1750" s="66" t="n"/>
      <c r="I1750" s="66" t="inlineStr">
        <is>
          <t>76.819.926-4</t>
        </is>
      </c>
      <c r="J1750" s="66" t="n"/>
      <c r="K1750" s="66" t="inlineStr">
        <is>
          <t>Ventas: MICRO 1 (0.01 - 200 UF) | Empleados: 0</t>
        </is>
      </c>
      <c r="L1750" s="61" t="n"/>
      <c r="M1750" s="61" t="n"/>
      <c r="N1750" s="61" t="n"/>
      <c r="O1750" s="61" t="n"/>
      <c r="P1750" s="61" t="n"/>
      <c r="Q1750" s="62" t="n"/>
      <c r="R1750" s="61" t="n"/>
    </row>
    <row r="1751" ht="15.75" customHeight="1" s="38">
      <c r="A1751" s="66" t="inlineStr">
        <is>
          <t>Servitech SpA</t>
        </is>
      </c>
      <c r="B1751" s="66" t="inlineStr">
        <is>
          <t>Cableado Estructurado, Servicios de Seguridad Electrónica, Sistemas de Control de Acceso y Gestión de Pasajeros</t>
        </is>
      </c>
      <c r="C1751" s="66" t="inlineStr">
        <is>
          <t>Santiago</t>
        </is>
      </c>
      <c r="D1751" s="66" t="inlineStr">
        <is>
          <t>acedeno@servitechspa.cl</t>
        </is>
      </c>
      <c r="E1751" s="66" t="inlineStr">
        <is>
          <t>(56) 9 4730 3195</t>
        </is>
      </c>
      <c r="F1751" s="66" t="n"/>
      <c r="G1751" s="66" t="n"/>
      <c r="H1751" s="66" t="n"/>
      <c r="I1751" s="66" t="inlineStr">
        <is>
          <t>77.009.967-6</t>
        </is>
      </c>
      <c r="J1751" s="66" t="n"/>
      <c r="K1751" s="66" t="inlineStr">
        <is>
          <t>Ventas: PEQUEÑA 3 (10.000 - 25.000 UF) | Empleados: 8</t>
        </is>
      </c>
      <c r="L1751" s="61" t="n"/>
      <c r="M1751" s="61" t="n"/>
      <c r="N1751" s="61" t="n"/>
      <c r="O1751" s="61" t="n"/>
      <c r="P1751" s="61" t="n"/>
      <c r="Q1751" s="62" t="n"/>
      <c r="R1751" s="61" t="n"/>
    </row>
    <row r="1752" ht="15.75" customHeight="1" s="38">
      <c r="A1752" s="66" t="inlineStr">
        <is>
          <t>Sew Eurodrive Chile Ltda.</t>
        </is>
      </c>
      <c r="B1752" s="66" t="inlineStr">
        <is>
          <t>Reductores</t>
        </is>
      </c>
      <c r="C1752" s="66" t="inlineStr">
        <is>
          <t>Santiago</t>
        </is>
      </c>
      <c r="D1752" s="66" t="inlineStr">
        <is>
          <t>ventas@sew-eurodrive.cl</t>
        </is>
      </c>
      <c r="E1752" s="66" t="inlineStr">
        <is>
          <t>(56) 2 2757 7000</t>
        </is>
      </c>
      <c r="F1752" s="66" t="inlineStr">
        <is>
          <t>Gerente de TI / CIO (Director de Tecnología)</t>
        </is>
      </c>
      <c r="G1752" s="66" t="n"/>
      <c r="H1752" s="66" t="n"/>
      <c r="I1752" s="66" t="inlineStr">
        <is>
          <t>78.075.630-6</t>
        </is>
      </c>
      <c r="J1752" s="66" t="n"/>
      <c r="K1752" s="66" t="inlineStr">
        <is>
          <t>Ventas: GRANDE 4 (Mas de 1.000.000 UF) | Empleados: 107</t>
        </is>
      </c>
      <c r="L1752" s="61" t="n"/>
      <c r="M1752" s="61" t="n"/>
      <c r="N1752" s="61" t="n"/>
      <c r="O1752" s="61" t="n"/>
      <c r="P1752" s="61" t="n"/>
      <c r="Q1752" s="62" t="n"/>
      <c r="R1752" s="61" t="n"/>
    </row>
    <row r="1753" ht="15.75" customHeight="1" s="38">
      <c r="A1753" s="66" t="inlineStr">
        <is>
          <t>SGS Minerals S.A.</t>
        </is>
      </c>
      <c r="B1753" s="66" t="inlineStr">
        <is>
          <t>Servicios de Certificación y Capacitación, Servicios de Inspección, Ensayos y Consultoría</t>
        </is>
      </c>
      <c r="C1753" s="66" t="inlineStr">
        <is>
          <t>Santiago</t>
        </is>
      </c>
      <c r="D1753" s="66" t="n"/>
      <c r="E1753" s="66" t="inlineStr">
        <is>
          <t>(56) 2 2898 9582</t>
        </is>
      </c>
      <c r="F1753" s="66" t="n"/>
      <c r="G1753" s="66" t="n"/>
      <c r="H1753" s="66" t="n"/>
      <c r="I1753" s="66" t="inlineStr">
        <is>
          <t>96.671.880-3</t>
        </is>
      </c>
      <c r="J1753" s="66" t="n"/>
      <c r="K1753" s="66" t="inlineStr">
        <is>
          <t>Ventas: No en base SII | Empleados: S/I</t>
        </is>
      </c>
      <c r="L1753" s="61" t="n"/>
      <c r="M1753" s="61" t="n"/>
      <c r="N1753" s="61" t="n"/>
      <c r="O1753" s="61" t="n"/>
      <c r="P1753" s="61" t="n"/>
      <c r="Q1753" s="62" t="n"/>
      <c r="R1753" s="61" t="n"/>
    </row>
    <row r="1754" ht="15.75" customHeight="1" s="38">
      <c r="A1754" s="66" t="inlineStr">
        <is>
          <t>Shaw Almex Chile SpA</t>
        </is>
      </c>
      <c r="B1754" s="66" t="inlineStr">
        <is>
          <t>Equipos para Diagnóstico y Monitoreo de Cortes de Correas Transportadoras</t>
        </is>
      </c>
      <c r="C1754" s="66" t="inlineStr">
        <is>
          <t>Santiago</t>
        </is>
      </c>
      <c r="D1754" s="66" t="inlineStr">
        <is>
          <t>claudio.berrios@almex.com</t>
        </is>
      </c>
      <c r="E1754" s="66" t="inlineStr">
        <is>
          <t>(56) 2 2745 3969</t>
        </is>
      </c>
      <c r="F1754" s="66" t="n"/>
      <c r="G1754" s="66" t="n"/>
      <c r="H1754" s="66" t="n"/>
      <c r="I1754" s="66" t="inlineStr">
        <is>
          <t>99.578.050-K</t>
        </is>
      </c>
      <c r="J1754" s="66" t="n"/>
      <c r="K1754" s="66" t="inlineStr">
        <is>
          <t>Ventas: GRANDE 1 (100.000 - 200.000 UF) | Empleados: 140</t>
        </is>
      </c>
      <c r="L1754" s="61" t="n"/>
      <c r="M1754" s="61" t="n"/>
      <c r="N1754" s="61" t="n"/>
      <c r="O1754" s="61" t="n"/>
      <c r="P1754" s="61" t="n"/>
      <c r="Q1754" s="62" t="n"/>
      <c r="R1754" s="61" t="n"/>
    </row>
    <row r="1755" ht="15.75" customHeight="1" s="38">
      <c r="A1755" s="66" t="inlineStr">
        <is>
          <t>Sheck</t>
        </is>
      </c>
      <c r="B1755" s="66" t="inlineStr">
        <is>
          <t>Artículos para Seguridad, Equipos para Seguridad</t>
        </is>
      </c>
      <c r="C1755" s="66" t="inlineStr">
        <is>
          <t>Calera de Tango</t>
        </is>
      </c>
      <c r="D1755" s="66" t="inlineStr">
        <is>
          <t>ventas@sheck.cl</t>
        </is>
      </c>
      <c r="E1755" s="66" t="inlineStr">
        <is>
          <t>(56) 2 2896 3570</t>
        </is>
      </c>
      <c r="F1755" s="66" t="n"/>
      <c r="G1755" s="66" t="n"/>
      <c r="H1755" s="66" t="n"/>
      <c r="I1755" s="66" t="inlineStr">
        <is>
          <t>76.106.693-5</t>
        </is>
      </c>
      <c r="J1755" s="66" t="n"/>
      <c r="K1755" s="66" t="inlineStr">
        <is>
          <t>Ventas: PEQUEÑA 1 (2.400 - 5.000 UF) | Empleados: 0</t>
        </is>
      </c>
      <c r="L1755" s="61" t="n"/>
      <c r="M1755" s="61" t="n"/>
      <c r="N1755" s="61" t="n"/>
      <c r="O1755" s="61" t="n"/>
      <c r="P1755" s="61" t="n"/>
      <c r="Q1755" s="62" t="n"/>
      <c r="R1755" s="61" t="n"/>
    </row>
    <row r="1756" ht="15.75" customHeight="1" s="38">
      <c r="A1756" s="66" t="inlineStr">
        <is>
          <t>Sherwin Williams S.A.</t>
        </is>
      </c>
      <c r="B1756" s="66" t="inlineStr">
        <is>
          <t>Revestimientos</t>
        </is>
      </c>
      <c r="C1756" s="66" t="inlineStr">
        <is>
          <t>Santiago</t>
        </is>
      </c>
      <c r="D1756" s="66" t="inlineStr">
        <is>
          <t>servicioalcliente@sherwin.cl</t>
        </is>
      </c>
      <c r="E1756" s="66" t="inlineStr">
        <is>
          <t>600 200 1222</t>
        </is>
      </c>
      <c r="F1756" s="66" t="n"/>
      <c r="G1756" s="66" t="n"/>
      <c r="H1756" s="66" t="n"/>
      <c r="I1756" s="66" t="inlineStr">
        <is>
          <t>96.803.460-K</t>
        </is>
      </c>
      <c r="J1756" s="66" t="n"/>
      <c r="K1756" s="66" t="inlineStr">
        <is>
          <t>Ventas: GRANDE (Estimado por Empleados) | Empleados: 692</t>
        </is>
      </c>
      <c r="L1756" s="61" t="n"/>
      <c r="M1756" s="61" t="n"/>
      <c r="N1756" s="61" t="n"/>
      <c r="O1756" s="61" t="n"/>
      <c r="P1756" s="61" t="n"/>
      <c r="Q1756" s="62" t="n"/>
      <c r="R1756" s="61" t="n"/>
    </row>
    <row r="1757" ht="15.75" customHeight="1" s="38">
      <c r="A1757" s="59" t="inlineStr">
        <is>
          <t>Shimin Ingeniería SpA</t>
        </is>
      </c>
      <c r="B1757" s="59" t="inlineStr">
        <is>
          <t>Proyectos de Ingeniería, Transporte de Fluidos</t>
        </is>
      </c>
      <c r="C1757" s="59" t="inlineStr">
        <is>
          <t>Santiago</t>
        </is>
      </c>
      <c r="D1757" s="59" t="inlineStr">
        <is>
          <t>shimin@shimin.cl</t>
        </is>
      </c>
      <c r="E1757" s="59" t="inlineStr">
        <is>
          <t>(56) 2 2449 0360</t>
        </is>
      </c>
      <c r="F1757" s="59" t="inlineStr">
        <is>
          <t>Luis Humberto Ilabarca (Gerente Proyectos)</t>
        </is>
      </c>
      <c r="G1757" s="59" t="n"/>
      <c r="H1757" s="59" t="n"/>
      <c r="I1757" s="59" t="inlineStr">
        <is>
          <t>76.257.428-4</t>
        </is>
      </c>
      <c r="J1757" s="59" t="inlineStr">
        <is>
          <t>Ingeniería Minera &amp; Gestión Relaves</t>
        </is>
      </c>
      <c r="K1757" s="59" t="inlineStr">
        <is>
          <t>Ventas: GRANDE 2 (200.000 - 600.000 UF) | Empleados: 163</t>
        </is>
      </c>
      <c r="L1757" s="61" t="n"/>
      <c r="M1757" s="61" t="n"/>
      <c r="N1757" s="61" t="n"/>
      <c r="O1757" s="61" t="n"/>
      <c r="P1757" s="61" t="n"/>
      <c r="Q1757" s="62" t="n"/>
      <c r="R1757" s="61" t="n"/>
    </row>
    <row r="1758" ht="15.75" customHeight="1" s="38">
      <c r="A1758" s="59" t="inlineStr">
        <is>
          <t>Sick SpA</t>
        </is>
      </c>
      <c r="B1758" s="59" t="inlineStr">
        <is>
          <t>Electricidad y Electrónica Industrial, Equipos para Automatización y Control, Sistemas para Automatización</t>
        </is>
      </c>
      <c r="C1758" s="59" t="inlineStr">
        <is>
          <t>Santiago</t>
        </is>
      </c>
      <c r="D1758" s="59" t="inlineStr">
        <is>
          <t>chile@sick.com</t>
        </is>
      </c>
      <c r="E1758" s="59" t="inlineStr">
        <is>
          <t>(56) 2 2274 7430</t>
        </is>
      </c>
      <c r="F1758" s="59" t="inlineStr">
        <is>
          <t>Jared Alfaro (Head Product Management)</t>
        </is>
      </c>
      <c r="G1758" s="59" t="n"/>
      <c r="H1758" s="59" t="n"/>
      <c r="I1758" s="59" t="inlineStr">
        <is>
          <t>85.572.900-8</t>
        </is>
      </c>
      <c r="J1758" s="59" t="inlineStr">
        <is>
          <t>Inteligencia Sensores &amp; IoT Industrial</t>
        </is>
      </c>
      <c r="K1758" s="59" t="inlineStr">
        <is>
          <t>Ventas: GRANDE 2 (200.000 - 600.000 UF) | Empleados: 50</t>
        </is>
      </c>
      <c r="L1758" s="61" t="n"/>
      <c r="M1758" s="61" t="n"/>
      <c r="N1758" s="61" t="n"/>
      <c r="O1758" s="61" t="n"/>
      <c r="P1758" s="61" t="n"/>
      <c r="Q1758" s="62" t="n"/>
      <c r="R1758" s="61" t="n"/>
    </row>
    <row r="1759" ht="15.75" customHeight="1" s="38">
      <c r="A1759" s="66" t="inlineStr">
        <is>
          <t>Sicomaq Ltda.</t>
        </is>
      </c>
      <c r="B1759" s="66" t="inlineStr">
        <is>
          <t>Construcción de Obras Viales</t>
        </is>
      </c>
      <c r="C1759" s="66" t="inlineStr">
        <is>
          <t>Santiago</t>
        </is>
      </c>
      <c r="D1759" s="66" t="inlineStr">
        <is>
          <t>contacto@sicomaq.cl</t>
        </is>
      </c>
      <c r="E1759" s="66" t="inlineStr">
        <is>
          <t>(56) 2 2578 2800</t>
        </is>
      </c>
      <c r="F1759" s="66" t="n"/>
      <c r="G1759" s="66" t="n"/>
      <c r="H1759" s="66" t="n"/>
      <c r="I1759" s="66" t="inlineStr">
        <is>
          <t>79.730.570-7</t>
        </is>
      </c>
      <c r="J1759" s="66" t="n"/>
      <c r="K1759" s="66" t="inlineStr">
        <is>
          <t>Ventas: GRANDE (Estimado por Empleados) | Empleados: 1903</t>
        </is>
      </c>
      <c r="L1759" s="61" t="n"/>
      <c r="M1759" s="61" t="n"/>
      <c r="N1759" s="61" t="n"/>
      <c r="O1759" s="61" t="n"/>
      <c r="P1759" s="61" t="n"/>
      <c r="Q1759" s="62" t="n"/>
      <c r="R1759" s="61" t="n"/>
    </row>
    <row r="1760" ht="15.75" customHeight="1" s="38">
      <c r="A1760" s="66" t="inlineStr">
        <is>
          <t>SID Servicios Integrales Diesel</t>
        </is>
      </c>
      <c r="B1760" s="66" t="inlineStr">
        <is>
          <t>Reparación de Motores Diesel</t>
        </is>
      </c>
      <c r="C1760" s="66" t="inlineStr">
        <is>
          <t>Santiago</t>
        </is>
      </c>
      <c r="D1760" s="66" t="inlineStr">
        <is>
          <t>ventas@sidchile.cl</t>
        </is>
      </c>
      <c r="E1760" s="66" t="inlineStr">
        <is>
          <t>(56) 2 2641 6555</t>
        </is>
      </c>
      <c r="F1760" s="66" t="n"/>
      <c r="G1760" s="66" t="n"/>
      <c r="H1760" s="66" t="n"/>
      <c r="I1760" s="66" t="inlineStr">
        <is>
          <t>77.019.640-K</t>
        </is>
      </c>
      <c r="J1760" s="66" t="n"/>
      <c r="K1760" s="66" t="inlineStr">
        <is>
          <t>Ventas: MEDIANA 2 (50.000 - 100.000 UF) | Empleados: 15</t>
        </is>
      </c>
      <c r="L1760" s="61" t="n"/>
      <c r="M1760" s="61" t="n"/>
      <c r="N1760" s="61" t="n"/>
      <c r="O1760" s="61" t="n"/>
      <c r="P1760" s="61" t="n"/>
      <c r="Q1760" s="62" t="n"/>
      <c r="R1760" s="61" t="n"/>
    </row>
    <row r="1761" ht="15.75" customHeight="1" s="38">
      <c r="A1761" s="66" t="inlineStr">
        <is>
          <t>Siderúrgica Huachipato</t>
        </is>
      </c>
      <c r="B1761" s="66" t="inlineStr">
        <is>
          <t>Acero, Aceros Especiales, Alambrón, Barras de Molienda, Barras Helicoidales, Barras para Hormigón, Barras para Molienda, Barras Varias, Cal, Caliza, Coque</t>
        </is>
      </c>
      <c r="C1761" s="66" t="inlineStr">
        <is>
          <t>Talcahuano</t>
        </is>
      </c>
      <c r="D1761" s="66" t="inlineStr">
        <is>
          <t>contacto@csh.cl</t>
        </is>
      </c>
      <c r="E1761" s="66" t="inlineStr">
        <is>
          <t>(56) 41 250 2825</t>
        </is>
      </c>
      <c r="F1761" s="66" t="n"/>
      <c r="G1761" s="66" t="n"/>
      <c r="H1761" s="66" t="n"/>
      <c r="I1761" s="66" t="inlineStr">
        <is>
          <t>94.637.000-2</t>
        </is>
      </c>
      <c r="J1761" s="66" t="n"/>
      <c r="K1761" s="66" t="inlineStr">
        <is>
          <t>Ventas: GRANDE (Estimado por Empleados) | Empleados: 1320</t>
        </is>
      </c>
      <c r="L1761" s="61" t="n"/>
      <c r="M1761" s="61" t="n"/>
      <c r="N1761" s="61" t="n"/>
      <c r="O1761" s="61" t="n"/>
      <c r="P1761" s="61" t="n"/>
      <c r="Q1761" s="62" t="n"/>
      <c r="R1761" s="61" t="n"/>
    </row>
    <row r="1762" ht="15.75" customHeight="1" s="38">
      <c r="A1762" s="66" t="inlineStr">
        <is>
          <t>Siemens S.A.</t>
        </is>
      </c>
      <c r="B1762" s="66" t="inlineStr">
        <is>
          <t>Sistemas para Accionamientos, Sistemas para Automatización</t>
        </is>
      </c>
      <c r="C1762" s="66" t="inlineStr">
        <is>
          <t>Santiago</t>
        </is>
      </c>
      <c r="D1762" s="66" t="inlineStr">
        <is>
          <t>contacto.cl@siemens.com</t>
        </is>
      </c>
      <c r="E1762" s="66" t="inlineStr">
        <is>
          <t>(56) 2 2477 1000</t>
        </is>
      </c>
      <c r="F1762" s="66" t="n"/>
      <c r="G1762" s="66" t="n"/>
      <c r="H1762" s="66" t="n"/>
      <c r="I1762" s="66" t="inlineStr">
        <is>
          <t>94.995.000-K</t>
        </is>
      </c>
      <c r="J1762" s="66" t="n"/>
      <c r="K1762" s="66" t="inlineStr">
        <is>
          <t>Ventas: GRANDE (Estimado por Empleados) | Empleados: 224</t>
        </is>
      </c>
      <c r="L1762" s="61" t="n"/>
      <c r="M1762" s="61" t="n"/>
      <c r="N1762" s="61" t="n"/>
      <c r="O1762" s="61" t="n"/>
      <c r="P1762" s="61" t="n"/>
      <c r="Q1762" s="62" t="n"/>
      <c r="R1762" s="61" t="n"/>
    </row>
    <row r="1763" ht="15.75" customHeight="1" s="38">
      <c r="A1763" s="66" t="inlineStr">
        <is>
          <t>Sierra Gorda SCM (SG SCM)</t>
        </is>
      </c>
      <c r="B1763" s="66" t="inlineStr">
        <is>
          <t>Concentrado de Cobre, Concentrado de Molibdeno</t>
        </is>
      </c>
      <c r="C1763" s="66" t="inlineStr">
        <is>
          <t>Antofagasta</t>
        </is>
      </c>
      <c r="D1763" s="66" t="n"/>
      <c r="E1763" s="66" t="inlineStr">
        <is>
          <t>(56) 55 268 4005</t>
        </is>
      </c>
      <c r="F1763" s="66" t="n"/>
      <c r="G1763" s="66" t="n"/>
      <c r="H1763" s="66" t="n"/>
      <c r="I1763" s="66" t="inlineStr">
        <is>
          <t>76.081.590-K</t>
        </is>
      </c>
      <c r="J1763" s="66" t="n"/>
      <c r="K1763" s="66" t="inlineStr">
        <is>
          <t>Ventas: GRANDE (Estimado por Empleados) | Empleados: 1879</t>
        </is>
      </c>
      <c r="L1763" s="61" t="n"/>
      <c r="M1763" s="61" t="n"/>
      <c r="N1763" s="61" t="n"/>
      <c r="O1763" s="61" t="n"/>
      <c r="P1763" s="61" t="n"/>
      <c r="Q1763" s="62" t="n"/>
      <c r="R1763" s="61" t="n"/>
    </row>
    <row r="1764" ht="15.75" customHeight="1" s="38">
      <c r="A1764" s="66" t="inlineStr">
        <is>
          <t>Sierralta PCI</t>
        </is>
      </c>
      <c r="B1764" s="66" t="inlineStr">
        <is>
          <t>Equipos contra Incendios, Redes contra Incendios, Sistemas para Detección de Incendios</t>
        </is>
      </c>
      <c r="C1764" s="66" t="inlineStr">
        <is>
          <t>Santiago</t>
        </is>
      </c>
      <c r="D1764" s="66" t="inlineStr">
        <is>
          <t>ventas@sierraltapci.cl</t>
        </is>
      </c>
      <c r="E1764" s="66" t="inlineStr">
        <is>
          <t>(56) 2 2368 9380</t>
        </is>
      </c>
      <c r="F1764" s="66" t="n"/>
      <c r="G1764" s="66" t="n"/>
      <c r="H1764" s="66" t="n"/>
      <c r="I1764" s="66" t="inlineStr">
        <is>
          <t>76.609.699-9</t>
        </is>
      </c>
      <c r="J1764" s="66" t="n"/>
      <c r="K1764" s="66" t="inlineStr">
        <is>
          <t>Ventas: MEDIANA 1 (25.000 - 50.000 UF) | Empleados: 16</t>
        </is>
      </c>
      <c r="L1764" s="61" t="n"/>
      <c r="M1764" s="61" t="n"/>
      <c r="N1764" s="61" t="n"/>
      <c r="O1764" s="61" t="n"/>
      <c r="P1764" s="61" t="n"/>
      <c r="Q1764" s="62" t="n"/>
      <c r="R1764" s="61" t="n"/>
    </row>
    <row r="1765" ht="15.75" customHeight="1" s="38">
      <c r="A1765" s="66" t="inlineStr">
        <is>
          <t>Sigdo Koppers Ingeniería y Construcción</t>
        </is>
      </c>
      <c r="B1765" s="66" t="inlineStr">
        <is>
          <t>Construcción, Proyectos Eólicos</t>
        </is>
      </c>
      <c r="C1765" s="66" t="inlineStr">
        <is>
          <t>Santiago</t>
        </is>
      </c>
      <c r="D1765" s="66" t="inlineStr">
        <is>
          <t>contacto@skic.com</t>
        </is>
      </c>
      <c r="E1765" s="66" t="inlineStr">
        <is>
          <t>(56) 2 2837 4333</t>
        </is>
      </c>
      <c r="F1765" s="66" t="n"/>
      <c r="G1765" s="66" t="n"/>
      <c r="H1765" s="66" t="inlineStr">
        <is>
          <t>http://www.skic.com</t>
        </is>
      </c>
      <c r="I1765" s="66" t="inlineStr">
        <is>
          <t>91.915.000-9</t>
        </is>
      </c>
      <c r="J1765" s="66" t="n"/>
      <c r="K1765" s="66" t="inlineStr">
        <is>
          <t>Ventas: GRANDE (Estimado por Empleados) | Empleados: 9198</t>
        </is>
      </c>
      <c r="L1765" s="61" t="n"/>
      <c r="M1765" s="61" t="n"/>
      <c r="N1765" s="61" t="n"/>
      <c r="O1765" s="61" t="n"/>
      <c r="P1765" s="61" t="n"/>
      <c r="Q1765" s="62" t="n"/>
      <c r="R1765" s="61" t="n"/>
    </row>
    <row r="1766" ht="15.75" customHeight="1" s="38">
      <c r="A1766" s="66" t="inlineStr">
        <is>
          <t>Sigma S.A.</t>
        </is>
      </c>
      <c r="B1766" s="66" t="inlineStr">
        <is>
          <t>Puesta en Marcha de Proyectos</t>
        </is>
      </c>
      <c r="C1766" s="66" t="inlineStr">
        <is>
          <t>Santiago</t>
        </is>
      </c>
      <c r="D1766" s="66" t="inlineStr">
        <is>
          <t>contacto@sigmasa.cl</t>
        </is>
      </c>
      <c r="E1766" s="66" t="inlineStr">
        <is>
          <t>(56) 2 2963 6400</t>
        </is>
      </c>
      <c r="F1766" s="66" t="n"/>
      <c r="G1766" s="66" t="n"/>
      <c r="H1766" s="66" t="n"/>
      <c r="I1766" s="66" t="inlineStr">
        <is>
          <t>76198032-7</t>
        </is>
      </c>
      <c r="J1766" s="66" t="n"/>
      <c r="K1766" s="66" t="inlineStr">
        <is>
          <t>Ventas: MEDIANA 1 (25.000 - 50.000 UF) | Empleados: 6</t>
        </is>
      </c>
      <c r="L1766" s="61" t="n"/>
      <c r="M1766" s="61" t="n"/>
      <c r="N1766" s="61" t="n"/>
      <c r="O1766" s="61" t="n"/>
      <c r="P1766" s="61" t="n"/>
      <c r="Q1766" s="62" t="n"/>
      <c r="R1766" s="61" t="n"/>
    </row>
    <row r="1767" ht="15.75" customHeight="1" s="38">
      <c r="A1767" s="66" t="inlineStr">
        <is>
          <t>Sihi Chile S.A.</t>
        </is>
      </c>
      <c r="B1767" s="66" t="inlineStr">
        <is>
          <t>Bombas, Válvulas</t>
        </is>
      </c>
      <c r="C1767" s="66" t="inlineStr">
        <is>
          <t>Santiago</t>
        </is>
      </c>
      <c r="D1767" s="66" t="inlineStr">
        <is>
          <t>ventas@sihi.cl</t>
        </is>
      </c>
      <c r="E1767" s="66" t="inlineStr">
        <is>
          <t>(56) 2 2756 5900</t>
        </is>
      </c>
      <c r="F1767" s="66" t="n"/>
      <c r="G1767" s="66" t="n"/>
      <c r="H1767" s="66" t="n"/>
      <c r="I1767" s="66" t="inlineStr">
        <is>
          <t>79.790.600-K</t>
        </is>
      </c>
      <c r="J1767" s="66" t="n"/>
      <c r="K1767" s="66" t="inlineStr">
        <is>
          <t>Ventas: GRANDE 3 (600.000 - 1.000.000 UF) | Empleados: 81</t>
        </is>
      </c>
      <c r="L1767" s="61" t="n"/>
      <c r="M1767" s="61" t="n"/>
      <c r="N1767" s="61" t="n"/>
      <c r="O1767" s="61" t="n"/>
      <c r="P1767" s="61" t="n"/>
      <c r="Q1767" s="62" t="n"/>
      <c r="R1767" s="61" t="n"/>
    </row>
    <row r="1768" ht="15.75" customHeight="1" s="38">
      <c r="A1768" s="66" t="inlineStr">
        <is>
          <t>Sijar Ltda.</t>
        </is>
      </c>
      <c r="B1768" s="66" t="inlineStr">
        <is>
          <t>Correas Transportadoras, Polines Centradores para Correas Transportadoras</t>
        </is>
      </c>
      <c r="C1768" s="66" t="inlineStr">
        <is>
          <t>Santiago</t>
        </is>
      </c>
      <c r="D1768" s="66" t="inlineStr">
        <is>
          <t>ventas@sijar.cl</t>
        </is>
      </c>
      <c r="E1768" s="66" t="inlineStr">
        <is>
          <t>(56) 2 2499 9950</t>
        </is>
      </c>
      <c r="F1768" s="66" t="n"/>
      <c r="G1768" s="66" t="n"/>
      <c r="H1768" s="66" t="n"/>
      <c r="I1768" s="66" t="inlineStr">
        <is>
          <t>78.951.390-2</t>
        </is>
      </c>
      <c r="J1768" s="66" t="n"/>
      <c r="K1768" s="66" t="inlineStr">
        <is>
          <t>Ventas: MEDIANA 2 (50.000 - 100.000 UF) | Empleados: 56</t>
        </is>
      </c>
      <c r="L1768" s="61" t="n"/>
      <c r="M1768" s="61" t="n"/>
      <c r="N1768" s="61" t="n"/>
      <c r="O1768" s="61" t="n"/>
      <c r="P1768" s="61" t="n"/>
      <c r="Q1768" s="62" t="n"/>
      <c r="R1768" s="61" t="n"/>
    </row>
    <row r="1769" ht="15.75" customHeight="1" s="38">
      <c r="A1769" s="66" t="inlineStr">
        <is>
          <t>Sika Chile</t>
        </is>
      </c>
      <c r="B1769" s="66" t="inlineStr">
        <is>
          <t>Aditivos para Hormigón</t>
        </is>
      </c>
      <c r="C1769" s="66" t="inlineStr">
        <is>
          <t>Santiago</t>
        </is>
      </c>
      <c r="D1769" s="66" t="inlineStr">
        <is>
          <t>marketing@cl.sika.com</t>
        </is>
      </c>
      <c r="E1769" s="66" t="inlineStr">
        <is>
          <t>(56) 2 2510 6500</t>
        </is>
      </c>
      <c r="F1769" s="66" t="n"/>
      <c r="G1769" s="66" t="n"/>
      <c r="H1769" s="66" t="n"/>
      <c r="I1769" s="66" t="inlineStr">
        <is>
          <t>91.947.000-3</t>
        </is>
      </c>
      <c r="J1769" s="66" t="n"/>
      <c r="K1769" s="66" t="inlineStr">
        <is>
          <t>Ventas: GRANDE (Estimado por Empleados) | Empleados: 300</t>
        </is>
      </c>
      <c r="L1769" s="61" t="n"/>
      <c r="M1769" s="61" t="n"/>
      <c r="N1769" s="61" t="n"/>
      <c r="O1769" s="61" t="n"/>
      <c r="P1769" s="61" t="n"/>
      <c r="Q1769" s="62" t="n"/>
      <c r="R1769" s="61" t="n"/>
    </row>
    <row r="1770" ht="15.75" customHeight="1" s="38">
      <c r="A1770" s="66" t="inlineStr">
        <is>
          <t>Silentium</t>
        </is>
      </c>
      <c r="B1770" s="66" t="inlineStr">
        <is>
          <t>Servicios de Control de Ruidos</t>
        </is>
      </c>
      <c r="C1770" s="66" t="inlineStr">
        <is>
          <t>Santiago</t>
        </is>
      </c>
      <c r="D1770" s="66" t="inlineStr">
        <is>
          <t>info@silentium.cl</t>
        </is>
      </c>
      <c r="E1770" s="66" t="inlineStr">
        <is>
          <t>(56) 2 2448 9820</t>
        </is>
      </c>
      <c r="F1770" s="66" t="n"/>
      <c r="G1770" s="66" t="n"/>
      <c r="H1770" s="66" t="n"/>
      <c r="I1770" s="66" t="inlineStr">
        <is>
          <t>77.605.400-3</t>
        </is>
      </c>
      <c r="J1770" s="66" t="n"/>
      <c r="K1770" s="66" t="inlineStr">
        <is>
          <t>Ventas: GRANDE 3 (600.000 - 1.000.000 UF) | Empleados: 247</t>
        </is>
      </c>
      <c r="L1770" s="61" t="n"/>
      <c r="M1770" s="61" t="n"/>
      <c r="N1770" s="61" t="n"/>
      <c r="O1770" s="61" t="n"/>
      <c r="P1770" s="61" t="n"/>
      <c r="Q1770" s="62" t="n"/>
      <c r="R1770" s="61" t="n"/>
    </row>
    <row r="1771" ht="15.75" customHeight="1" s="38">
      <c r="A1771" s="66" t="inlineStr">
        <is>
          <t>Sillas Fuentes SpA</t>
        </is>
      </c>
      <c r="B1771" s="66" t="inlineStr">
        <is>
          <t>Ventas de Sillas</t>
        </is>
      </c>
      <c r="C1771" s="66" t="inlineStr">
        <is>
          <t>Antofagasta</t>
        </is>
      </c>
      <c r="D1771" s="66" t="inlineStr">
        <is>
          <t>contacto@sillasfuentes.cl</t>
        </is>
      </c>
      <c r="E1771" s="66" t="inlineStr">
        <is>
          <t>(56) 9 4029 0326</t>
        </is>
      </c>
      <c r="F1771" s="66" t="n"/>
      <c r="G1771" s="66" t="n"/>
      <c r="H1771" s="66" t="n"/>
      <c r="I1771" s="66" t="inlineStr">
        <is>
          <t>77444093-3</t>
        </is>
      </c>
      <c r="J1771" s="66" t="n"/>
      <c r="K1771" s="66" t="inlineStr">
        <is>
          <t>Ventas: MEDIANA 1 (25.000 - 50.000 UF) | Empleados: 0</t>
        </is>
      </c>
      <c r="L1771" s="61" t="n"/>
      <c r="M1771" s="61" t="n"/>
      <c r="N1771" s="61" t="n"/>
      <c r="O1771" s="61" t="n"/>
      <c r="P1771" s="61" t="n"/>
      <c r="Q1771" s="62" t="n"/>
      <c r="R1771" s="61" t="n"/>
    </row>
    <row r="1772" ht="15.75" customHeight="1" s="38">
      <c r="A1772" s="66" t="inlineStr">
        <is>
          <t>Simantec S.A.</t>
        </is>
      </c>
      <c r="B1772" s="66" t="inlineStr">
        <is>
          <t>Subestaciones Eléctricas</t>
        </is>
      </c>
      <c r="C1772" s="66" t="inlineStr">
        <is>
          <t>Quillota</t>
        </is>
      </c>
      <c r="D1772" s="66" t="inlineStr">
        <is>
          <t>contacto@simantec.cl</t>
        </is>
      </c>
      <c r="E1772" s="66" t="inlineStr">
        <is>
          <t>(56) 33 234 7200</t>
        </is>
      </c>
      <c r="F1772" s="66" t="n"/>
      <c r="G1772" s="66" t="n"/>
      <c r="H1772" s="66" t="n"/>
      <c r="I1772" s="66" t="inlineStr">
        <is>
          <t>96.884.180-7</t>
        </is>
      </c>
      <c r="J1772" s="66" t="n"/>
      <c r="K1772" s="66" t="inlineStr">
        <is>
          <t>Ventas: GRANDE 3 (600.000 - 1.000.000 UF) | Empleados: 121</t>
        </is>
      </c>
      <c r="L1772" s="61" t="n"/>
      <c r="M1772" s="61" t="n"/>
      <c r="N1772" s="61" t="n"/>
      <c r="O1772" s="61" t="n"/>
      <c r="P1772" s="61" t="n"/>
      <c r="Q1772" s="62" t="n"/>
      <c r="R1772" s="61" t="n"/>
    </row>
    <row r="1773" ht="15.75" customHeight="1" s="38">
      <c r="A1773" s="66" t="inlineStr">
        <is>
          <t>Simaq Ltda.</t>
        </is>
      </c>
      <c r="B1773" s="66" t="inlineStr">
        <is>
          <t>Arriendo de Grúas para Alto Tonelaje</t>
        </is>
      </c>
      <c r="C1773" s="66" t="inlineStr">
        <is>
          <t>La Serena</t>
        </is>
      </c>
      <c r="D1773" s="66" t="inlineStr">
        <is>
          <t>benjamin@gruasimaq.cl</t>
        </is>
      </c>
      <c r="E1773" s="66" t="inlineStr">
        <is>
          <t>(56) 51 224 6070</t>
        </is>
      </c>
      <c r="F1773" s="66" t="n"/>
      <c r="G1773" s="66" t="n"/>
      <c r="H1773" s="66" t="n"/>
      <c r="I1773" s="66" t="inlineStr">
        <is>
          <t>77.434.790-9</t>
        </is>
      </c>
      <c r="J1773" s="66" t="n"/>
      <c r="K1773" s="66" t="inlineStr">
        <is>
          <t>Ventas: GRANDE 1 (100.000 - 200.000 UF) | Empleados: 57</t>
        </is>
      </c>
      <c r="L1773" s="61" t="n"/>
      <c r="M1773" s="61" t="n"/>
      <c r="N1773" s="61" t="n"/>
      <c r="O1773" s="61" t="n"/>
      <c r="P1773" s="61" t="n"/>
      <c r="Q1773" s="62" t="n"/>
      <c r="R1773" s="61" t="n"/>
    </row>
    <row r="1774" ht="15.75" customHeight="1" s="38">
      <c r="A1774" s="66" t="inlineStr">
        <is>
          <t>Simet</t>
        </is>
      </c>
      <c r="B1774" s="66" t="inlineStr">
        <is>
          <t>Análisis de Corrosión, Análisis de Minerales</t>
        </is>
      </c>
      <c r="C1774" s="66" t="inlineStr">
        <is>
          <t>Santiago</t>
        </is>
      </c>
      <c r="D1774" s="66" t="inlineStr">
        <is>
          <t>simet@usach.cl</t>
        </is>
      </c>
      <c r="E1774" s="66" t="inlineStr">
        <is>
          <t>(56) 2 2323 4780</t>
        </is>
      </c>
      <c r="F1774" s="66" t="inlineStr">
        <is>
          <t>Gerente de TI / CIO (Director de Tecnología)</t>
        </is>
      </c>
      <c r="G1774" s="66" t="n"/>
      <c r="H1774" s="66" t="n"/>
      <c r="I1774" s="66" t="inlineStr">
        <is>
          <t>78.172.420-3</t>
        </is>
      </c>
      <c r="J1774" s="66" t="n"/>
      <c r="K1774" s="66" t="inlineStr">
        <is>
          <t>Ventas: GRANDE 4 (Mas de 1.000.000 UF) | Empleados: 280</t>
        </is>
      </c>
      <c r="L1774" s="61" t="n"/>
      <c r="M1774" s="61" t="n"/>
      <c r="N1774" s="61" t="n"/>
      <c r="O1774" s="61" t="n"/>
      <c r="P1774" s="61" t="n"/>
      <c r="Q1774" s="62" t="n"/>
      <c r="R1774" s="61" t="n"/>
    </row>
    <row r="1775" ht="15.75" customHeight="1" s="38">
      <c r="A1775" s="66" t="inlineStr">
        <is>
          <t>Simma Rent</t>
        </is>
      </c>
      <c r="B1775" s="66" t="inlineStr">
        <is>
          <t>Arriendo de Equipos para la Minería</t>
        </is>
      </c>
      <c r="C1775" s="66" t="inlineStr">
        <is>
          <t>Santiago</t>
        </is>
      </c>
      <c r="D1775" s="66" t="inlineStr">
        <is>
          <t>contacto@gruposimma.cl</t>
        </is>
      </c>
      <c r="E1775" s="66" t="inlineStr">
        <is>
          <t>600 6000 180</t>
        </is>
      </c>
      <c r="F1775" s="66" t="n"/>
      <c r="G1775" s="66" t="n"/>
      <c r="H1775" s="66" t="inlineStr">
        <is>
          <t>http://www.simmarent.cl</t>
        </is>
      </c>
      <c r="I1775" s="66" t="inlineStr">
        <is>
          <t>76.028.217-0</t>
        </is>
      </c>
      <c r="J1775" s="66" t="n"/>
      <c r="K1775" s="66" t="inlineStr">
        <is>
          <t>Ventas: GRANDE 3 (600.000 - 1.000.000 UF) | Empleados: 78</t>
        </is>
      </c>
      <c r="L1775" s="61" t="n"/>
      <c r="M1775" s="61" t="n"/>
      <c r="N1775" s="61" t="n"/>
      <c r="O1775" s="61" t="n"/>
      <c r="P1775" s="61" t="n"/>
      <c r="Q1775" s="62" t="n"/>
      <c r="R1775" s="61" t="n"/>
    </row>
    <row r="1776" ht="15.75" customHeight="1" s="38">
      <c r="A1776" s="66" t="inlineStr">
        <is>
          <t>Simma S.A.</t>
        </is>
      </c>
      <c r="B1776" s="66" t="inlineStr">
        <is>
          <t>Bombas de Diafragma, Cables de Acero, Cadenas e Izaje, Compresores, Retroexcavadoras, Torres para Iluminación</t>
        </is>
      </c>
      <c r="C1776" s="66" t="inlineStr">
        <is>
          <t>Santiago</t>
        </is>
      </c>
      <c r="D1776" s="66" t="inlineStr">
        <is>
          <t>contacto@gruposimma.cl</t>
        </is>
      </c>
      <c r="E1776" s="66" t="inlineStr">
        <is>
          <t>600 6000 180</t>
        </is>
      </c>
      <c r="F1776" s="66" t="n"/>
      <c r="G1776" s="66" t="n"/>
      <c r="H1776" s="66" t="inlineStr">
        <is>
          <t>http://www.simma.cl</t>
        </is>
      </c>
      <c r="I1776" s="66" t="inlineStr">
        <is>
          <t>Rut. 83.568.200-5</t>
        </is>
      </c>
      <c r="J1776" s="66" t="n"/>
      <c r="K1776" s="66" t="inlineStr">
        <is>
          <t>Ventas: No en base SII | Empleados: S/I</t>
        </is>
      </c>
      <c r="L1776" s="61" t="n"/>
      <c r="M1776" s="61" t="n"/>
      <c r="N1776" s="61" t="n"/>
      <c r="O1776" s="61" t="n"/>
      <c r="P1776" s="61" t="n"/>
      <c r="Q1776" s="62" t="n"/>
      <c r="R1776" s="61" t="n"/>
    </row>
    <row r="1777" ht="15.75" customHeight="1" s="38">
      <c r="A1777" s="66" t="inlineStr">
        <is>
          <t>Simma – Grupo Empresas</t>
        </is>
      </c>
      <c r="B1777" s="66" t="inlineStr">
        <is>
          <t>Bombas de Diafragma, Cables de Acero, Cadenas e Izaje, Compresores, Retroexcavadoras, Torres para Iluminación</t>
        </is>
      </c>
      <c r="C1777" s="66" t="inlineStr">
        <is>
          <t>Santiago</t>
        </is>
      </c>
      <c r="D1777" s="66" t="inlineStr">
        <is>
          <t>contacto@gruposimma.cl</t>
        </is>
      </c>
      <c r="E1777" s="66" t="inlineStr">
        <is>
          <t>(56) 2 2346 2700</t>
        </is>
      </c>
      <c r="F1777" s="66" t="n"/>
      <c r="G1777" s="66" t="n"/>
      <c r="H1777" s="66" t="inlineStr">
        <is>
          <t>http://www.simma.cl</t>
        </is>
      </c>
      <c r="I1777" s="66" t="inlineStr">
        <is>
          <t>83.568.200-5</t>
        </is>
      </c>
      <c r="J1777" s="66" t="n"/>
      <c r="K1777" s="66" t="inlineStr">
        <is>
          <t>Ventas: GRANDE (Estimado por Empleados) | Empleados: 339</t>
        </is>
      </c>
      <c r="L1777" s="61" t="n"/>
      <c r="M1777" s="61" t="n"/>
      <c r="N1777" s="61" t="n"/>
      <c r="O1777" s="61" t="n"/>
      <c r="P1777" s="61" t="n"/>
      <c r="Q1777" s="62" t="n"/>
      <c r="R1777" s="61" t="n"/>
    </row>
    <row r="1778" ht="15.75" customHeight="1" s="38">
      <c r="A1778" s="66" t="inlineStr">
        <is>
          <t>SimmaTrans S.A.</t>
        </is>
      </c>
      <c r="B1778" s="66" t="inlineStr">
        <is>
          <t>Correas Transportadoras, Raspadores para Correas Transportadoras</t>
        </is>
      </c>
      <c r="C1778" s="66" t="inlineStr">
        <is>
          <t>Santiago</t>
        </is>
      </c>
      <c r="D1778" s="66" t="inlineStr">
        <is>
          <t>contacto@gruposimma.cl</t>
        </is>
      </c>
      <c r="E1778" s="66" t="inlineStr">
        <is>
          <t>(56) 2 2346 2700</t>
        </is>
      </c>
      <c r="F1778" s="66" t="n"/>
      <c r="G1778" s="66" t="n"/>
      <c r="H1778" s="66" t="inlineStr">
        <is>
          <t>http://www.simmatrans.cl</t>
        </is>
      </c>
      <c r="I1778" s="66" t="inlineStr">
        <is>
          <t>76.044.638-6</t>
        </is>
      </c>
      <c r="J1778" s="66" t="n"/>
      <c r="K1778" s="66" t="inlineStr">
        <is>
          <t>Ventas: GRANDE 1 (100.000 - 200.000 UF) | Empleados: 6</t>
        </is>
      </c>
      <c r="L1778" s="61" t="n"/>
      <c r="M1778" s="61" t="n"/>
      <c r="N1778" s="61" t="n"/>
      <c r="O1778" s="61" t="n"/>
      <c r="P1778" s="61" t="n"/>
      <c r="Q1778" s="62" t="n"/>
      <c r="R1778" s="61" t="n"/>
    </row>
    <row r="1779" ht="15.75" customHeight="1" s="38">
      <c r="A1779" s="66" t="inlineStr">
        <is>
          <t>Simplex Ingeniería</t>
        </is>
      </c>
      <c r="B1779" s="66" t="inlineStr">
        <is>
          <t>Sistemas de Muestreo Metalúrgico</t>
        </is>
      </c>
      <c r="C1779" s="66" t="inlineStr">
        <is>
          <t>Rancagua</t>
        </is>
      </c>
      <c r="D1779" s="66" t="n"/>
      <c r="E1779" s="66" t="inlineStr">
        <is>
          <t>(56) 72 274 0705</t>
        </is>
      </c>
      <c r="F1779" s="66" t="n"/>
      <c r="G1779" s="66" t="n"/>
      <c r="H1779" s="66" t="n"/>
      <c r="I1779" s="66" t="inlineStr">
        <is>
          <t>76.528.807-K</t>
        </is>
      </c>
      <c r="J1779" s="66" t="n"/>
      <c r="K1779" s="66" t="inlineStr">
        <is>
          <t>Ventas: GRANDE 1 (100.000 - 200.000 UF) | Empleados: 71</t>
        </is>
      </c>
      <c r="L1779" s="61" t="n"/>
      <c r="M1779" s="61" t="n"/>
      <c r="N1779" s="61" t="n"/>
      <c r="O1779" s="61" t="n"/>
      <c r="P1779" s="61" t="n"/>
      <c r="Q1779" s="62" t="n"/>
      <c r="R1779" s="61" t="n"/>
    </row>
    <row r="1780" ht="15.75" customHeight="1" s="38">
      <c r="A1780" s="66" t="inlineStr">
        <is>
          <t>Simtech Coatings Ltda.</t>
        </is>
      </c>
      <c r="B1780" s="66" t="inlineStr">
        <is>
          <t>Antiabrasivos, Anticorrosivos, Bombas</t>
        </is>
      </c>
      <c r="C1780" s="66" t="inlineStr">
        <is>
          <t>Santiago</t>
        </is>
      </c>
      <c r="D1780" s="66" t="inlineStr">
        <is>
          <t>info@simtech-coatings.cl</t>
        </is>
      </c>
      <c r="E1780" s="66" t="inlineStr">
        <is>
          <t>(56) 2 2341 9199</t>
        </is>
      </c>
      <c r="F1780" s="66" t="n"/>
      <c r="G1780" s="66" t="n"/>
      <c r="H1780" s="66" t="n"/>
      <c r="I1780" s="66" t="inlineStr">
        <is>
          <t>78.934.690-9</t>
        </is>
      </c>
      <c r="J1780" s="66" t="n"/>
      <c r="K1780" s="66" t="inlineStr">
        <is>
          <t>Ventas: GRANDE 3 (600.000 - 1.000.000 UF) | Empleados: 87</t>
        </is>
      </c>
      <c r="L1780" s="61" t="n"/>
      <c r="M1780" s="61" t="n"/>
      <c r="N1780" s="61" t="n"/>
      <c r="O1780" s="61" t="n"/>
      <c r="P1780" s="61" t="n"/>
      <c r="Q1780" s="62" t="n"/>
      <c r="R1780" s="61" t="n"/>
    </row>
    <row r="1781" ht="15.75" customHeight="1" s="38">
      <c r="A1781" s="66" t="inlineStr">
        <is>
          <t>Sinapsis Capacitación</t>
        </is>
      </c>
      <c r="B1781" s="66" t="inlineStr">
        <is>
          <t>Centro de Capacitación Minera</t>
        </is>
      </c>
      <c r="C1781" s="66" t="n"/>
      <c r="D1781" s="66" t="inlineStr">
        <is>
          <t>contacto@sinapsiscapacitacion.cl</t>
        </is>
      </c>
      <c r="E1781" s="66" t="inlineStr">
        <is>
          <t>(56) 9 6613 5245</t>
        </is>
      </c>
      <c r="F1781" s="66" t="n"/>
      <c r="G1781" s="66" t="n"/>
      <c r="H1781" s="66" t="n"/>
      <c r="I1781" s="66" t="inlineStr">
        <is>
          <t>76463601-5</t>
        </is>
      </c>
      <c r="J1781" s="66" t="n"/>
      <c r="K1781" s="66" t="inlineStr">
        <is>
          <t>Ventas: PEQUEÑA 2 (5.000 - 10.000 UF) | Empleados: 0</t>
        </is>
      </c>
      <c r="L1781" s="61" t="n"/>
      <c r="M1781" s="61" t="n"/>
      <c r="N1781" s="61" t="n"/>
      <c r="O1781" s="61" t="n"/>
      <c r="P1781" s="61" t="n"/>
      <c r="Q1781" s="62" t="n"/>
      <c r="R1781" s="61" t="n"/>
    </row>
    <row r="1782" ht="15.75" customHeight="1" s="38">
      <c r="A1782" s="66" t="inlineStr">
        <is>
          <t>Sinteg Ltda.</t>
        </is>
      </c>
      <c r="B1782" s="66" t="inlineStr">
        <is>
          <t>Artículos Eléctricos, Sellos Modulares</t>
        </is>
      </c>
      <c r="C1782" s="66" t="inlineStr">
        <is>
          <t>Santiago</t>
        </is>
      </c>
      <c r="D1782" s="66" t="inlineStr">
        <is>
          <t>contacto@sinteg.cl</t>
        </is>
      </c>
      <c r="E1782" s="66" t="inlineStr">
        <is>
          <t>(56) 2 2966 8227</t>
        </is>
      </c>
      <c r="F1782" s="66" t="n"/>
      <c r="G1782" s="66" t="n"/>
      <c r="H1782" s="66" t="n"/>
      <c r="I1782" s="66" t="inlineStr">
        <is>
          <t>76.239.019-1</t>
        </is>
      </c>
      <c r="J1782" s="66" t="n"/>
      <c r="K1782" s="66" t="inlineStr">
        <is>
          <t>Ventas: MEDIANA 1 (25.000 - 50.000 UF) | Empleados: 9</t>
        </is>
      </c>
      <c r="L1782" s="61" t="n"/>
      <c r="M1782" s="61" t="n"/>
      <c r="N1782" s="61" t="n"/>
      <c r="O1782" s="61" t="n"/>
      <c r="P1782" s="61" t="n"/>
      <c r="Q1782" s="62" t="n"/>
      <c r="R1782" s="61" t="n"/>
    </row>
    <row r="1783" ht="15.75" customHeight="1" s="38">
      <c r="A1783" s="66" t="inlineStr">
        <is>
          <t>Siplas Ltda.</t>
        </is>
      </c>
      <c r="B1783" s="66" t="inlineStr">
        <is>
          <t>Plásticos, Tubos de Polietileno de Alta Densidad (HDPE)</t>
        </is>
      </c>
      <c r="C1783" s="66" t="inlineStr">
        <is>
          <t>Santiago</t>
        </is>
      </c>
      <c r="D1783" s="66" t="inlineStr">
        <is>
          <t>siplas@siplas.cl</t>
        </is>
      </c>
      <c r="E1783" s="66" t="inlineStr">
        <is>
          <t>(56) 2 2455 0148</t>
        </is>
      </c>
      <c r="F1783" s="66" t="n"/>
      <c r="G1783" s="66" t="n"/>
      <c r="H1783" s="66" t="n"/>
      <c r="I1783" s="66" t="inlineStr">
        <is>
          <t>96.926.840-K</t>
        </is>
      </c>
      <c r="J1783" s="66" t="n"/>
      <c r="K1783" s="66" t="inlineStr">
        <is>
          <t>Ventas: GRANDE 1 (100.000 - 200.000 UF) | Empleados: 35</t>
        </is>
      </c>
      <c r="L1783" s="61" t="n"/>
      <c r="M1783" s="61" t="n"/>
      <c r="N1783" s="61" t="n"/>
      <c r="O1783" s="61" t="n"/>
      <c r="P1783" s="61" t="n"/>
      <c r="Q1783" s="62" t="n"/>
      <c r="R1783" s="61" t="n"/>
    </row>
    <row r="1784" ht="15.75" customHeight="1" s="38">
      <c r="A1784" s="66" t="inlineStr">
        <is>
          <t>Sisdef Ltda.</t>
        </is>
      </c>
      <c r="B1784" s="66" t="inlineStr">
        <is>
          <t>Telecomunicaciones</t>
        </is>
      </c>
      <c r="C1784" s="66" t="inlineStr">
        <is>
          <t>Quintero</t>
        </is>
      </c>
      <c r="D1784" s="66" t="inlineStr">
        <is>
          <t>info@sisdef.cl</t>
        </is>
      </c>
      <c r="E1784" s="66" t="inlineStr">
        <is>
          <t>(56) 32 281 0777</t>
        </is>
      </c>
      <c r="F1784" s="66" t="n"/>
      <c r="G1784" s="66" t="n"/>
      <c r="H1784" s="66" t="n"/>
      <c r="I1784" s="66" t="inlineStr">
        <is>
          <t>89.844.800-2</t>
        </is>
      </c>
      <c r="J1784" s="66" t="n"/>
      <c r="K1784" s="66" t="inlineStr">
        <is>
          <t>Ventas: GRANDE 3 (600.000 - 1.000.000 UF) | Empleados: 162</t>
        </is>
      </c>
      <c r="L1784" s="61" t="n"/>
      <c r="M1784" s="61" t="n"/>
      <c r="N1784" s="61" t="n"/>
      <c r="O1784" s="61" t="n"/>
      <c r="P1784" s="61" t="n"/>
      <c r="Q1784" s="62" t="n"/>
      <c r="R1784" s="61" t="n"/>
    </row>
    <row r="1785" ht="15.75" customHeight="1" s="38">
      <c r="A1785" s="59" t="inlineStr">
        <is>
          <t>Sitrans Ltda.</t>
        </is>
      </c>
      <c r="B1785" s="59" t="inlineStr">
        <is>
          <t>Transporte de Carga, Transporte de Maquinaria Pesada</t>
        </is>
      </c>
      <c r="C1785" s="59" t="inlineStr">
        <is>
          <t>Santiago</t>
        </is>
      </c>
      <c r="D1785" s="59" t="inlineStr">
        <is>
          <t>contacto@sitrans.cl</t>
        </is>
      </c>
      <c r="E1785" s="59" t="inlineStr">
        <is>
          <t>(56) 2 2540 2100</t>
        </is>
      </c>
      <c r="F1785" s="59" t="inlineStr">
        <is>
          <t>Luis Delgado (Gerente Procesos y TI)</t>
        </is>
      </c>
      <c r="G1785" s="59" t="n"/>
      <c r="H1785" s="59" t="n"/>
      <c r="I1785" s="59" t="inlineStr">
        <is>
          <t>96.500.950-7</t>
        </is>
      </c>
      <c r="J1785" s="59" t="inlineStr">
        <is>
          <t>Digitalización Servicios Logísticos</t>
        </is>
      </c>
      <c r="K1785" s="59" t="inlineStr">
        <is>
          <t>Ventas: GRANDE (Estimado por Empleados) | Empleados: 763</t>
        </is>
      </c>
      <c r="L1785" s="61" t="n"/>
      <c r="M1785" s="61" t="n"/>
      <c r="N1785" s="61" t="n"/>
      <c r="O1785" s="61" t="n"/>
      <c r="P1785" s="61" t="n"/>
      <c r="Q1785" s="62" t="n"/>
      <c r="R1785" s="61" t="n"/>
    </row>
    <row r="1786" ht="15.75" customHeight="1" s="38">
      <c r="A1786" s="66" t="inlineStr">
        <is>
          <t>Sitrol</t>
        </is>
      </c>
      <c r="B1786" s="66" t="inlineStr">
        <is>
          <t>Agitadores, Bombas, Tableros de Control</t>
        </is>
      </c>
      <c r="C1786" s="66" t="inlineStr">
        <is>
          <t>Santiago</t>
        </is>
      </c>
      <c r="D1786" s="66" t="inlineStr">
        <is>
          <t>info@sitrol.cl</t>
        </is>
      </c>
      <c r="E1786" s="66" t="inlineStr">
        <is>
          <t>(56) 2 2599 0956</t>
        </is>
      </c>
      <c r="F1786" s="66" t="n"/>
      <c r="G1786" s="66" t="n"/>
      <c r="H1786" s="66" t="n"/>
      <c r="I1786" s="66" t="inlineStr">
        <is>
          <t>96834410-2</t>
        </is>
      </c>
      <c r="J1786" s="66" t="n"/>
      <c r="K1786" s="66" t="inlineStr">
        <is>
          <t>Ventas: GRANDE 1 (100.000 - 200.000 UF) | Empleados: 9</t>
        </is>
      </c>
      <c r="L1786" s="61" t="n"/>
      <c r="M1786" s="61" t="n"/>
      <c r="N1786" s="61" t="n"/>
      <c r="O1786" s="61" t="n"/>
      <c r="P1786" s="61" t="n"/>
      <c r="Q1786" s="62" t="n"/>
      <c r="R1786" s="61" t="n"/>
    </row>
    <row r="1787" ht="15.75" customHeight="1" s="38">
      <c r="A1787" s="66" t="inlineStr">
        <is>
          <t>Sivetec Ltda.</t>
        </is>
      </c>
      <c r="B1787" s="66" t="inlineStr">
        <is>
          <t>Sistemas para Lubricación</t>
        </is>
      </c>
      <c r="C1787" s="66" t="inlineStr">
        <is>
          <t>Santiago</t>
        </is>
      </c>
      <c r="D1787" s="66" t="inlineStr">
        <is>
          <t>r.tajmuch@sivetec.cl</t>
        </is>
      </c>
      <c r="E1787" s="66" t="inlineStr">
        <is>
          <t>(56) 9 7937 3580</t>
        </is>
      </c>
      <c r="F1787" s="66" t="n"/>
      <c r="G1787" s="66" t="n"/>
      <c r="H1787" s="66" t="n"/>
      <c r="I1787" s="66" t="inlineStr">
        <is>
          <t>78.862.580-4</t>
        </is>
      </c>
      <c r="J1787" s="66" t="n"/>
      <c r="K1787" s="66" t="inlineStr">
        <is>
          <t>Ventas: PEQUEÑA 3 (10.000 - 25.000 UF) | Empleados: 0</t>
        </is>
      </c>
      <c r="L1787" s="61" t="n"/>
      <c r="M1787" s="61" t="n"/>
      <c r="N1787" s="61" t="n"/>
      <c r="O1787" s="61" t="n"/>
      <c r="P1787" s="61" t="n"/>
      <c r="Q1787" s="62" t="n"/>
      <c r="R1787" s="61" t="n"/>
    </row>
    <row r="1788" ht="15.75" customHeight="1" s="38">
      <c r="A1788" s="66" t="inlineStr">
        <is>
          <t>Sixbell</t>
        </is>
      </c>
      <c r="B1788" s="66" t="inlineStr">
        <is>
          <t>Telecomunicaciones, Telefonía IP</t>
        </is>
      </c>
      <c r="C1788" s="66" t="inlineStr">
        <is>
          <t>Santiago</t>
        </is>
      </c>
      <c r="D1788" s="66" t="n"/>
      <c r="E1788" s="66" t="inlineStr">
        <is>
          <t>(56) 2 2200 1200</t>
        </is>
      </c>
      <c r="F1788" s="66" t="n"/>
      <c r="G1788" s="66" t="n"/>
      <c r="H1788" s="66" t="n"/>
      <c r="I1788" s="66" t="inlineStr">
        <is>
          <t>78.935.950-4</t>
        </is>
      </c>
      <c r="J1788" s="66" t="n"/>
      <c r="K1788" s="66" t="inlineStr">
        <is>
          <t>Ventas: PEQUEÑA 3 (10.000 - 25.000 UF) | Empleados: 30</t>
        </is>
      </c>
      <c r="L1788" s="61" t="n"/>
      <c r="M1788" s="61" t="n"/>
      <c r="N1788" s="61" t="n"/>
      <c r="O1788" s="61" t="n"/>
      <c r="P1788" s="61" t="n"/>
      <c r="Q1788" s="62" t="n"/>
      <c r="R1788" s="61" t="n"/>
    </row>
    <row r="1789" ht="15.75" customHeight="1" s="38">
      <c r="A1789" s="66" t="inlineStr">
        <is>
          <t>SK Godelius</t>
        </is>
      </c>
      <c r="B1789" s="66" t="inlineStr">
        <is>
          <t>Proyectos de Teleoperación, Robótica y Automatización</t>
        </is>
      </c>
      <c r="C1789" s="66" t="inlineStr">
        <is>
          <t>Santiago</t>
        </is>
      </c>
      <c r="D1789" s="66" t="inlineStr">
        <is>
          <t>contacto@godelius.com</t>
        </is>
      </c>
      <c r="E1789" s="66" t="inlineStr">
        <is>
          <t>(56) 2 2837 6700</t>
        </is>
      </c>
      <c r="F1789" s="66" t="n"/>
      <c r="G1789" s="66" t="n"/>
      <c r="H1789" s="66" t="n"/>
      <c r="I1789" s="66" t="inlineStr">
        <is>
          <t>76167834-5</t>
        </is>
      </c>
      <c r="J1789" s="66" t="n"/>
      <c r="K1789" s="66" t="inlineStr">
        <is>
          <t>Ventas: GRANDE 1 (100.000 - 200.000 UF) | Empleados: 36</t>
        </is>
      </c>
      <c r="L1789" s="61" t="n"/>
      <c r="M1789" s="61" t="n"/>
      <c r="N1789" s="61" t="n"/>
      <c r="O1789" s="61" t="n"/>
      <c r="P1789" s="61" t="n"/>
      <c r="Q1789" s="62" t="n"/>
      <c r="R1789" s="61" t="n"/>
    </row>
    <row r="1790" ht="15.75" customHeight="1" s="38">
      <c r="A1790" s="66" t="inlineStr">
        <is>
          <t>SK Rental</t>
        </is>
      </c>
      <c r="B1790" s="66" t="inlineStr">
        <is>
          <t>Alzahombres, Camiones Aljibe, Camiones Articulados, Camiones Eléctricos, Camiones Planos, Camiones Pluma, Camiones Tolva, Cargadores y Camiones de Bajo Perfil, Compresores, Rodillos Compactadores, Torres de Iluminación</t>
        </is>
      </c>
      <c r="C1790" s="66" t="inlineStr">
        <is>
          <t>Santiago</t>
        </is>
      </c>
      <c r="D1790" s="66" t="inlineStr">
        <is>
          <t>be-rental@skrental.com</t>
        </is>
      </c>
      <c r="E1790" s="66" t="inlineStr">
        <is>
          <t>(56) 2 2837 3500</t>
        </is>
      </c>
      <c r="F1790" s="66" t="n"/>
      <c r="G1790" s="66" t="n"/>
      <c r="H1790" s="66" t="n"/>
      <c r="I1790" s="66" t="inlineStr">
        <is>
          <t>76.777.170-8</t>
        </is>
      </c>
      <c r="J1790" s="66" t="n"/>
      <c r="K1790" s="66" t="inlineStr">
        <is>
          <t>Ventas: No en base SII | Empleados: S/I</t>
        </is>
      </c>
      <c r="L1790" s="61" t="n"/>
      <c r="M1790" s="61" t="n"/>
      <c r="N1790" s="61" t="n"/>
      <c r="O1790" s="61" t="n"/>
      <c r="P1790" s="61" t="n"/>
      <c r="Q1790" s="62" t="n"/>
      <c r="R1790" s="61" t="n"/>
    </row>
    <row r="1791" ht="15.75" customHeight="1" s="38">
      <c r="A1791" s="66" t="inlineStr">
        <is>
          <t>Skava Equipos y Suministros S.A.</t>
        </is>
      </c>
      <c r="B1791" s="66" t="inlineStr">
        <is>
          <t>Bombas de Drenaje, Ductos de Ventilación</t>
        </is>
      </c>
      <c r="C1791" s="66" t="inlineStr">
        <is>
          <t>Santiago</t>
        </is>
      </c>
      <c r="D1791" s="66" t="inlineStr">
        <is>
          <t>contacto@skava.cl</t>
        </is>
      </c>
      <c r="E1791" s="66" t="inlineStr">
        <is>
          <t>(56) 2 2892 0077</t>
        </is>
      </c>
      <c r="F1791" s="66" t="n"/>
      <c r="G1791" s="66" t="n"/>
      <c r="H1791" s="66" t="n"/>
      <c r="I1791" s="66" t="inlineStr">
        <is>
          <t>76.107.101-7</t>
        </is>
      </c>
      <c r="J1791" s="66" t="n"/>
      <c r="K1791" s="66" t="inlineStr">
        <is>
          <t>Ventas: GRANDE 3 (600.000 - 1.000.000 UF) | Empleados: 33</t>
        </is>
      </c>
      <c r="L1791" s="61" t="n"/>
      <c r="M1791" s="61" t="n"/>
      <c r="N1791" s="61" t="n"/>
      <c r="O1791" s="61" t="n"/>
      <c r="P1791" s="61" t="n"/>
      <c r="Q1791" s="62" t="n"/>
      <c r="R1791" s="61" t="n"/>
    </row>
    <row r="1792" ht="15.75" customHeight="1" s="38">
      <c r="A1792" s="66" t="inlineStr">
        <is>
          <t>SKC</t>
        </is>
      </c>
      <c r="B1792" s="66" t="inlineStr">
        <is>
          <t>Camiones Articulados, Camiones Rígidos, Cargadores Frontales, Chancadores, Retroexcavadoras, Rodillos Compactadores</t>
        </is>
      </c>
      <c r="C1792" s="66" t="inlineStr">
        <is>
          <t>Santiago</t>
        </is>
      </c>
      <c r="D1792" s="66" t="inlineStr">
        <is>
          <t>servicioalcliente@skc.cl</t>
        </is>
      </c>
      <c r="E1792" s="66" t="inlineStr">
        <is>
          <t>600 410 5000</t>
        </is>
      </c>
      <c r="F1792" s="66" t="n"/>
      <c r="G1792" s="66" t="n"/>
      <c r="H1792" s="66" t="inlineStr">
        <is>
          <t>http://www.skc.cl</t>
        </is>
      </c>
      <c r="I1792" s="66" t="inlineStr">
        <is>
          <t>76.692.840-4</t>
        </is>
      </c>
      <c r="J1792" s="66" t="n"/>
      <c r="K1792" s="66" t="inlineStr">
        <is>
          <t>Ventas: MEDIANA (Estimado por Empleados) | Empleados: 63</t>
        </is>
      </c>
      <c r="L1792" s="61" t="n"/>
      <c r="M1792" s="61" t="n"/>
      <c r="N1792" s="61" t="n"/>
      <c r="O1792" s="61" t="n"/>
      <c r="P1792" s="61" t="n"/>
      <c r="Q1792" s="62" t="n"/>
      <c r="R1792" s="61" t="n"/>
    </row>
    <row r="1793" ht="15.75" customHeight="1" s="38">
      <c r="A1793" s="66" t="inlineStr">
        <is>
          <t>SKF Chilena</t>
        </is>
      </c>
      <c r="B1793" s="66" t="inlineStr">
        <is>
          <t>Rodamientos, Soluciones de Sellado</t>
        </is>
      </c>
      <c r="C1793" s="66" t="inlineStr">
        <is>
          <t>Santiago</t>
        </is>
      </c>
      <c r="D1793" s="66" t="inlineStr">
        <is>
          <t>skf.chilena@skf.com</t>
        </is>
      </c>
      <c r="E1793" s="66" t="n"/>
      <c r="F1793" s="66" t="n"/>
      <c r="G1793" s="66" t="n"/>
      <c r="H1793" s="66" t="n"/>
      <c r="I1793" s="66" t="inlineStr">
        <is>
          <t>93.779.000-7</t>
        </is>
      </c>
      <c r="J1793" s="66" t="n"/>
      <c r="K1793" s="66" t="inlineStr">
        <is>
          <t>Ventas: GRANDE (Estimado por Empleados) | Empleados: 425</t>
        </is>
      </c>
      <c r="L1793" s="61" t="n"/>
      <c r="M1793" s="61" t="n"/>
      <c r="N1793" s="61" t="n"/>
      <c r="O1793" s="61" t="n"/>
      <c r="P1793" s="61" t="n"/>
      <c r="Q1793" s="62" t="n"/>
      <c r="R1793" s="61" t="n"/>
    </row>
    <row r="1794" ht="15.75" customHeight="1" s="38">
      <c r="A1794" s="59" t="inlineStr">
        <is>
          <t>SKM Industrial Ltda.</t>
        </is>
      </c>
      <c r="B1794" s="59" t="inlineStr">
        <is>
          <t>Construcción y Montaje de Estructuras Metálicas, Pasarelas, Barandas y Greatings, Electromecánica, Taller de Reparación y Fabricación de Poleas, Reductores y Componentes Mecánicos, Taller de Reparaciones de Motores Eléctricos Baja, Media y Alta Tensión</t>
        </is>
      </c>
      <c r="C1794" s="59" t="inlineStr">
        <is>
          <t>Antofagasta</t>
        </is>
      </c>
      <c r="D1794" s="59" t="inlineStr">
        <is>
          <t>ventas@skmindustrial.cl</t>
        </is>
      </c>
      <c r="E1794" s="59" t="inlineStr">
        <is>
          <t>(56) 55 276 0000</t>
        </is>
      </c>
      <c r="F1794" s="59" t="inlineStr">
        <is>
          <t>Juan Pablo Bustamante Cataldo (Gerente Proyectos)</t>
        </is>
      </c>
      <c r="G1794" s="59" t="n"/>
      <c r="H1794" s="59" t="n"/>
      <c r="I1794" s="59" t="inlineStr">
        <is>
          <t>76.065.017-K</t>
        </is>
      </c>
      <c r="J1794" s="59" t="inlineStr">
        <is>
          <t>Eficiencia Mantenimiento Industrial</t>
        </is>
      </c>
      <c r="K1794" s="59" t="inlineStr">
        <is>
          <t>Ventas: GRANDE 3 (600.000 - 1.000.000 UF) | Empleados: 98</t>
        </is>
      </c>
      <c r="L1794" s="61" t="n"/>
      <c r="M1794" s="61" t="n"/>
      <c r="N1794" s="61" t="n"/>
      <c r="O1794" s="61" t="n"/>
      <c r="P1794" s="61" t="n"/>
      <c r="Q1794" s="62" t="n"/>
      <c r="R1794" s="61" t="n"/>
    </row>
    <row r="1795" ht="15.75" customHeight="1" s="38">
      <c r="A1795" s="59" t="inlineStr">
        <is>
          <t>SKY Airline</t>
        </is>
      </c>
      <c r="B1795" s="59" t="inlineStr">
        <is>
          <t>Transporte Aéreo de Carga, Transporte Aéreo de Pasajeros</t>
        </is>
      </c>
      <c r="C1795" s="59" t="inlineStr">
        <is>
          <t>Santiago</t>
        </is>
      </c>
      <c r="D1795" s="59" t="inlineStr">
        <is>
          <t>contacto.empresas@skyairline.com</t>
        </is>
      </c>
      <c r="E1795" s="59" t="inlineStr">
        <is>
          <t>(56) 2 2384 2991</t>
        </is>
      </c>
      <c r="F1795" s="59" t="inlineStr">
        <is>
          <t>Iskun Saborido (CDO &amp; CIO)</t>
        </is>
      </c>
      <c r="G1795" s="59" t="n"/>
      <c r="H1795" s="59" t="n"/>
      <c r="I1795" s="59" t="inlineStr">
        <is>
          <t>88.417.000-1</t>
        </is>
      </c>
      <c r="J1795" s="59" t="inlineStr">
        <is>
          <t>Sistemas Información Aérea</t>
        </is>
      </c>
      <c r="K1795" s="59" t="inlineStr">
        <is>
          <t>Ventas: GRANDE (Estimado por Empleados) | Empleados: 1820</t>
        </is>
      </c>
      <c r="L1795" s="61" t="n"/>
      <c r="M1795" s="61" t="n"/>
      <c r="N1795" s="61" t="n"/>
      <c r="O1795" s="61" t="n"/>
      <c r="P1795" s="61" t="n"/>
      <c r="Q1795" s="62" t="n"/>
      <c r="R1795" s="61" t="n"/>
    </row>
    <row r="1796" ht="15.75" customHeight="1" s="38">
      <c r="A1796" s="66" t="inlineStr">
        <is>
          <t>Skynav</t>
        </is>
      </c>
      <c r="B1796" s="66" t="inlineStr">
        <is>
          <t>Control de Acceso de Personal</t>
        </is>
      </c>
      <c r="C1796" s="66" t="inlineStr">
        <is>
          <t>Santiago</t>
        </is>
      </c>
      <c r="D1796" s="66" t="inlineStr">
        <is>
          <t>ventas@skynav.cl</t>
        </is>
      </c>
      <c r="E1796" s="66" t="inlineStr">
        <is>
          <t>(56) 2 3340 6991</t>
        </is>
      </c>
      <c r="F1796" s="66" t="n"/>
      <c r="G1796" s="66" t="n"/>
      <c r="H1796" s="66" t="n"/>
      <c r="I1796" s="66" t="inlineStr">
        <is>
          <t>76.242.812-1</t>
        </is>
      </c>
      <c r="J1796" s="66" t="n"/>
      <c r="K1796" s="66" t="inlineStr">
        <is>
          <t>Ventas: MEDIANA 1 (25.000 - 50.000 UF) | Empleados: 9</t>
        </is>
      </c>
      <c r="L1796" s="61" t="n"/>
      <c r="M1796" s="61" t="n"/>
      <c r="N1796" s="61" t="n"/>
      <c r="O1796" s="61" t="n"/>
      <c r="P1796" s="61" t="n"/>
      <c r="Q1796" s="62" t="n"/>
      <c r="R1796" s="61" t="n"/>
    </row>
    <row r="1797" ht="15.75" customHeight="1" s="38">
      <c r="A1797" s="66" t="inlineStr">
        <is>
          <t>Slaven</t>
        </is>
      </c>
      <c r="B1797" s="66" t="inlineStr">
        <is>
          <t>Arriendo de Grupos Electrógenos</t>
        </is>
      </c>
      <c r="C1797" s="66" t="inlineStr">
        <is>
          <t>Antofagasta</t>
        </is>
      </c>
      <c r="D1797" s="66" t="inlineStr">
        <is>
          <t>ventas@slaven.cl</t>
        </is>
      </c>
      <c r="E1797" s="66" t="inlineStr">
        <is>
          <t>(56) 55 221 8787</t>
        </is>
      </c>
      <c r="F1797" s="66" t="n"/>
      <c r="G1797" s="66" t="n"/>
      <c r="H1797" s="66" t="n"/>
      <c r="I1797" s="66" t="inlineStr">
        <is>
          <t>76.208.801-0</t>
        </is>
      </c>
      <c r="J1797" s="66" t="n"/>
      <c r="K1797" s="66" t="inlineStr">
        <is>
          <t>Ventas: PEQUEÑA 3 (10.000 - 25.000 UF) | Empleados: 0</t>
        </is>
      </c>
      <c r="L1797" s="61" t="n"/>
      <c r="M1797" s="61" t="n"/>
      <c r="N1797" s="61" t="n"/>
      <c r="O1797" s="61" t="n"/>
      <c r="P1797" s="61" t="n"/>
      <c r="Q1797" s="62" t="n"/>
      <c r="R1797" s="61" t="n"/>
    </row>
    <row r="1798" ht="15.75" customHeight="1" s="38">
      <c r="A1798" s="66" t="inlineStr">
        <is>
          <t>SMC Corporation (Chile) S.A.</t>
        </is>
      </c>
      <c r="B1798" s="66" t="inlineStr">
        <is>
          <t>Actuadores Eléctricos, Automatización</t>
        </is>
      </c>
      <c r="C1798" s="66" t="inlineStr">
        <is>
          <t>Santiago</t>
        </is>
      </c>
      <c r="D1798" s="66" t="inlineStr">
        <is>
          <t>davalos.miguel@smc.com</t>
        </is>
      </c>
      <c r="E1798" s="66" t="inlineStr">
        <is>
          <t>(56) 2 2270 8600</t>
        </is>
      </c>
      <c r="F1798" s="66" t="n"/>
      <c r="G1798" s="66" t="n"/>
      <c r="H1798" s="66" t="n"/>
      <c r="I1798" s="66" t="inlineStr">
        <is>
          <t>89.906.900-5</t>
        </is>
      </c>
      <c r="J1798" s="66" t="n"/>
      <c r="K1798" s="66" t="inlineStr">
        <is>
          <t>Ventas: GRANDE 3 (600.000 - 1.000.000 UF) | Empleados: 100</t>
        </is>
      </c>
      <c r="L1798" s="61" t="n"/>
      <c r="M1798" s="61" t="n"/>
      <c r="N1798" s="61" t="n"/>
      <c r="O1798" s="61" t="n"/>
      <c r="P1798" s="61" t="n"/>
      <c r="Q1798" s="62" t="n"/>
      <c r="R1798" s="61" t="n"/>
    </row>
    <row r="1799" ht="15.75" customHeight="1" s="38">
      <c r="A1799" s="66" t="inlineStr">
        <is>
          <t>Smec Chile</t>
        </is>
      </c>
      <c r="B1799" s="66" t="inlineStr">
        <is>
          <t>Proyectos para Energía</t>
        </is>
      </c>
      <c r="C1799" s="66" t="inlineStr">
        <is>
          <t>Santiago</t>
        </is>
      </c>
      <c r="D1799" s="66" t="n"/>
      <c r="E1799" s="66" t="inlineStr">
        <is>
          <t>(56) 2 3221 7770</t>
        </is>
      </c>
      <c r="F1799" s="66" t="n"/>
      <c r="G1799" s="66" t="n"/>
      <c r="H1799" s="66" t="n"/>
      <c r="I1799" s="66" t="inlineStr">
        <is>
          <t>76.058.684-6</t>
        </is>
      </c>
      <c r="J1799" s="66" t="n"/>
      <c r="K1799" s="66" t="inlineStr">
        <is>
          <t>Ventas: GRANDE 3 (600.000 - 1.000.000 UF) | Empleados: 181</t>
        </is>
      </c>
      <c r="L1799" s="61" t="n"/>
      <c r="M1799" s="61" t="n"/>
      <c r="N1799" s="61" t="n"/>
      <c r="O1799" s="61" t="n"/>
      <c r="P1799" s="61" t="n"/>
      <c r="Q1799" s="62" t="n"/>
      <c r="R1799" s="61" t="n"/>
    </row>
    <row r="1800" ht="15.75" customHeight="1" s="38">
      <c r="A1800" s="66" t="inlineStr">
        <is>
          <t>SMI SpA</t>
        </is>
      </c>
      <c r="B1800" s="66" t="inlineStr">
        <is>
          <t>Calibración de Instrumentos, Certificación de Instrumentos</t>
        </is>
      </c>
      <c r="C1800" s="66" t="inlineStr">
        <is>
          <t>Santiago</t>
        </is>
      </c>
      <c r="D1800" s="66" t="inlineStr">
        <is>
          <t>smi@smilab.cl</t>
        </is>
      </c>
      <c r="E1800" s="66" t="inlineStr">
        <is>
          <t>(56) 2 2556 3599</t>
        </is>
      </c>
      <c r="F1800" s="66" t="n"/>
      <c r="G1800" s="66" t="n"/>
      <c r="H1800" s="66" t="n"/>
      <c r="I1800" s="66" t="inlineStr">
        <is>
          <t>77009323-6</t>
        </is>
      </c>
      <c r="J1800" s="66" t="n"/>
      <c r="K1800" s="66" t="inlineStr">
        <is>
          <t>Ventas: PEQUEÑA 1 (2.400 - 5.000 UF) | Empleados: 0</t>
        </is>
      </c>
      <c r="L1800" s="61" t="n"/>
      <c r="M1800" s="61" t="n"/>
      <c r="N1800" s="61" t="n"/>
      <c r="O1800" s="61" t="n"/>
      <c r="P1800" s="61" t="n"/>
      <c r="Q1800" s="62" t="n"/>
      <c r="R1800" s="61" t="n"/>
    </row>
    <row r="1801" ht="15.75" customHeight="1" s="38">
      <c r="A1801" s="66" t="inlineStr">
        <is>
          <t>Smi-Ice Chile SpA</t>
        </is>
      </c>
      <c r="B1801" s="66" t="inlineStr">
        <is>
          <t>Centro de Excelencia Internacional, Sustainable Minerals Institute, The University of Queensland</t>
        </is>
      </c>
      <c r="C1801" s="66" t="inlineStr">
        <is>
          <t>Santiago</t>
        </is>
      </c>
      <c r="D1801" s="66" t="inlineStr">
        <is>
          <t>contacto@smiicechile.cl</t>
        </is>
      </c>
      <c r="E1801" s="66" t="inlineStr">
        <is>
          <t>(56) 2 2307 9710</t>
        </is>
      </c>
      <c r="F1801" s="66" t="n"/>
      <c r="G1801" s="66" t="n"/>
      <c r="H1801" s="66" t="n"/>
      <c r="I1801" s="66" t="inlineStr">
        <is>
          <t>76.239.203-8</t>
        </is>
      </c>
      <c r="J1801" s="66" t="n"/>
      <c r="K1801" s="66" t="inlineStr">
        <is>
          <t>Ventas: GRANDE 1 (100.000 - 200.000 UF) | Empleados: 33</t>
        </is>
      </c>
      <c r="L1801" s="61" t="n"/>
      <c r="M1801" s="61" t="n"/>
      <c r="N1801" s="61" t="n"/>
      <c r="O1801" s="61" t="n"/>
      <c r="P1801" s="61" t="n"/>
      <c r="Q1801" s="62" t="n"/>
      <c r="R1801" s="61" t="n"/>
    </row>
    <row r="1802" ht="15.75" customHeight="1" s="38">
      <c r="A1802" s="66" t="inlineStr">
        <is>
          <t>SMT Scharf Sudamérica SpA</t>
        </is>
      </c>
      <c r="B1802" s="66" t="inlineStr">
        <is>
          <t>Sistemas de Transporte por Monorriel para Minería Subterránea, Vehículos Eléctricos Subterráneos</t>
        </is>
      </c>
      <c r="C1802" s="66" t="inlineStr">
        <is>
          <t>Santiago</t>
        </is>
      </c>
      <c r="D1802" s="66" t="inlineStr">
        <is>
          <t>jaime.estay@smtscharf.com</t>
        </is>
      </c>
      <c r="E1802" s="66" t="inlineStr">
        <is>
          <t>(56) 2 2335 6101</t>
        </is>
      </c>
      <c r="F1802" s="66" t="n"/>
      <c r="G1802" s="66" t="n"/>
      <c r="H1802" s="66" t="n"/>
      <c r="I1802" s="66" t="inlineStr">
        <is>
          <t>76.736.466-0</t>
        </is>
      </c>
      <c r="J1802" s="66" t="n"/>
      <c r="K1802" s="66" t="inlineStr">
        <is>
          <t>Ventas: PEQUEÑA 1 (2.400 - 5.000 UF) | Empleados: 1</t>
        </is>
      </c>
      <c r="L1802" s="61" t="n"/>
      <c r="M1802" s="61" t="n"/>
      <c r="N1802" s="61" t="n"/>
      <c r="O1802" s="61" t="n"/>
      <c r="P1802" s="61" t="n"/>
      <c r="Q1802" s="62" t="n"/>
      <c r="R1802" s="61" t="n"/>
    </row>
    <row r="1803" ht="15.75" customHeight="1" s="38">
      <c r="A1803" s="66" t="inlineStr">
        <is>
          <t>SNC-Lavalin Chile S.A.</t>
        </is>
      </c>
      <c r="B1803" s="66" t="inlineStr">
        <is>
          <t>Contratos EPC-EPCM, Proyectos Mineros</t>
        </is>
      </c>
      <c r="C1803" s="66" t="inlineStr">
        <is>
          <t>Santiago</t>
        </is>
      </c>
      <c r="D1803" s="66" t="n"/>
      <c r="E1803" s="66" t="inlineStr">
        <is>
          <t>(56) 2 2431 2800</t>
        </is>
      </c>
      <c r="F1803" s="66" t="n"/>
      <c r="G1803" s="66" t="n"/>
      <c r="H1803" s="66" t="n"/>
      <c r="I1803" s="66" t="inlineStr">
        <is>
          <t>79.563.120-8</t>
        </is>
      </c>
      <c r="J1803" s="66" t="n"/>
      <c r="K1803" s="66" t="inlineStr">
        <is>
          <t>Ventas: MICRO 1 (0.01 - 200 UF) | Empleados: 0</t>
        </is>
      </c>
      <c r="L1803" s="61" t="n"/>
      <c r="M1803" s="61" t="n"/>
      <c r="N1803" s="61" t="n"/>
      <c r="O1803" s="61" t="n"/>
      <c r="P1803" s="61" t="n"/>
      <c r="Q1803" s="62" t="n"/>
      <c r="R1803" s="61" t="n"/>
    </row>
    <row r="1804" ht="15.75" customHeight="1" s="38">
      <c r="A1804" s="66" t="inlineStr">
        <is>
          <t>SNF Chile</t>
        </is>
      </c>
      <c r="B1804" s="66" t="inlineStr">
        <is>
          <t>Productos Químicos</t>
        </is>
      </c>
      <c r="C1804" s="66" t="inlineStr">
        <is>
          <t>Santiago</t>
        </is>
      </c>
      <c r="D1804" s="66" t="inlineStr">
        <is>
          <t>info@snf-chile.com</t>
        </is>
      </c>
      <c r="E1804" s="66" t="inlineStr">
        <is>
          <t>(56) 2 2726 9801</t>
        </is>
      </c>
      <c r="F1804" s="66" t="inlineStr">
        <is>
          <t>Gerente de TI / CIO (Director de Tecnología)</t>
        </is>
      </c>
      <c r="G1804" s="66" t="n"/>
      <c r="H1804" s="66" t="n"/>
      <c r="I1804" s="66" t="inlineStr">
        <is>
          <t>76.380.300-7</t>
        </is>
      </c>
      <c r="J1804" s="66" t="n"/>
      <c r="K1804" s="66" t="inlineStr">
        <is>
          <t>Ventas: GRANDE 4 (Mas de 1.000.000 UF) | Empleados: 49</t>
        </is>
      </c>
      <c r="L1804" s="61" t="n"/>
      <c r="M1804" s="61" t="n"/>
      <c r="N1804" s="61" t="n"/>
      <c r="O1804" s="61" t="n"/>
      <c r="P1804" s="61" t="n"/>
      <c r="Q1804" s="62" t="n"/>
      <c r="R1804" s="61" t="n"/>
    </row>
    <row r="1805" ht="15.75" customHeight="1" s="38">
      <c r="A1805" s="66" t="inlineStr">
        <is>
          <t>Sobitec SpA</t>
        </is>
      </c>
      <c r="B1805" s="66" t="inlineStr">
        <is>
          <t>Bombas, Compresores</t>
        </is>
      </c>
      <c r="C1805" s="66" t="inlineStr">
        <is>
          <t>Santiago</t>
        </is>
      </c>
      <c r="D1805" s="66" t="inlineStr">
        <is>
          <t>contacto@sobitec.com</t>
        </is>
      </c>
      <c r="E1805" s="66" t="inlineStr">
        <is>
          <t>(56) 9 3269 8859</t>
        </is>
      </c>
      <c r="F1805" s="66" t="n"/>
      <c r="G1805" s="66" t="n"/>
      <c r="H1805" s="66" t="n"/>
      <c r="I1805" s="66" t="inlineStr">
        <is>
          <t>78.976.710-6</t>
        </is>
      </c>
      <c r="J1805" s="66" t="n"/>
      <c r="K1805" s="66" t="inlineStr">
        <is>
          <t>Ventas: GRANDE 1 (100.000 - 200.000 UF) | Empleados: 46</t>
        </is>
      </c>
      <c r="L1805" s="61" t="n"/>
      <c r="M1805" s="61" t="n"/>
      <c r="N1805" s="61" t="n"/>
      <c r="O1805" s="61" t="n"/>
      <c r="P1805" s="61" t="n"/>
      <c r="Q1805" s="62" t="n"/>
      <c r="R1805" s="61" t="n"/>
    </row>
    <row r="1806" ht="15.75" customHeight="1" s="38">
      <c r="A1806" s="59" t="inlineStr">
        <is>
          <t>Socadin</t>
        </is>
      </c>
      <c r="B1806" s="59" t="inlineStr">
        <is>
          <t>Cadenas para la Nieve, Cadenas Protectoras para Maquinaria, Cuñas para Vehículos Mineros</t>
        </is>
      </c>
      <c r="C1806" s="59" t="inlineStr">
        <is>
          <t>Santiago</t>
        </is>
      </c>
      <c r="D1806" s="59" t="inlineStr">
        <is>
          <t>ventas@socadin.cl</t>
        </is>
      </c>
      <c r="E1806" s="59" t="inlineStr">
        <is>
          <t>(56) 2 2773 3726</t>
        </is>
      </c>
      <c r="F1806" s="59" t="inlineStr">
        <is>
          <t>Felipe Leyton Cuevas (Jefe de Operaciones)</t>
        </is>
      </c>
      <c r="G1806" s="59" t="n"/>
      <c r="H1806" s="59" t="n"/>
      <c r="I1806" s="59" t="inlineStr">
        <is>
          <t>85.385.800-5</t>
        </is>
      </c>
      <c r="J1806" s="59" t="inlineStr">
        <is>
          <t>Logística Supply Chain Cadenas Minería</t>
        </is>
      </c>
      <c r="K1806" s="59" t="inlineStr">
        <is>
          <t>Ventas: GRANDE 2 (200.000 - 600.000 UF) | Empleados: 28</t>
        </is>
      </c>
      <c r="L1806" s="61" t="n"/>
      <c r="M1806" s="61" t="n"/>
      <c r="N1806" s="61" t="n"/>
      <c r="O1806" s="61" t="n"/>
      <c r="P1806" s="61" t="n"/>
      <c r="Q1806" s="62" t="n"/>
      <c r="R1806" s="61" t="n"/>
    </row>
    <row r="1807" ht="15.75" customHeight="1" s="38">
      <c r="A1807" s="66" t="inlineStr">
        <is>
          <t>Social Capital Group</t>
        </is>
      </c>
      <c r="B1807" s="66" t="inlineStr">
        <is>
          <t>Consultora en Temas Sociales</t>
        </is>
      </c>
      <c r="C1807" s="66" t="inlineStr">
        <is>
          <t>Santiago</t>
        </is>
      </c>
      <c r="D1807" s="66" t="inlineStr">
        <is>
          <t>contactus@s-c-g.net</t>
        </is>
      </c>
      <c r="E1807" s="66" t="inlineStr">
        <is>
          <t>(56) 9 7930 8975</t>
        </is>
      </c>
      <c r="F1807" s="66" t="n"/>
      <c r="G1807" s="66" t="n"/>
      <c r="H1807" s="66" t="n"/>
      <c r="I1807" s="66" t="inlineStr">
        <is>
          <t>76937275-K</t>
        </is>
      </c>
      <c r="J1807" s="66" t="n"/>
      <c r="K1807" s="66" t="inlineStr">
        <is>
          <t>Ventas: MEDIANA 2 (50.000 - 100.000 UF) | Empleados: 3</t>
        </is>
      </c>
      <c r="L1807" s="61" t="n"/>
      <c r="M1807" s="61" t="n"/>
      <c r="N1807" s="61" t="n"/>
      <c r="O1807" s="61" t="n"/>
      <c r="P1807" s="61" t="n"/>
      <c r="Q1807" s="62" t="n"/>
      <c r="R1807" s="61" t="n"/>
    </row>
    <row r="1808" ht="15.75" customHeight="1" s="38">
      <c r="A1808" s="66" t="inlineStr">
        <is>
          <t>Sociedad Diesel O.M.T. Ltda.</t>
        </is>
      </c>
      <c r="B1808" s="66" t="inlineStr">
        <is>
          <t>Reparación de Bombas de Inyección, Soldaduras Especiales</t>
        </is>
      </c>
      <c r="C1808" s="66" t="inlineStr">
        <is>
          <t>Antofagasta</t>
        </is>
      </c>
      <c r="D1808" s="66" t="inlineStr">
        <is>
          <t>contacto@dieselomt.cl</t>
        </is>
      </c>
      <c r="E1808" s="66" t="inlineStr">
        <is>
          <t>(56) 55 223 8952</t>
        </is>
      </c>
      <c r="F1808" s="66" t="n"/>
      <c r="G1808" s="66" t="n"/>
      <c r="H1808" s="66" t="n"/>
      <c r="I1808" s="66" t="inlineStr">
        <is>
          <t>76.608.790-6</t>
        </is>
      </c>
      <c r="J1808" s="66" t="n"/>
      <c r="K1808" s="66" t="inlineStr">
        <is>
          <t>Ventas: MEDIANA 2 (50.000 - 100.000 UF) | Empleados: 36</t>
        </is>
      </c>
      <c r="L1808" s="61" t="n"/>
      <c r="M1808" s="61" t="n"/>
      <c r="N1808" s="61" t="n"/>
      <c r="O1808" s="61" t="n"/>
      <c r="P1808" s="61" t="n"/>
      <c r="Q1808" s="62" t="n"/>
      <c r="R1808" s="61" t="n"/>
    </row>
    <row r="1809" ht="15.75" customHeight="1" s="38">
      <c r="A1809" s="66" t="inlineStr">
        <is>
          <t>Sociedad Punta de Lobos, SPL</t>
        </is>
      </c>
      <c r="B1809" s="66" t="inlineStr">
        <is>
          <t>Proveedor Destacado, Productos para la Industria Vial, Productos para Lixiviación, Sal para Estabilización de Suelos</t>
        </is>
      </c>
      <c r="C1809" s="66" t="inlineStr">
        <is>
          <t>Santiago</t>
        </is>
      </c>
      <c r="D1809" s="66" t="inlineStr">
        <is>
          <t>contacto@spl-latam.com</t>
        </is>
      </c>
      <c r="E1809" s="66" t="inlineStr">
        <is>
          <t>(56) 2 2469 6200</t>
        </is>
      </c>
      <c r="F1809" s="66" t="n"/>
      <c r="G1809" s="66" t="n"/>
      <c r="H1809" s="66" t="inlineStr">
        <is>
          <t>http://www.spl-latam.com</t>
        </is>
      </c>
      <c r="I1809" s="66" t="inlineStr">
        <is>
          <t>76.541.630-2</t>
        </is>
      </c>
      <c r="J1809" s="66" t="n"/>
      <c r="K1809" s="66" t="inlineStr">
        <is>
          <t>Ventas: GRANDE (Estimado por Empleados) | Empleados: 452</t>
        </is>
      </c>
      <c r="L1809" s="61" t="n"/>
      <c r="M1809" s="61" t="n"/>
      <c r="N1809" s="61" t="n"/>
      <c r="O1809" s="61" t="n"/>
      <c r="P1809" s="61" t="n"/>
      <c r="Q1809" s="62" t="n"/>
      <c r="R1809" s="61" t="n"/>
    </row>
    <row r="1810" ht="15.75" customHeight="1" s="38">
      <c r="A1810" s="66" t="inlineStr">
        <is>
          <t>Sodel Chile S.A.</t>
        </is>
      </c>
      <c r="B1810" s="66" t="inlineStr">
        <is>
          <t>Soldaduras, Soldaduras Especiales</t>
        </is>
      </c>
      <c r="C1810" s="66" t="inlineStr">
        <is>
          <t>Santiago</t>
        </is>
      </c>
      <c r="D1810" s="66" t="inlineStr">
        <is>
          <t>jorge.andrade@sodel.cl</t>
        </is>
      </c>
      <c r="E1810" s="66" t="inlineStr">
        <is>
          <t>(56) 2 2811 9602</t>
        </is>
      </c>
      <c r="F1810" s="66" t="n"/>
      <c r="G1810" s="66" t="n"/>
      <c r="H1810" s="66" t="n"/>
      <c r="I1810" s="66" t="inlineStr">
        <is>
          <t>76.513.630-K</t>
        </is>
      </c>
      <c r="J1810" s="66" t="n"/>
      <c r="K1810" s="66" t="inlineStr">
        <is>
          <t>Ventas: PEQUEÑA 3 (10.000 - 25.000 UF) | Empleados: 4</t>
        </is>
      </c>
      <c r="L1810" s="61" t="n"/>
      <c r="M1810" s="61" t="n"/>
      <c r="N1810" s="61" t="n"/>
      <c r="O1810" s="61" t="n"/>
      <c r="P1810" s="61" t="n"/>
      <c r="Q1810" s="62" t="n"/>
      <c r="R1810" s="61" t="n"/>
    </row>
    <row r="1811" ht="15.75" customHeight="1" s="38">
      <c r="A1811" s="66" t="inlineStr">
        <is>
          <t>Sodexo Chile</t>
        </is>
      </c>
      <c r="B1811" s="66" t="inlineStr">
        <is>
          <t>Proveedor Destacado, Administración de Campamentos, Atención de Eventos Especiales, Programas de Salud y Bienestar, Servicios de Alimentación, Servicios de Gastronomía, Servicios de Ingeniería, Servicios de Limpieza Industrial, Servicios de Logística, Servicios de Mantenimiento, Servicios de Seguridad</t>
        </is>
      </c>
      <c r="C1811" s="66" t="inlineStr">
        <is>
          <t>Santiago</t>
        </is>
      </c>
      <c r="D1811" s="66" t="inlineStr">
        <is>
          <t>n.interna.onsite.cl@sodexo.com</t>
        </is>
      </c>
      <c r="E1811" s="66" t="inlineStr">
        <is>
          <t>(56) 2 2810 0100</t>
        </is>
      </c>
      <c r="F1811" s="66" t="n"/>
      <c r="G1811" s="66" t="n"/>
      <c r="H1811" s="66" t="inlineStr">
        <is>
          <t>http://cl.sodexo.com</t>
        </is>
      </c>
      <c r="I1811" s="66" t="inlineStr">
        <is>
          <t>76.556.490-K</t>
        </is>
      </c>
      <c r="J1811" s="66" t="n"/>
      <c r="K1811" s="66" t="inlineStr">
        <is>
          <t>Ventas: MICRO 1 (0.01 - 200 UF) | Empleados: 0</t>
        </is>
      </c>
      <c r="L1811" s="61" t="n"/>
      <c r="M1811" s="61" t="n"/>
      <c r="N1811" s="61" t="n"/>
      <c r="O1811" s="61" t="n"/>
      <c r="P1811" s="61" t="n"/>
      <c r="Q1811" s="62" t="n"/>
      <c r="R1811" s="61" t="n"/>
    </row>
    <row r="1812" ht="15.75" customHeight="1" s="38">
      <c r="A1812" s="66" t="inlineStr">
        <is>
          <t>Soinsa S.A.</t>
        </is>
      </c>
      <c r="B1812" s="66" t="inlineStr">
        <is>
          <t>Andamios, Encofrados</t>
        </is>
      </c>
      <c r="C1812" s="66" t="inlineStr">
        <is>
          <t>Santiago</t>
        </is>
      </c>
      <c r="D1812" s="66" t="inlineStr">
        <is>
          <t>encofrados@soinsa.cl</t>
        </is>
      </c>
      <c r="E1812" s="66" t="inlineStr">
        <is>
          <t>(56) 2 2345 5300</t>
        </is>
      </c>
      <c r="F1812" s="66" t="n"/>
      <c r="G1812" s="66" t="n"/>
      <c r="H1812" s="66" t="n"/>
      <c r="I1812" s="66" t="inlineStr">
        <is>
          <t>79.831.380-0</t>
        </is>
      </c>
      <c r="J1812" s="66" t="n"/>
      <c r="K1812" s="66" t="inlineStr">
        <is>
          <t>Ventas: GRANDE 2 (200.000 - 600.000 UF) | Empleados: 85</t>
        </is>
      </c>
      <c r="L1812" s="61" t="n"/>
      <c r="M1812" s="61" t="n"/>
      <c r="N1812" s="61" t="n"/>
      <c r="O1812" s="61" t="n"/>
      <c r="P1812" s="61" t="n"/>
      <c r="Q1812" s="62" t="n"/>
      <c r="R1812" s="61" t="n"/>
    </row>
    <row r="1813" ht="15.75" customHeight="1" s="38">
      <c r="A1813" s="59" t="inlineStr">
        <is>
          <t>Solarpack Chile Ltda.</t>
        </is>
      </c>
      <c r="B1813" s="59" t="inlineStr">
        <is>
          <t>Energía Solar</t>
        </is>
      </c>
      <c r="C1813" s="59" t="inlineStr">
        <is>
          <t>Santiago</t>
        </is>
      </c>
      <c r="D1813" s="59" t="inlineStr">
        <is>
          <t>info@solarpack.es</t>
        </is>
      </c>
      <c r="E1813" s="59" t="inlineStr">
        <is>
          <t>(56) 2 2335 8452</t>
        </is>
      </c>
      <c r="F1813" s="59" t="inlineStr">
        <is>
          <t>Enrique M. Henríquez López (EPC Manager)</t>
        </is>
      </c>
      <c r="G1813" s="59" t="n"/>
      <c r="H1813" s="59" t="n"/>
      <c r="I1813" s="59" t="inlineStr">
        <is>
          <t>76.041.002-0</t>
        </is>
      </c>
      <c r="J1813" s="59" t="inlineStr">
        <is>
          <t>Nuevas Plantas Fotovoltaicas &amp; Almacenamiento</t>
        </is>
      </c>
      <c r="K1813" s="59" t="inlineStr">
        <is>
          <t>Ventas: GRANDE 3 (600.000 - 1.000.000 UF) | Empleados: 70</t>
        </is>
      </c>
      <c r="L1813" s="61" t="n"/>
      <c r="M1813" s="61" t="n"/>
      <c r="N1813" s="61" t="n"/>
      <c r="O1813" s="61" t="n"/>
      <c r="P1813" s="61" t="n"/>
      <c r="Q1813" s="62" t="n"/>
      <c r="R1813" s="61" t="n"/>
    </row>
    <row r="1814" ht="15.75" customHeight="1" s="38">
      <c r="A1814" s="66" t="inlineStr">
        <is>
          <t>Soldymat</t>
        </is>
      </c>
      <c r="B1814" s="66" t="inlineStr">
        <is>
          <t>Resortes Espirales, Válvulas para Frenado Ferroviario</t>
        </is>
      </c>
      <c r="C1814" s="66" t="inlineStr">
        <is>
          <t>Santiago</t>
        </is>
      </c>
      <c r="D1814" s="66" t="inlineStr">
        <is>
          <t>ventas@soldymat.cl</t>
        </is>
      </c>
      <c r="E1814" s="66" t="inlineStr">
        <is>
          <t>(56) 2 2511 7695</t>
        </is>
      </c>
      <c r="F1814" s="66" t="n"/>
      <c r="G1814" s="66" t="n"/>
      <c r="H1814" s="66" t="n"/>
      <c r="I1814" s="66" t="inlineStr">
        <is>
          <t>76.135.692-5</t>
        </is>
      </c>
      <c r="J1814" s="66" t="n"/>
      <c r="K1814" s="66" t="inlineStr">
        <is>
          <t>Ventas: MEDIANA 2 (50.000 - 100.000 UF) | Empleados: 5</t>
        </is>
      </c>
      <c r="L1814" s="61" t="n"/>
      <c r="M1814" s="61" t="n"/>
      <c r="N1814" s="61" t="n"/>
      <c r="O1814" s="61" t="n"/>
      <c r="P1814" s="61" t="n"/>
      <c r="Q1814" s="62" t="n"/>
      <c r="R1814" s="61" t="n"/>
    </row>
    <row r="1815" ht="15.75" customHeight="1" s="38">
      <c r="A1815" s="66" t="inlineStr">
        <is>
          <t>Solek Chile Holding SpA</t>
        </is>
      </c>
      <c r="B1815" s="66" t="inlineStr">
        <is>
          <t>Desarrollo de Centrales Fotovoltaicas</t>
        </is>
      </c>
      <c r="C1815" s="66" t="inlineStr">
        <is>
          <t>Santiago</t>
        </is>
      </c>
      <c r="D1815" s="66" t="inlineStr">
        <is>
          <t>chile@solek.com</t>
        </is>
      </c>
      <c r="E1815" s="66" t="inlineStr">
        <is>
          <t>(56) 9 4591 8845</t>
        </is>
      </c>
      <c r="F1815" s="66" t="n"/>
      <c r="G1815" s="66" t="n"/>
      <c r="H1815" s="66" t="n"/>
      <c r="I1815" s="66" t="inlineStr">
        <is>
          <t>76415378-2</t>
        </is>
      </c>
      <c r="J1815" s="66" t="n"/>
      <c r="K1815" s="66" t="inlineStr">
        <is>
          <t>Ventas: PEQUEÑA 3 (10.000 - 25.000 UF) | Empleados: 0</t>
        </is>
      </c>
      <c r="L1815" s="61" t="n"/>
      <c r="M1815" s="61" t="n"/>
      <c r="N1815" s="61" t="n"/>
      <c r="O1815" s="61" t="n"/>
      <c r="P1815" s="61" t="n"/>
      <c r="Q1815" s="62" t="n"/>
      <c r="R1815" s="61" t="n"/>
    </row>
    <row r="1816" ht="15.75" customHeight="1" s="38">
      <c r="A1816" s="66" t="inlineStr">
        <is>
          <t>Solenor S.A.</t>
        </is>
      </c>
      <c r="B1816" s="66" t="inlineStr">
        <is>
          <t>Tratamiento de Residuos Peligrosos</t>
        </is>
      </c>
      <c r="C1816" s="66" t="inlineStr">
        <is>
          <t>Santiago</t>
        </is>
      </c>
      <c r="D1816" s="66" t="inlineStr">
        <is>
          <t>contacto@solenor.cl</t>
        </is>
      </c>
      <c r="E1816" s="66" t="inlineStr">
        <is>
          <t>(56) 52 235 8013</t>
        </is>
      </c>
      <c r="F1816" s="66" t="n"/>
      <c r="G1816" s="66" t="n"/>
      <c r="H1816" s="66" t="n"/>
      <c r="I1816" s="66" t="inlineStr">
        <is>
          <t>96.956.530-7</t>
        </is>
      </c>
      <c r="J1816" s="66" t="n"/>
      <c r="K1816" s="66" t="inlineStr">
        <is>
          <t>Ventas: GRANDE 1 (100.000 - 200.000 UF) | Empleados: 60</t>
        </is>
      </c>
      <c r="L1816" s="61" t="n"/>
      <c r="M1816" s="61" t="n"/>
      <c r="N1816" s="61" t="n"/>
      <c r="O1816" s="61" t="n"/>
      <c r="P1816" s="61" t="n"/>
      <c r="Q1816" s="62" t="n"/>
      <c r="R1816" s="61" t="n"/>
    </row>
    <row r="1817" ht="15.75" customHeight="1" s="38">
      <c r="A1817" s="66" t="inlineStr">
        <is>
          <t>Soletanche Bachy Chile S.A.</t>
        </is>
      </c>
      <c r="B1817" s="66" t="inlineStr">
        <is>
          <t>Proyectos para Infraestructura</t>
        </is>
      </c>
      <c r="C1817" s="66" t="inlineStr">
        <is>
          <t>Santiago</t>
        </is>
      </c>
      <c r="D1817" s="66" t="inlineStr">
        <is>
          <t>sbc@soletanche-bachy.cl</t>
        </is>
      </c>
      <c r="E1817" s="66" t="inlineStr">
        <is>
          <t>(56) 2 2584 9000</t>
        </is>
      </c>
      <c r="F1817" s="66" t="n"/>
      <c r="G1817" s="66" t="n"/>
      <c r="H1817" s="66" t="n"/>
      <c r="I1817" s="66" t="inlineStr">
        <is>
          <t>96.505.160-0</t>
        </is>
      </c>
      <c r="J1817" s="66" t="n"/>
      <c r="K1817" s="66" t="inlineStr">
        <is>
          <t>Ventas: GRANDE (Estimado por Empleados) | Empleados: 910</t>
        </is>
      </c>
      <c r="L1817" s="61" t="n"/>
      <c r="M1817" s="61" t="n"/>
      <c r="N1817" s="61" t="n"/>
      <c r="O1817" s="61" t="n"/>
      <c r="P1817" s="61" t="n"/>
      <c r="Q1817" s="62" t="n"/>
      <c r="R1817" s="61" t="n"/>
    </row>
    <row r="1818" ht="15.75" customHeight="1" s="38">
      <c r="A1818" s="66" t="inlineStr">
        <is>
          <t>Solmex</t>
        </is>
      </c>
      <c r="B1818" s="66" t="inlineStr">
        <is>
          <t>Contenedores, Contenedores Habitables</t>
        </is>
      </c>
      <c r="C1818" s="66" t="inlineStr">
        <is>
          <t>Santiago</t>
        </is>
      </c>
      <c r="D1818" s="66" t="inlineStr">
        <is>
          <t>ventas@solmex.cl</t>
        </is>
      </c>
      <c r="E1818" s="66" t="inlineStr">
        <is>
          <t>(56) 2 2290 4500</t>
        </is>
      </c>
      <c r="F1818" s="66" t="n"/>
      <c r="G1818" s="66" t="n"/>
      <c r="H1818" s="66" t="n"/>
      <c r="I1818" s="66" t="inlineStr">
        <is>
          <t>77.003.950-9</t>
        </is>
      </c>
      <c r="J1818" s="66" t="n"/>
      <c r="K1818" s="66" t="inlineStr">
        <is>
          <t>Ventas: GRANDE 3 (600.000 - 1.000.000 UF) | Empleados: 140</t>
        </is>
      </c>
      <c r="L1818" s="61" t="n"/>
      <c r="M1818" s="61" t="n"/>
      <c r="N1818" s="61" t="n"/>
      <c r="O1818" s="61" t="n"/>
      <c r="P1818" s="61" t="n"/>
      <c r="Q1818" s="62" t="n"/>
      <c r="R1818" s="61" t="n"/>
    </row>
    <row r="1819" ht="15.75" customHeight="1" s="38">
      <c r="A1819" s="66" t="inlineStr">
        <is>
          <t>Soltec Chile</t>
        </is>
      </c>
      <c r="B1819" s="66" t="inlineStr">
        <is>
          <t>Soldaduras</t>
        </is>
      </c>
      <c r="C1819" s="66" t="inlineStr">
        <is>
          <t>Santiago</t>
        </is>
      </c>
      <c r="D1819" s="66" t="inlineStr">
        <is>
          <t>contacto@soltec.cl</t>
        </is>
      </c>
      <c r="E1819" s="66" t="inlineStr">
        <is>
          <t>(56) 9 4950 1777</t>
        </is>
      </c>
      <c r="F1819" s="66" t="n"/>
      <c r="G1819" s="66" t="n"/>
      <c r="H1819" s="66" t="n"/>
      <c r="I1819" s="66" t="inlineStr">
        <is>
          <t>76.488.020-K</t>
        </is>
      </c>
      <c r="J1819" s="66" t="n"/>
      <c r="K1819" s="66" t="inlineStr">
        <is>
          <t>Ventas: GRANDE 2 (200.000 - 600.000 UF) | Empleados: 55</t>
        </is>
      </c>
      <c r="L1819" s="61" t="n"/>
      <c r="M1819" s="61" t="n"/>
      <c r="N1819" s="61" t="n"/>
      <c r="O1819" s="61" t="n"/>
      <c r="P1819" s="61" t="n"/>
      <c r="Q1819" s="62" t="n"/>
      <c r="R1819" s="61" t="n"/>
    </row>
    <row r="1820" ht="15.75" customHeight="1" s="38">
      <c r="A1820" s="66" t="inlineStr">
        <is>
          <t>Soltex</t>
        </is>
      </c>
      <c r="B1820" s="66" t="inlineStr">
        <is>
          <t>Válvulas</t>
        </is>
      </c>
      <c r="C1820" s="66" t="inlineStr">
        <is>
          <t>Santiago</t>
        </is>
      </c>
      <c r="D1820" s="66" t="inlineStr">
        <is>
          <t>central@soltex.cl</t>
        </is>
      </c>
      <c r="E1820" s="66" t="inlineStr">
        <is>
          <t>(56) 2 2730 4700</t>
        </is>
      </c>
      <c r="F1820" s="66" t="n"/>
      <c r="G1820" s="66" t="n"/>
      <c r="H1820" s="66" t="n"/>
      <c r="I1820" s="66" t="inlineStr">
        <is>
          <t>96.507.490-2</t>
        </is>
      </c>
      <c r="J1820" s="66" t="n"/>
      <c r="K1820" s="66" t="inlineStr">
        <is>
          <t>Ventas: GRANDE (Estimado por Empleados) | Empleados: 208</t>
        </is>
      </c>
      <c r="L1820" s="61" t="n"/>
      <c r="M1820" s="61" t="n"/>
      <c r="N1820" s="61" t="n"/>
      <c r="O1820" s="61" t="n"/>
      <c r="P1820" s="61" t="n"/>
      <c r="Q1820" s="62" t="n"/>
      <c r="R1820" s="61" t="n"/>
    </row>
    <row r="1821" ht="15.75" customHeight="1" s="38">
      <c r="A1821" s="66" t="inlineStr">
        <is>
          <t>Solvay Chile</t>
        </is>
      </c>
      <c r="B1821" s="66" t="inlineStr">
        <is>
          <t>Productos Químicos para la Minería</t>
        </is>
      </c>
      <c r="C1821" s="66" t="inlineStr">
        <is>
          <t>Santiago</t>
        </is>
      </c>
      <c r="D1821" s="66" t="n"/>
      <c r="E1821" s="66" t="inlineStr">
        <is>
          <t>(56) 2 2560 7900</t>
        </is>
      </c>
      <c r="F1821" s="66" t="n"/>
      <c r="G1821" s="66" t="n"/>
      <c r="H1821" s="66" t="n"/>
      <c r="I1821" s="66" t="inlineStr">
        <is>
          <t>96.686.630-6</t>
        </is>
      </c>
      <c r="J1821" s="66" t="n"/>
      <c r="K1821" s="66" t="inlineStr">
        <is>
          <t>Ventas: PEQUEÑA (Estimado por Empleados) | Empleados: 32</t>
        </is>
      </c>
      <c r="L1821" s="61" t="n"/>
      <c r="M1821" s="61" t="n"/>
      <c r="N1821" s="61" t="n"/>
      <c r="O1821" s="61" t="n"/>
      <c r="P1821" s="61" t="n"/>
      <c r="Q1821" s="62" t="n"/>
      <c r="R1821" s="61" t="n"/>
    </row>
    <row r="1822" ht="15.75" customHeight="1" s="38">
      <c r="A1822" s="66" t="inlineStr">
        <is>
          <t>SommerGroup</t>
        </is>
      </c>
      <c r="B1822" s="66" t="inlineStr">
        <is>
          <t>Asesorías en Recursos Humanos, Selección y Reclutamiento de Ejecutivos y Personal</t>
        </is>
      </c>
      <c r="C1822" s="66" t="inlineStr">
        <is>
          <t>Santiago</t>
        </is>
      </c>
      <c r="D1822" s="66" t="inlineStr">
        <is>
          <t>conversemo@sommergroup.com</t>
        </is>
      </c>
      <c r="E1822" s="66" t="inlineStr">
        <is>
          <t>(56) 2 2899 3900</t>
        </is>
      </c>
      <c r="F1822" s="66" t="n"/>
      <c r="G1822" s="66" t="n"/>
      <c r="H1822" s="66" t="n"/>
      <c r="I1822" s="66" t="inlineStr">
        <is>
          <t>76.580.320-9</t>
        </is>
      </c>
      <c r="J1822" s="66" t="n"/>
      <c r="K1822" s="66" t="inlineStr">
        <is>
          <t>Ventas: MEDIANA 2 (50.000 - 100.000 UF) | Empleados: 15</t>
        </is>
      </c>
      <c r="L1822" s="61" t="n"/>
      <c r="M1822" s="61" t="n"/>
      <c r="N1822" s="61" t="n"/>
      <c r="O1822" s="61" t="n"/>
      <c r="P1822" s="61" t="n"/>
      <c r="Q1822" s="62" t="n"/>
      <c r="R1822" s="61" t="n"/>
    </row>
    <row r="1823" ht="15.75" customHeight="1" s="38">
      <c r="A1823" s="66" t="inlineStr">
        <is>
          <t>Sonda S.A.</t>
        </is>
      </c>
      <c r="B1823" s="66" t="inlineStr">
        <is>
          <t>Software, Soluciones Informáticas para Gestión de Empresas</t>
        </is>
      </c>
      <c r="C1823" s="66" t="inlineStr">
        <is>
          <t>Santiago</t>
        </is>
      </c>
      <c r="D1823" s="66" t="inlineStr">
        <is>
          <t>corporativo@sonda.com</t>
        </is>
      </c>
      <c r="E1823" s="66" t="inlineStr">
        <is>
          <t>(56) 2 2657 5000</t>
        </is>
      </c>
      <c r="F1823" s="66" t="n"/>
      <c r="G1823" s="66" t="n"/>
      <c r="H1823" s="66" t="n"/>
      <c r="I1823" s="66" t="inlineStr">
        <is>
          <t>83.628.100-4</t>
        </is>
      </c>
      <c r="J1823" s="66" t="n"/>
      <c r="K1823" s="66" t="inlineStr">
        <is>
          <t>Ventas: GRANDE (Estimado por Empleados) | Empleados: 2248</t>
        </is>
      </c>
      <c r="L1823" s="61" t="n"/>
      <c r="M1823" s="61" t="n"/>
      <c r="N1823" s="61" t="n"/>
      <c r="O1823" s="61" t="n"/>
      <c r="P1823" s="61" t="n"/>
      <c r="Q1823" s="62" t="n"/>
      <c r="R1823" s="61" t="n"/>
    </row>
    <row r="1824" ht="15.75" customHeight="1" s="38">
      <c r="A1824" s="66" t="inlineStr">
        <is>
          <t>Sondajes SpA</t>
        </is>
      </c>
      <c r="B1824" s="66" t="inlineStr">
        <is>
          <t>Captación de Aguas Subterráneas</t>
        </is>
      </c>
      <c r="C1824" s="66" t="inlineStr">
        <is>
          <t>Santiago</t>
        </is>
      </c>
      <c r="D1824" s="66" t="inlineStr">
        <is>
          <t>agua@sondagua.cl</t>
        </is>
      </c>
      <c r="E1824" s="66" t="inlineStr">
        <is>
          <t>(56) 9 9221 3453</t>
        </is>
      </c>
      <c r="F1824" s="66" t="n"/>
      <c r="G1824" s="66" t="n"/>
      <c r="H1824" s="66" t="n"/>
      <c r="I1824" s="66" t="inlineStr">
        <is>
          <t>96.690.360-0</t>
        </is>
      </c>
      <c r="J1824" s="66" t="n"/>
      <c r="K1824" s="66" t="inlineStr">
        <is>
          <t>Ventas: GRANDE 2 (200.000 - 600.000 UF) | Empleados: 90</t>
        </is>
      </c>
      <c r="L1824" s="61" t="n"/>
      <c r="M1824" s="61" t="n"/>
      <c r="N1824" s="61" t="n"/>
      <c r="O1824" s="61" t="n"/>
      <c r="P1824" s="61" t="n"/>
      <c r="Q1824" s="62" t="n"/>
      <c r="R1824" s="61" t="n"/>
    </row>
    <row r="1825" ht="15.75" customHeight="1" s="38">
      <c r="A1825" s="66" t="inlineStr">
        <is>
          <t>Sonepar</t>
        </is>
      </c>
      <c r="B1825" s="66" t="inlineStr">
        <is>
          <t>Cables Eléctricos, Sistemas de Iluminación, Sistemas de Seguridad y Control de Energía Eléctrica</t>
        </is>
      </c>
      <c r="C1825" s="66" t="inlineStr">
        <is>
          <t>Santiago</t>
        </is>
      </c>
      <c r="D1825" s="66" t="inlineStr">
        <is>
          <t>contacto.ventas@sonepar.cl</t>
        </is>
      </c>
      <c r="E1825" s="66" t="inlineStr">
        <is>
          <t>(56) 2 2768 5200</t>
        </is>
      </c>
      <c r="F1825" s="66" t="n"/>
      <c r="G1825" s="66" t="n"/>
      <c r="H1825" s="66" t="n"/>
      <c r="I1825" s="66" t="inlineStr">
        <is>
          <t>93.720.000-5</t>
        </is>
      </c>
      <c r="J1825" s="66" t="n"/>
      <c r="K1825" s="66" t="inlineStr">
        <is>
          <t>Ventas: No en base SII | Empleados: S/I</t>
        </is>
      </c>
      <c r="L1825" s="61" t="n"/>
      <c r="M1825" s="61" t="n"/>
      <c r="N1825" s="61" t="n"/>
      <c r="O1825" s="61" t="n"/>
      <c r="P1825" s="61" t="n"/>
      <c r="Q1825" s="62" t="n"/>
      <c r="R1825" s="61" t="n"/>
    </row>
    <row r="1826" ht="15.75" customHeight="1" s="38">
      <c r="A1826" s="66" t="inlineStr">
        <is>
          <t>Sonnedix Chile Holding SpA</t>
        </is>
      </c>
      <c r="B1826" s="66" t="inlineStr">
        <is>
          <t>Plantas Solares Fotovoltaicas</t>
        </is>
      </c>
      <c r="C1826" s="66" t="inlineStr">
        <is>
          <t>Santiago</t>
        </is>
      </c>
      <c r="D1826" s="66" t="inlineStr">
        <is>
          <t>comms@sonnedix.com</t>
        </is>
      </c>
      <c r="E1826" s="66" t="inlineStr">
        <is>
          <t>(56) 2 2496 1004</t>
        </is>
      </c>
      <c r="F1826" s="66" t="n"/>
      <c r="G1826" s="66" t="n"/>
      <c r="H1826" s="66" t="n"/>
      <c r="I1826" s="66" t="inlineStr">
        <is>
          <t>76.336.436-4</t>
        </is>
      </c>
      <c r="J1826" s="66" t="n"/>
      <c r="K1826" s="66" t="inlineStr">
        <is>
          <t>Ventas: MEDIANA (Estimado por Empleados) | Empleados: 78</t>
        </is>
      </c>
      <c r="L1826" s="61" t="n"/>
      <c r="M1826" s="61" t="n"/>
      <c r="N1826" s="61" t="n"/>
      <c r="O1826" s="61" t="n"/>
      <c r="P1826" s="61" t="n"/>
      <c r="Q1826" s="62" t="n"/>
      <c r="R1826" s="61" t="n"/>
    </row>
    <row r="1827" ht="15.75" customHeight="1" s="38">
      <c r="A1827" s="66" t="inlineStr">
        <is>
          <t>Soporta Ltda.</t>
        </is>
      </c>
      <c r="B1827" s="66" t="inlineStr">
        <is>
          <t>Sistemas para Manejo de Materiales, Software para la Minería</t>
        </is>
      </c>
      <c r="C1827" s="66" t="inlineStr">
        <is>
          <t>Santiago</t>
        </is>
      </c>
      <c r="D1827" s="66" t="inlineStr">
        <is>
          <t>contacto@soporta.cl</t>
        </is>
      </c>
      <c r="E1827" s="66" t="inlineStr">
        <is>
          <t>(56) 2 2963 8170</t>
        </is>
      </c>
      <c r="F1827" s="66" t="n"/>
      <c r="G1827" s="66" t="n"/>
      <c r="H1827" s="66" t="n"/>
      <c r="I1827" s="66" t="inlineStr">
        <is>
          <t>77.125.060-2</t>
        </is>
      </c>
      <c r="J1827" s="66" t="n"/>
      <c r="K1827" s="66" t="inlineStr">
        <is>
          <t>Ventas: MEDIANA 1 (25.000 - 50.000 UF) | Empleados: 7</t>
        </is>
      </c>
      <c r="L1827" s="61" t="n"/>
      <c r="M1827" s="61" t="n"/>
      <c r="N1827" s="61" t="n"/>
      <c r="O1827" s="61" t="n"/>
      <c r="P1827" s="61" t="n"/>
      <c r="Q1827" s="62" t="n"/>
      <c r="R1827" s="61" t="n"/>
    </row>
    <row r="1828" ht="15.75" customHeight="1" s="38">
      <c r="A1828" s="66" t="inlineStr">
        <is>
          <t>Soprocal Calerías e Industrias S.A.</t>
        </is>
      </c>
      <c r="B1828" s="66" t="inlineStr">
        <is>
          <t>Cal Hidratada Industrial, Cal Viva, Cales, Carbonatos</t>
        </is>
      </c>
      <c r="C1828" s="66" t="inlineStr">
        <is>
          <t>Melipilla</t>
        </is>
      </c>
      <c r="D1828" s="66" t="inlineStr">
        <is>
          <t>contacto@soprocal.cl</t>
        </is>
      </c>
      <c r="E1828" s="66" t="inlineStr">
        <is>
          <t>(56) 2 2231 8874</t>
        </is>
      </c>
      <c r="F1828" s="66" t="n"/>
      <c r="G1828" s="66" t="n"/>
      <c r="H1828" s="66" t="n"/>
      <c r="I1828" s="66" t="inlineStr">
        <is>
          <t>92.108.000-K</t>
        </is>
      </c>
      <c r="J1828" s="66" t="n"/>
      <c r="K1828" s="66" t="inlineStr">
        <is>
          <t>Ventas: GRANDE 3 (600.000 - 1.000.000 UF) | Empleados: 82</t>
        </is>
      </c>
      <c r="L1828" s="61" t="n"/>
      <c r="M1828" s="61" t="n"/>
      <c r="N1828" s="61" t="n"/>
      <c r="O1828" s="61" t="n"/>
      <c r="P1828" s="61" t="n"/>
      <c r="Q1828" s="62" t="n"/>
      <c r="R1828" s="61" t="n"/>
    </row>
    <row r="1829" ht="15.75" customHeight="1" s="38">
      <c r="A1829" s="66" t="inlineStr">
        <is>
          <t>Soproin Ltda.</t>
        </is>
      </c>
      <c r="B1829" s="66" t="inlineStr">
        <is>
          <t>Acoplamientos</t>
        </is>
      </c>
      <c r="C1829" s="66" t="inlineStr">
        <is>
          <t>Santiago</t>
        </is>
      </c>
      <c r="D1829" s="66" t="inlineStr">
        <is>
          <t>ventas@soproin.cl</t>
        </is>
      </c>
      <c r="E1829" s="66" t="inlineStr">
        <is>
          <t>(56) 2 2551 2384</t>
        </is>
      </c>
      <c r="F1829" s="66" t="n"/>
      <c r="G1829" s="66" t="n"/>
      <c r="H1829" s="66" t="n"/>
      <c r="I1829" s="66" t="inlineStr">
        <is>
          <t>77.188.840-2</t>
        </is>
      </c>
      <c r="J1829" s="66" t="n"/>
      <c r="K1829" s="66" t="inlineStr">
        <is>
          <t>Ventas: MEDIANA 1 (25.000 - 50.000 UF) | Empleados: 10</t>
        </is>
      </c>
      <c r="L1829" s="61" t="n"/>
      <c r="M1829" s="61" t="n"/>
      <c r="N1829" s="61" t="n"/>
      <c r="O1829" s="61" t="n"/>
      <c r="P1829" s="61" t="n"/>
      <c r="Q1829" s="62" t="n"/>
      <c r="R1829" s="61" t="n"/>
    </row>
    <row r="1830" ht="15.75" customHeight="1" s="38">
      <c r="A1830" s="66" t="inlineStr">
        <is>
          <t>Sorena</t>
        </is>
      </c>
      <c r="B1830" s="66" t="inlineStr">
        <is>
          <t>Aceros para Perforación</t>
        </is>
      </c>
      <c r="C1830" s="66" t="inlineStr">
        <is>
          <t>Santiago</t>
        </is>
      </c>
      <c r="D1830" s="66" t="inlineStr">
        <is>
          <t>ventas@sorena.cl</t>
        </is>
      </c>
      <c r="E1830" s="66" t="inlineStr">
        <is>
          <t>(56) 2 2751 1000</t>
        </is>
      </c>
      <c r="F1830" s="66" t="n"/>
      <c r="G1830" s="66" t="n"/>
      <c r="H1830" s="66" t="n"/>
      <c r="I1830" s="66" t="inlineStr">
        <is>
          <t>92.261.000-2</t>
        </is>
      </c>
      <c r="J1830" s="66" t="n"/>
      <c r="K1830" s="66" t="inlineStr">
        <is>
          <t>Ventas: GRANDE 3 (600.000 - 1.000.000 UF) | Empleados: 40</t>
        </is>
      </c>
      <c r="L1830" s="61" t="n"/>
      <c r="M1830" s="61" t="n"/>
      <c r="N1830" s="61" t="n"/>
      <c r="O1830" s="61" t="n"/>
      <c r="P1830" s="61" t="n"/>
      <c r="Q1830" s="62" t="n"/>
      <c r="R1830" s="61" t="n"/>
    </row>
    <row r="1831" ht="15.75" customHeight="1" s="38">
      <c r="A1831" s="66" t="inlineStr">
        <is>
          <t>Sotraser S.A.</t>
        </is>
      </c>
      <c r="B1831" s="66" t="inlineStr">
        <is>
          <t>Transporte Terrestre</t>
        </is>
      </c>
      <c r="C1831" s="66" t="inlineStr">
        <is>
          <t>Santiago</t>
        </is>
      </c>
      <c r="D1831" s="66" t="inlineStr">
        <is>
          <t>info@sotraser.cl</t>
        </is>
      </c>
      <c r="E1831" s="66" t="inlineStr">
        <is>
          <t>(56) 2 2513 9200</t>
        </is>
      </c>
      <c r="F1831" s="66" t="n"/>
      <c r="G1831" s="66" t="n"/>
      <c r="H1831" s="66" t="n"/>
      <c r="I1831" s="66" t="inlineStr">
        <is>
          <t>78.057.000-8</t>
        </is>
      </c>
      <c r="J1831" s="66" t="n"/>
      <c r="K1831" s="66" t="inlineStr">
        <is>
          <t>Ventas: GRANDE (Estimado por Empleados) | Empleados: 653</t>
        </is>
      </c>
      <c r="L1831" s="61" t="n"/>
      <c r="M1831" s="61" t="n"/>
      <c r="N1831" s="61" t="n"/>
      <c r="O1831" s="61" t="n"/>
      <c r="P1831" s="61" t="n"/>
      <c r="Q1831" s="62" t="n"/>
      <c r="R1831" s="61" t="n"/>
    </row>
    <row r="1832" ht="15.75" customHeight="1" s="38">
      <c r="A1832" s="66" t="inlineStr">
        <is>
          <t>Sourcing SpA</t>
        </is>
      </c>
      <c r="B1832" s="66" t="inlineStr">
        <is>
          <t>Administración de Contratos</t>
        </is>
      </c>
      <c r="C1832" s="66" t="inlineStr">
        <is>
          <t>Santiago</t>
        </is>
      </c>
      <c r="D1832" s="66" t="inlineStr">
        <is>
          <t>contacto@sourcing.cl</t>
        </is>
      </c>
      <c r="E1832" s="66" t="inlineStr">
        <is>
          <t>(56) 9 3245 7762</t>
        </is>
      </c>
      <c r="F1832" s="66" t="n"/>
      <c r="G1832" s="66" t="n"/>
      <c r="H1832" s="66" t="n"/>
      <c r="I1832" s="66" t="inlineStr">
        <is>
          <t>76355804-5</t>
        </is>
      </c>
      <c r="J1832" s="66" t="n"/>
      <c r="K1832" s="66" t="inlineStr">
        <is>
          <t>Ventas: GRANDE 2 (200.000 - 600.000 UF) | Empleados: 160</t>
        </is>
      </c>
      <c r="L1832" s="61" t="n"/>
      <c r="M1832" s="61" t="n"/>
      <c r="N1832" s="61" t="n"/>
      <c r="O1832" s="61" t="n"/>
      <c r="P1832" s="61" t="n"/>
      <c r="Q1832" s="62" t="n"/>
      <c r="R1832" s="61" t="n"/>
    </row>
    <row r="1833" ht="15.75" customHeight="1" s="38">
      <c r="A1833" s="66" t="inlineStr">
        <is>
          <t>Southlink Ltda.</t>
        </is>
      </c>
      <c r="B1833" s="66" t="inlineStr">
        <is>
          <t>Correas Transportadoras, Sistemas para Correas Transportadoras</t>
        </is>
      </c>
      <c r="C1833" s="66" t="inlineStr">
        <is>
          <t>Santiago</t>
        </is>
      </c>
      <c r="D1833" s="66" t="inlineStr">
        <is>
          <t>info@southlink.cl</t>
        </is>
      </c>
      <c r="E1833" s="66" t="inlineStr">
        <is>
          <t>(56) 2 2225 6390</t>
        </is>
      </c>
      <c r="F1833" s="66" t="n"/>
      <c r="G1833" s="66" t="n"/>
      <c r="H1833" s="66" t="n"/>
      <c r="I1833" s="66" t="inlineStr">
        <is>
          <t>76.171.903-3</t>
        </is>
      </c>
      <c r="J1833" s="66" t="n"/>
      <c r="K1833" s="66" t="inlineStr">
        <is>
          <t>Ventas: MICRO 3 (600 - 2.400 UF) | Empleados: 2</t>
        </is>
      </c>
      <c r="L1833" s="61" t="n"/>
      <c r="M1833" s="61" t="n"/>
      <c r="N1833" s="61" t="n"/>
      <c r="O1833" s="61" t="n"/>
      <c r="P1833" s="61" t="n"/>
      <c r="Q1833" s="62" t="n"/>
      <c r="R1833" s="61" t="n"/>
    </row>
    <row r="1834" ht="15.75" customHeight="1" s="38">
      <c r="A1834" s="66" t="inlineStr">
        <is>
          <t>Soviquim Ltda.</t>
        </is>
      </c>
      <c r="B1834" s="66" t="inlineStr">
        <is>
          <t>Artículos para Laboratorios, Equipos para Laboratorios</t>
        </is>
      </c>
      <c r="C1834" s="66" t="inlineStr">
        <is>
          <t>Santiago</t>
        </is>
      </c>
      <c r="D1834" s="66" t="n"/>
      <c r="E1834" s="66" t="inlineStr">
        <is>
          <t>(56) 2 2773 8684</t>
        </is>
      </c>
      <c r="F1834" s="66" t="n"/>
      <c r="G1834" s="66" t="n"/>
      <c r="H1834" s="66" t="n"/>
      <c r="I1834" s="66" t="inlineStr">
        <is>
          <t>78.116.970-6</t>
        </is>
      </c>
      <c r="J1834" s="66" t="n"/>
      <c r="K1834" s="66" t="inlineStr">
        <is>
          <t>Ventas: GRANDE 1 (100.000 - 200.000 UF) | Empleados: 53</t>
        </is>
      </c>
      <c r="L1834" s="61" t="n"/>
      <c r="M1834" s="61" t="n"/>
      <c r="N1834" s="61" t="n"/>
      <c r="O1834" s="61" t="n"/>
      <c r="P1834" s="61" t="n"/>
      <c r="Q1834" s="62" t="n"/>
      <c r="R1834" s="61" t="n"/>
    </row>
    <row r="1835" ht="15.75" customHeight="1" s="38">
      <c r="A1835" s="66" t="inlineStr">
        <is>
          <t>Sparber Chile S.A.</t>
        </is>
      </c>
      <c r="B1835" s="66" t="inlineStr">
        <is>
          <t>Transporte Aéreo, Transporte Marítimo</t>
        </is>
      </c>
      <c r="C1835" s="66" t="inlineStr">
        <is>
          <t>Santiago</t>
        </is>
      </c>
      <c r="D1835" s="66" t="inlineStr">
        <is>
          <t>sparber@sparber.cl</t>
        </is>
      </c>
      <c r="E1835" s="66" t="inlineStr">
        <is>
          <t>(56) 2 2570 0900</t>
        </is>
      </c>
      <c r="F1835" s="66" t="n"/>
      <c r="G1835" s="66" t="n"/>
      <c r="H1835" s="66" t="n"/>
      <c r="I1835" s="66" t="inlineStr">
        <is>
          <t>96.974.340-K</t>
        </is>
      </c>
      <c r="J1835" s="66" t="n"/>
      <c r="K1835" s="66" t="inlineStr">
        <is>
          <t>Ventas: GRANDE 2 (200.000 - 600.000 UF) | Empleados: 16</t>
        </is>
      </c>
      <c r="L1835" s="61" t="n"/>
      <c r="M1835" s="61" t="n"/>
      <c r="N1835" s="61" t="n"/>
      <c r="O1835" s="61" t="n"/>
      <c r="P1835" s="61" t="n"/>
      <c r="Q1835" s="62" t="n"/>
      <c r="R1835" s="61" t="n"/>
    </row>
    <row r="1836" ht="15.75" customHeight="1" s="38">
      <c r="A1836" s="66" t="inlineStr">
        <is>
          <t>Sphera Energy</t>
        </is>
      </c>
      <c r="B1836" s="66" t="inlineStr">
        <is>
          <t>Desarrollo de Proyectos del Sector Eléctrico, Proyectos en Tecnologías de Almacenamiento BESS</t>
        </is>
      </c>
      <c r="C1836" s="66" t="inlineStr">
        <is>
          <t>Santiago</t>
        </is>
      </c>
      <c r="D1836" s="66" t="inlineStr">
        <is>
          <t>contacto@spheraenergy.com</t>
        </is>
      </c>
      <c r="E1836" s="66" t="inlineStr">
        <is>
          <t>(56) 2 2942 7552</t>
        </is>
      </c>
      <c r="F1836" s="66" t="n"/>
      <c r="G1836" s="66" t="n"/>
      <c r="H1836" s="66" t="n"/>
      <c r="I1836" s="66" t="inlineStr">
        <is>
          <t>76410051-4</t>
        </is>
      </c>
      <c r="J1836" s="66" t="n"/>
      <c r="K1836" s="66" t="inlineStr">
        <is>
          <t>Ventas: MEDIANA 1 (25.000 - 50.000 UF) | Empleados: 22</t>
        </is>
      </c>
      <c r="L1836" s="61" t="n"/>
      <c r="M1836" s="61" t="n"/>
      <c r="N1836" s="61" t="n"/>
      <c r="O1836" s="61" t="n"/>
      <c r="P1836" s="61" t="n"/>
      <c r="Q1836" s="62" t="n"/>
      <c r="R1836" s="61" t="n"/>
    </row>
    <row r="1837" ht="15.75" customHeight="1" s="38">
      <c r="A1837" s="66" t="inlineStr">
        <is>
          <t>Spintek Ltda.</t>
        </is>
      </c>
      <c r="B1837" s="66" t="inlineStr">
        <is>
          <t>Bombas para Hormigón y Shotcrete</t>
        </is>
      </c>
      <c r="C1837" s="66" t="inlineStr">
        <is>
          <t>Santiago</t>
        </is>
      </c>
      <c r="D1837" s="66" t="inlineStr">
        <is>
          <t>contacto@spintecnologies.cl</t>
        </is>
      </c>
      <c r="E1837" s="66" t="inlineStr">
        <is>
          <t>(56) 2 2248 7396</t>
        </is>
      </c>
      <c r="F1837" s="66" t="n"/>
      <c r="G1837" s="66" t="n"/>
      <c r="H1837" s="66" t="n"/>
      <c r="I1837" s="66" t="inlineStr">
        <is>
          <t>96.637.460-3</t>
        </is>
      </c>
      <c r="J1837" s="66" t="n"/>
      <c r="K1837" s="66" t="inlineStr">
        <is>
          <t>Ventas: MEDIANA 1 (25.000 - 50.000 UF) | Empleados: 0</t>
        </is>
      </c>
      <c r="L1837" s="61" t="n"/>
      <c r="M1837" s="61" t="n"/>
      <c r="N1837" s="61" t="n"/>
      <c r="O1837" s="61" t="n"/>
      <c r="P1837" s="61" t="n"/>
      <c r="Q1837" s="62" t="n"/>
      <c r="R1837" s="61" t="n"/>
    </row>
    <row r="1838" ht="15.75" customHeight="1" s="38">
      <c r="A1838" s="66" t="inlineStr">
        <is>
          <t>Split Engineering Chile</t>
        </is>
      </c>
      <c r="B1838" s="66" t="inlineStr">
        <is>
          <t>Sistemas para Medición de Fragmentación de Minerales</t>
        </is>
      </c>
      <c r="C1838" s="66" t="inlineStr">
        <is>
          <t>Santiago</t>
        </is>
      </c>
      <c r="D1838" s="66" t="inlineStr">
        <is>
          <t>ventas@spliteng.com</t>
        </is>
      </c>
      <c r="E1838" s="66" t="inlineStr">
        <is>
          <t>(56) 2 2597 8200</t>
        </is>
      </c>
      <c r="F1838" s="66" t="n"/>
      <c r="G1838" s="66" t="n"/>
      <c r="H1838" s="66" t="n"/>
      <c r="I1838" s="66" t="inlineStr">
        <is>
          <t>77.493.130-9</t>
        </is>
      </c>
      <c r="J1838" s="66" t="n"/>
      <c r="K1838" s="66" t="inlineStr">
        <is>
          <t>Ventas: PEQUEÑA 1 (2.400 - 5.000 UF) | Empleados: 0</t>
        </is>
      </c>
      <c r="L1838" s="61" t="n"/>
      <c r="M1838" s="61" t="n"/>
      <c r="N1838" s="61" t="n"/>
      <c r="O1838" s="61" t="n"/>
      <c r="P1838" s="61" t="n"/>
      <c r="Q1838" s="62" t="n"/>
      <c r="R1838" s="61" t="n"/>
    </row>
    <row r="1839" ht="15.75" customHeight="1" s="38">
      <c r="A1839" s="66" t="inlineStr">
        <is>
          <t>Spraying Systems</t>
        </is>
      </c>
      <c r="B1839" s="66" t="inlineStr">
        <is>
          <t>Supresión de Polvo</t>
        </is>
      </c>
      <c r="C1839" s="66" t="inlineStr">
        <is>
          <t>Santiago</t>
        </is>
      </c>
      <c r="D1839" s="66" t="n"/>
      <c r="E1839" s="66" t="inlineStr">
        <is>
          <t>(56) 2 2274 7313</t>
        </is>
      </c>
      <c r="F1839" s="66" t="n"/>
      <c r="G1839" s="66" t="n"/>
      <c r="H1839" s="66" t="n"/>
      <c r="I1839" s="66" t="inlineStr">
        <is>
          <t>78.737.740-8</t>
        </is>
      </c>
      <c r="J1839" s="66" t="n"/>
      <c r="K1839" s="66" t="inlineStr">
        <is>
          <t>Ventas: GRANDE 1 (100.000 - 200.000 UF) | Empleados: 6</t>
        </is>
      </c>
      <c r="L1839" s="61" t="n"/>
      <c r="M1839" s="61" t="n"/>
      <c r="N1839" s="61" t="n"/>
      <c r="O1839" s="61" t="n"/>
      <c r="P1839" s="61" t="n"/>
      <c r="Q1839" s="62" t="n"/>
      <c r="R1839" s="61" t="n"/>
    </row>
    <row r="1840" ht="15.75" customHeight="1" s="38">
      <c r="A1840" s="66" t="inlineStr">
        <is>
          <t>SPT, Stockholm Precision Tools Chile SpA</t>
        </is>
      </c>
      <c r="B1840" s="66" t="inlineStr">
        <is>
          <t>Equipos para Minería Subterránea, Equipos para Perforación y Sondaje de Minas</t>
        </is>
      </c>
      <c r="C1840" s="66" t="inlineStr">
        <is>
          <t>Santiago</t>
        </is>
      </c>
      <c r="D1840" s="66" t="inlineStr">
        <is>
          <t>sales@sptab.com</t>
        </is>
      </c>
      <c r="E1840" s="66" t="inlineStr">
        <is>
          <t>(56) 2 2582 1158</t>
        </is>
      </c>
      <c r="F1840" s="66" t="n"/>
      <c r="G1840" s="66" t="n"/>
      <c r="H1840" s="66" t="n"/>
      <c r="I1840" s="66" t="inlineStr">
        <is>
          <t>76.574.906-9</t>
        </is>
      </c>
      <c r="J1840" s="66" t="n"/>
      <c r="K1840" s="66" t="inlineStr">
        <is>
          <t>Ventas: MEDIANA 1 (25.000 - 50.000 UF) | Empleados: 2</t>
        </is>
      </c>
      <c r="L1840" s="61" t="n"/>
      <c r="M1840" s="61" t="n"/>
      <c r="N1840" s="61" t="n"/>
      <c r="O1840" s="61" t="n"/>
      <c r="P1840" s="61" t="n"/>
      <c r="Q1840" s="62" t="n"/>
      <c r="R1840" s="61" t="n"/>
    </row>
    <row r="1841" ht="15.75" customHeight="1" s="38">
      <c r="A1841" s="66" t="inlineStr">
        <is>
          <t>SPX Chile Ltda.</t>
        </is>
      </c>
      <c r="B1841" s="66" t="inlineStr">
        <is>
          <t>Agitadores</t>
        </is>
      </c>
      <c r="C1841" s="66" t="inlineStr">
        <is>
          <t>Santiago</t>
        </is>
      </c>
      <c r="D1841" s="66" t="n"/>
      <c r="E1841" s="66" t="inlineStr">
        <is>
          <t>(56) 2 2896 9320</t>
        </is>
      </c>
      <c r="F1841" s="66" t="n"/>
      <c r="G1841" s="66" t="n"/>
      <c r="H1841" s="66" t="n"/>
      <c r="I1841" s="66" t="inlineStr">
        <is>
          <t>76.027.323-6</t>
        </is>
      </c>
      <c r="J1841" s="66" t="n"/>
      <c r="K1841" s="66" t="inlineStr">
        <is>
          <t>Ventas: MEDIANA 2 (50.000 - 100.000 UF) | Empleados: 8</t>
        </is>
      </c>
      <c r="L1841" s="61" t="n"/>
      <c r="M1841" s="61" t="n"/>
      <c r="N1841" s="61" t="n"/>
      <c r="O1841" s="61" t="n"/>
      <c r="P1841" s="61" t="n"/>
      <c r="Q1841" s="62" t="n"/>
      <c r="R1841" s="61" t="n"/>
    </row>
    <row r="1842" ht="15.75" customHeight="1" s="38">
      <c r="A1842" s="66" t="inlineStr">
        <is>
          <t>SQ Empresas</t>
        </is>
      </c>
      <c r="B1842" s="66" t="inlineStr">
        <is>
          <t>Prevención de Riesgos</t>
        </is>
      </c>
      <c r="C1842" s="66" t="inlineStr">
        <is>
          <t>Santiago</t>
        </is>
      </c>
      <c r="D1842" s="66" t="inlineStr">
        <is>
          <t>comercial@sq.cl</t>
        </is>
      </c>
      <c r="E1842" s="66" t="inlineStr">
        <is>
          <t>(56) 2 2204 9948</t>
        </is>
      </c>
      <c r="F1842" s="66" t="n"/>
      <c r="G1842" s="66" t="n"/>
      <c r="H1842" s="66" t="n"/>
      <c r="I1842" s="66" t="inlineStr">
        <is>
          <t>77.331.730-5</t>
        </is>
      </c>
      <c r="J1842" s="66" t="n"/>
      <c r="K1842" s="66" t="inlineStr">
        <is>
          <t>Ventas: MEDIANA 2 (50.000 - 100.000 UF) | Empleados: 35</t>
        </is>
      </c>
      <c r="L1842" s="61" t="n"/>
      <c r="M1842" s="61" t="n"/>
      <c r="N1842" s="61" t="n"/>
      <c r="O1842" s="61" t="n"/>
      <c r="P1842" s="61" t="n"/>
      <c r="Q1842" s="62" t="n"/>
      <c r="R1842" s="61" t="n"/>
    </row>
    <row r="1843" ht="15.75" customHeight="1" s="38">
      <c r="A1843" s="66" t="inlineStr">
        <is>
          <t>SRK Consulting</t>
        </is>
      </c>
      <c r="B1843" s="66" t="inlineStr">
        <is>
          <t>Auditoría Técnica de Proyectos, Consultoría en Cierre de Minas</t>
        </is>
      </c>
      <c r="C1843" s="66" t="inlineStr">
        <is>
          <t>Santiago</t>
        </is>
      </c>
      <c r="D1843" s="66" t="inlineStr">
        <is>
          <t>santiago@srk.cl</t>
        </is>
      </c>
      <c r="E1843" s="66" t="inlineStr">
        <is>
          <t>(56) 2 2489 0800</t>
        </is>
      </c>
      <c r="F1843" s="66" t="n"/>
      <c r="G1843" s="66" t="n"/>
      <c r="H1843" s="66" t="n"/>
      <c r="I1843" s="66" t="inlineStr">
        <is>
          <t>96.706.040-2</t>
        </is>
      </c>
      <c r="J1843" s="66" t="n"/>
      <c r="K1843" s="66" t="inlineStr">
        <is>
          <t>Ventas: GRANDE 3 (600.000 - 1.000.000 UF) | Empleados: 188</t>
        </is>
      </c>
      <c r="L1843" s="61" t="n"/>
      <c r="M1843" s="61" t="n"/>
      <c r="N1843" s="61" t="n"/>
      <c r="O1843" s="61" t="n"/>
      <c r="P1843" s="61" t="n"/>
      <c r="Q1843" s="62" t="n"/>
      <c r="R1843" s="61" t="n"/>
    </row>
    <row r="1844" ht="15.75" customHeight="1" s="38">
      <c r="A1844" s="66" t="inlineStr">
        <is>
          <t>SSAB</t>
        </is>
      </c>
      <c r="B1844" s="66" t="inlineStr">
        <is>
          <t>Proveedor Destacado, Aceros de Alta Resistencia, Aceros Especializados, Aceros Estructurales, Aceros Resistentes al Desgaste y la Abrasión, Recubrimientos para Aceros, Reparación de Maquinaria Metalúrgica para la Minería, Extracción de Petróleo y la Construcción, Reparación de Productos Elaborados de Metal, Tratamiento y Revestimiento de Metales, Maquinado</t>
        </is>
      </c>
      <c r="C1844" s="66" t="inlineStr">
        <is>
          <t>Santiago</t>
        </is>
      </c>
      <c r="D1844" s="66" t="inlineStr">
        <is>
          <t>contactchile@ssab.com</t>
        </is>
      </c>
      <c r="E1844" s="66" t="inlineStr">
        <is>
          <t>(56) 9 6207 0224</t>
        </is>
      </c>
      <c r="F1844" s="66" t="n"/>
      <c r="G1844" s="66" t="n"/>
      <c r="H1844" s="66" t="inlineStr">
        <is>
          <t>http://www.ssab.lat</t>
        </is>
      </c>
      <c r="I1844" s="66" t="inlineStr">
        <is>
          <t>76.552.350-8</t>
        </is>
      </c>
      <c r="J1844" s="66" t="n"/>
      <c r="K1844" s="66" t="inlineStr">
        <is>
          <t>Ventas: PEQUEÑA (Estimado por Empleados) | Empleados: 38</t>
        </is>
      </c>
      <c r="L1844" s="61" t="n"/>
      <c r="M1844" s="61" t="n"/>
      <c r="N1844" s="61" t="n"/>
      <c r="O1844" s="61" t="n"/>
      <c r="P1844" s="61" t="n"/>
      <c r="Q1844" s="62" t="n"/>
      <c r="R1844" s="61" t="n"/>
    </row>
    <row r="1845" ht="15.75" customHeight="1" s="38">
      <c r="A1845" s="66" t="inlineStr">
        <is>
          <t>ST Computación S.A.</t>
        </is>
      </c>
      <c r="B1845" s="66" t="inlineStr">
        <is>
          <t>Servicios Computacionales, Sistemas Computacionales</t>
        </is>
      </c>
      <c r="C1845" s="66" t="inlineStr">
        <is>
          <t>Santiago</t>
        </is>
      </c>
      <c r="D1845" s="66" t="inlineStr">
        <is>
          <t>catalina.lara@st-computacion.com</t>
        </is>
      </c>
      <c r="E1845" s="66" t="inlineStr">
        <is>
          <t>(56) 2 2372 3200</t>
        </is>
      </c>
      <c r="F1845" s="66" t="n"/>
      <c r="G1845" s="66" t="n"/>
      <c r="H1845" s="66" t="n"/>
      <c r="I1845" s="66" t="inlineStr">
        <is>
          <t>85.630.300-4</t>
        </is>
      </c>
      <c r="J1845" s="66" t="n"/>
      <c r="K1845" s="66" t="inlineStr">
        <is>
          <t>Ventas: GRANDE 3 (600.000 - 1.000.000 UF) | Empleados: 372</t>
        </is>
      </c>
      <c r="L1845" s="61" t="n"/>
      <c r="M1845" s="61" t="n"/>
      <c r="N1845" s="61" t="n"/>
      <c r="O1845" s="61" t="n"/>
      <c r="P1845" s="61" t="n"/>
      <c r="Q1845" s="62" t="n"/>
      <c r="R1845" s="61" t="n"/>
    </row>
    <row r="1846" ht="15.75" customHeight="1" s="38">
      <c r="A1846" s="66" t="inlineStr">
        <is>
          <t>Stacker</t>
        </is>
      </c>
      <c r="B1846" s="66" t="inlineStr">
        <is>
          <t>Apiladores, Transpaletas</t>
        </is>
      </c>
      <c r="C1846" s="66" t="inlineStr">
        <is>
          <t>Santiago</t>
        </is>
      </c>
      <c r="D1846" s="66" t="inlineStr">
        <is>
          <t>contacto@stacker.cl</t>
        </is>
      </c>
      <c r="E1846" s="66" t="inlineStr">
        <is>
          <t>(56) 9 9079 2892</t>
        </is>
      </c>
      <c r="F1846" s="66" t="n"/>
      <c r="G1846" s="66" t="n"/>
      <c r="H1846" s="66" t="n"/>
      <c r="I1846" s="66" t="inlineStr">
        <is>
          <t>77.561.664-4</t>
        </is>
      </c>
      <c r="J1846" s="66" t="n"/>
      <c r="K1846" s="66" t="inlineStr">
        <is>
          <t>Ventas: MEDIANA 2 (50.000 - 100.000 UF) | Empleados: 3</t>
        </is>
      </c>
      <c r="L1846" s="61" t="n"/>
      <c r="M1846" s="61" t="n"/>
      <c r="N1846" s="61" t="n"/>
      <c r="O1846" s="61" t="n"/>
      <c r="P1846" s="61" t="n"/>
      <c r="Q1846" s="62" t="n"/>
      <c r="R1846" s="61" t="n"/>
    </row>
    <row r="1847" ht="15.75" customHeight="1" s="38">
      <c r="A1847" s="66" t="inlineStr">
        <is>
          <t>Stalus Group</t>
        </is>
      </c>
      <c r="B1847" s="66" t="inlineStr">
        <is>
          <t>Bombas sobre Camión</t>
        </is>
      </c>
      <c r="C1847" s="66" t="inlineStr">
        <is>
          <t>Santiago</t>
        </is>
      </c>
      <c r="D1847" s="66" t="inlineStr">
        <is>
          <t>ventas@stalus.cl</t>
        </is>
      </c>
      <c r="E1847" s="66" t="inlineStr">
        <is>
          <t>(56) 9 5698 7379</t>
        </is>
      </c>
      <c r="F1847" s="66" t="n"/>
      <c r="G1847" s="66" t="n"/>
      <c r="H1847" s="66" t="n"/>
      <c r="I1847" s="66" t="inlineStr">
        <is>
          <t>78037236-2</t>
        </is>
      </c>
      <c r="J1847" s="66" t="n"/>
      <c r="K1847" s="66" t="inlineStr">
        <is>
          <t>Ventas: MICRO 3 (600 - 2.400 UF) | Empleados: 0</t>
        </is>
      </c>
      <c r="L1847" s="61" t="n"/>
      <c r="M1847" s="61" t="n"/>
      <c r="N1847" s="61" t="n"/>
      <c r="O1847" s="61" t="n"/>
      <c r="P1847" s="61" t="n"/>
      <c r="Q1847" s="62" t="n"/>
      <c r="R1847" s="61" t="n"/>
    </row>
    <row r="1848" ht="15.75" customHeight="1" s="38">
      <c r="A1848" s="66" t="inlineStr">
        <is>
          <t>Stantec Chile</t>
        </is>
      </c>
      <c r="B1848" s="66" t="inlineStr">
        <is>
          <t>Diseño de Tranques para Relaves</t>
        </is>
      </c>
      <c r="C1848" s="66" t="inlineStr">
        <is>
          <t>Santiago</t>
        </is>
      </c>
      <c r="D1848" s="66" t="inlineStr">
        <is>
          <t>comercial.chile@stantec.com</t>
        </is>
      </c>
      <c r="E1848" s="66" t="inlineStr">
        <is>
          <t>(56) 2 2428 3000</t>
        </is>
      </c>
      <c r="F1848" s="66" t="n"/>
      <c r="G1848" s="66" t="n"/>
      <c r="H1848" s="66" t="n"/>
      <c r="I1848" s="66" t="inlineStr">
        <is>
          <t>78.742.100-8</t>
        </is>
      </c>
      <c r="J1848" s="66" t="n"/>
      <c r="K1848" s="66" t="inlineStr">
        <is>
          <t>Ventas: GRANDE (Estimado por Empleados) | Empleados: 311</t>
        </is>
      </c>
      <c r="L1848" s="61" t="n"/>
      <c r="M1848" s="61" t="n"/>
      <c r="N1848" s="61" t="n"/>
      <c r="O1848" s="61" t="n"/>
      <c r="P1848" s="61" t="n"/>
      <c r="Q1848" s="62" t="n"/>
      <c r="R1848" s="61" t="n"/>
    </row>
    <row r="1849" ht="15.75" customHeight="1" s="38">
      <c r="A1849" s="66" t="inlineStr">
        <is>
          <t>Statkraft</t>
        </is>
      </c>
      <c r="B1849" s="66" t="inlineStr">
        <is>
          <t>Energía Eólica, Energía Fotovoltaica, Energías Renovables</t>
        </is>
      </c>
      <c r="C1849" s="66" t="inlineStr">
        <is>
          <t>Santiago</t>
        </is>
      </c>
      <c r="D1849" s="66" t="inlineStr">
        <is>
          <t>contacto@statkraft.com</t>
        </is>
      </c>
      <c r="E1849" s="66" t="inlineStr">
        <is>
          <t>(56) 2 2592 9200</t>
        </is>
      </c>
      <c r="F1849" s="66" t="n"/>
      <c r="G1849" s="66" t="n"/>
      <c r="H1849" s="66" t="n"/>
      <c r="I1849" s="66" t="inlineStr">
        <is>
          <t>76.328.210-4</t>
        </is>
      </c>
      <c r="J1849" s="66" t="n"/>
      <c r="K1849" s="66" t="inlineStr">
        <is>
          <t>Ventas: MEDIANA (Estimado por Empleados) | Empleados: 115</t>
        </is>
      </c>
      <c r="L1849" s="61" t="n"/>
      <c r="M1849" s="61" t="n"/>
      <c r="N1849" s="61" t="n"/>
      <c r="O1849" s="61" t="n"/>
      <c r="P1849" s="61" t="n"/>
      <c r="Q1849" s="62" t="n"/>
      <c r="R1849" s="61" t="n"/>
    </row>
    <row r="1850" ht="15.75" customHeight="1" s="38">
      <c r="A1850" s="66" t="inlineStr">
        <is>
          <t>Steelpro Safety</t>
        </is>
      </c>
      <c r="B1850" s="66" t="inlineStr">
        <is>
          <t>Artículos de Seguridad, Artículos para Seguridad, Ropa para Seguridad</t>
        </is>
      </c>
      <c r="C1850" s="66" t="inlineStr">
        <is>
          <t>Santiago</t>
        </is>
      </c>
      <c r="D1850" s="66" t="inlineStr">
        <is>
          <t>contacto@steelprosafety.com</t>
        </is>
      </c>
      <c r="E1850" s="66" t="inlineStr">
        <is>
          <t>(56) 2 2307 3215</t>
        </is>
      </c>
      <c r="F1850" s="66" t="n"/>
      <c r="G1850" s="66" t="n"/>
      <c r="H1850" s="66" t="n"/>
      <c r="I1850" s="66" t="inlineStr">
        <is>
          <t>76.242.324-3</t>
        </is>
      </c>
      <c r="J1850" s="66" t="n"/>
      <c r="K1850" s="66" t="inlineStr">
        <is>
          <t>Ventas: MEDIANA (Estimado por Empleados) | Empleados: 142</t>
        </is>
      </c>
      <c r="L1850" s="61" t="n"/>
      <c r="M1850" s="61" t="n"/>
      <c r="N1850" s="61" t="n"/>
      <c r="O1850" s="61" t="n"/>
      <c r="P1850" s="61" t="n"/>
      <c r="Q1850" s="62" t="n"/>
      <c r="R1850" s="61" t="n"/>
    </row>
    <row r="1851" ht="15.75" customHeight="1" s="38">
      <c r="A1851" s="66" t="inlineStr">
        <is>
          <t>Stemol Ltda.</t>
        </is>
      </c>
      <c r="B1851" s="66" t="inlineStr">
        <is>
          <t>Soldaduras</t>
        </is>
      </c>
      <c r="C1851" s="66" t="inlineStr">
        <is>
          <t>Coquimbo</t>
        </is>
      </c>
      <c r="D1851" s="66" t="inlineStr">
        <is>
          <t>stemol2003@yahoo.es</t>
        </is>
      </c>
      <c r="E1851" s="66" t="inlineStr">
        <is>
          <t>(56) 51 231 5787</t>
        </is>
      </c>
      <c r="F1851" s="66" t="n"/>
      <c r="G1851" s="66" t="n"/>
      <c r="H1851" s="66" t="n"/>
      <c r="I1851" s="66" t="inlineStr">
        <is>
          <t>78.853.930-4</t>
        </is>
      </c>
      <c r="J1851" s="66" t="n"/>
      <c r="K1851" s="66" t="inlineStr">
        <is>
          <t>Ventas: MICRO 1 (0.01 - 200 UF) | Empleados: 0</t>
        </is>
      </c>
      <c r="L1851" s="61" t="n"/>
      <c r="M1851" s="61" t="n"/>
      <c r="N1851" s="61" t="n"/>
      <c r="O1851" s="61" t="n"/>
      <c r="P1851" s="61" t="n"/>
      <c r="Q1851" s="62" t="n"/>
      <c r="R1851" s="61" t="n"/>
    </row>
    <row r="1852" ht="15.75" customHeight="1" s="38">
      <c r="A1852" s="66" t="inlineStr">
        <is>
          <t>Stericycle Minería SpA</t>
        </is>
      </c>
      <c r="B1852" s="66" t="inlineStr">
        <is>
          <t>Transporte de Residuos Peligrosos, Tratamiento de Residuos Industriales</t>
        </is>
      </c>
      <c r="C1852" s="66" t="inlineStr">
        <is>
          <t>Santiago</t>
        </is>
      </c>
      <c r="D1852" s="66" t="inlineStr">
        <is>
          <t>eduardo.morel@stericycle.com</t>
        </is>
      </c>
      <c r="E1852" s="66" t="inlineStr">
        <is>
          <t>600 5945 600</t>
        </is>
      </c>
      <c r="F1852" s="66" t="n"/>
      <c r="G1852" s="66" t="n"/>
      <c r="H1852" s="66" t="n"/>
      <c r="I1852" s="66" t="inlineStr">
        <is>
          <t>76.395.756-K</t>
        </is>
      </c>
      <c r="J1852" s="66" t="n"/>
      <c r="K1852" s="66" t="inlineStr">
        <is>
          <t>Ventas: MICRO 1 (0.01 - 200 UF) | Empleados: 0</t>
        </is>
      </c>
      <c r="L1852" s="61" t="n"/>
      <c r="M1852" s="61" t="n"/>
      <c r="N1852" s="61" t="n"/>
      <c r="O1852" s="61" t="n"/>
      <c r="P1852" s="61" t="n"/>
      <c r="Q1852" s="62" t="n"/>
      <c r="R1852" s="61" t="n"/>
    </row>
    <row r="1853" ht="15.75" customHeight="1" s="38">
      <c r="A1853" s="66" t="inlineStr">
        <is>
          <t>STG Chile Ltda.</t>
        </is>
      </c>
      <c r="B1853" s="66" t="inlineStr">
        <is>
          <t>Capturadores de Información, Soluciones Informáticas para Gestión de Empresas</t>
        </is>
      </c>
      <c r="C1853" s="66" t="inlineStr">
        <is>
          <t>Santiago</t>
        </is>
      </c>
      <c r="D1853" s="66" t="n"/>
      <c r="E1853" s="66" t="inlineStr">
        <is>
          <t>(56) 2 2392 5000</t>
        </is>
      </c>
      <c r="F1853" s="66" t="n"/>
      <c r="G1853" s="66" t="n"/>
      <c r="H1853" s="66" t="n"/>
      <c r="I1853" s="66" t="inlineStr">
        <is>
          <t>96.979.680-1</t>
        </is>
      </c>
      <c r="J1853" s="66" t="n"/>
      <c r="K1853" s="66" t="inlineStr">
        <is>
          <t>Ventas: GRANDE 3 (600.000 - 1.000.000 UF) | Empleados: 182</t>
        </is>
      </c>
      <c r="L1853" s="61" t="n"/>
      <c r="M1853" s="61" t="n"/>
      <c r="N1853" s="61" t="n"/>
      <c r="O1853" s="61" t="n"/>
      <c r="P1853" s="61" t="n"/>
      <c r="Q1853" s="62" t="n"/>
      <c r="R1853" s="61" t="n"/>
    </row>
    <row r="1854" ht="15.75" customHeight="1" s="38">
      <c r="A1854" s="66" t="inlineStr">
        <is>
          <t>STLi</t>
        </is>
      </c>
      <c r="B1854" s="66" t="inlineStr">
        <is>
          <t>Transporte de Carga Pesada</t>
        </is>
      </c>
      <c r="C1854" s="66" t="inlineStr">
        <is>
          <t>Santiago</t>
        </is>
      </c>
      <c r="D1854" s="66" t="inlineStr">
        <is>
          <t>contacto.web@stli.cl</t>
        </is>
      </c>
      <c r="E1854" s="66" t="inlineStr">
        <is>
          <t>(56) 2 2396 8000</t>
        </is>
      </c>
      <c r="F1854" s="66" t="n"/>
      <c r="G1854" s="66" t="n"/>
      <c r="H1854" s="66" t="n"/>
      <c r="I1854" s="66" t="inlineStr">
        <is>
          <t>96.700.450-2</t>
        </is>
      </c>
      <c r="J1854" s="66" t="n"/>
      <c r="K1854" s="66" t="inlineStr">
        <is>
          <t>Ventas: GRANDE 1 (100.000 - 200.000 UF) | Empleados: 0</t>
        </is>
      </c>
      <c r="L1854" s="61" t="n"/>
      <c r="M1854" s="61" t="n"/>
      <c r="N1854" s="61" t="n"/>
      <c r="O1854" s="61" t="n"/>
      <c r="P1854" s="61" t="n"/>
      <c r="Q1854" s="62" t="n"/>
      <c r="R1854" s="61" t="n"/>
    </row>
    <row r="1855" ht="15.75" customHeight="1" s="38">
      <c r="A1855" s="66" t="inlineStr">
        <is>
          <t>STM Corp.</t>
        </is>
      </c>
      <c r="B1855" s="66" t="inlineStr">
        <is>
          <t>Correas Transportadoras, Sistemas de Transporte de Materiales</t>
        </is>
      </c>
      <c r="C1855" s="66" t="inlineStr">
        <is>
          <t>Santiago</t>
        </is>
      </c>
      <c r="D1855" s="66" t="inlineStr">
        <is>
          <t>info@stmcorp.cl</t>
        </is>
      </c>
      <c r="E1855" s="66" t="inlineStr">
        <is>
          <t>(56) 2 2887 1000</t>
        </is>
      </c>
      <c r="F1855" s="66" t="n"/>
      <c r="G1855" s="66" t="n"/>
      <c r="H1855" s="66" t="n"/>
      <c r="I1855" s="66" t="inlineStr">
        <is>
          <t>99.555.480-1</t>
        </is>
      </c>
      <c r="J1855" s="66" t="n"/>
      <c r="K1855" s="66" t="inlineStr">
        <is>
          <t>Ventas: GRANDE 2 (200.000 - 600.000 UF) | Empleados: 23</t>
        </is>
      </c>
      <c r="L1855" s="61" t="n"/>
      <c r="M1855" s="61" t="n"/>
      <c r="N1855" s="61" t="n"/>
      <c r="O1855" s="61" t="n"/>
      <c r="P1855" s="61" t="n"/>
      <c r="Q1855" s="62" t="n"/>
      <c r="R1855" s="61" t="n"/>
    </row>
    <row r="1856" ht="15.75" customHeight="1" s="38">
      <c r="A1856" s="66" t="inlineStr">
        <is>
          <t>STN – Sistema de Transmisión del Norte</t>
        </is>
      </c>
      <c r="B1856" s="66" t="inlineStr">
        <is>
          <t>Servicios de Inspección con Drones</t>
        </is>
      </c>
      <c r="C1856" s="66" t="inlineStr">
        <is>
          <t>Antofagasta</t>
        </is>
      </c>
      <c r="D1856" s="66" t="inlineStr">
        <is>
          <t>serviciosmineria@saesa.cl</t>
        </is>
      </c>
      <c r="E1856" s="66" t="inlineStr">
        <is>
          <t>600 401 5009</t>
        </is>
      </c>
      <c r="F1856" s="66" t="n"/>
      <c r="G1856" s="66" t="n"/>
      <c r="H1856" s="66" t="inlineStr">
        <is>
          <t>http://www.stnmineria.cl</t>
        </is>
      </c>
      <c r="I1856" s="66" t="inlineStr">
        <is>
          <t>76.410.374-2</t>
        </is>
      </c>
      <c r="J1856" s="66" t="n"/>
      <c r="K1856" s="66" t="inlineStr">
        <is>
          <t>Ventas: GRANDE (Estimado por Empleados) | Empleados: 763</t>
        </is>
      </c>
      <c r="L1856" s="61" t="n"/>
      <c r="M1856" s="61" t="n"/>
      <c r="N1856" s="61" t="n"/>
      <c r="O1856" s="61" t="n"/>
      <c r="P1856" s="61" t="n"/>
      <c r="Q1856" s="62" t="n"/>
      <c r="R1856" s="61" t="n"/>
    </row>
    <row r="1857" ht="15.75" customHeight="1" s="38">
      <c r="A1857" s="66" t="inlineStr">
        <is>
          <t>Stracon</t>
        </is>
      </c>
      <c r="B1857" s="66" t="inlineStr">
        <is>
          <t>Cierre de Minas, Planeamiento, Construcción y Operación de Minas</t>
        </is>
      </c>
      <c r="C1857" s="66" t="inlineStr">
        <is>
          <t>Santiago</t>
        </is>
      </c>
      <c r="D1857" s="66" t="inlineStr">
        <is>
          <t>info.chile@stracon.com</t>
        </is>
      </c>
      <c r="E1857" s="66" t="n"/>
      <c r="F1857" s="66" t="n"/>
      <c r="G1857" s="66" t="n"/>
      <c r="H1857" s="66" t="n"/>
      <c r="I1857" s="66" t="inlineStr">
        <is>
          <t>76391966-8</t>
        </is>
      </c>
      <c r="J1857" s="66" t="n"/>
      <c r="K1857" s="66" t="inlineStr">
        <is>
          <t>Ventas: GRANDE (Estimado por Empleados) | Empleados: 2214</t>
        </is>
      </c>
      <c r="L1857" s="61" t="n"/>
      <c r="M1857" s="61" t="n"/>
      <c r="N1857" s="61" t="n"/>
      <c r="O1857" s="61" t="n"/>
      <c r="P1857" s="61" t="n"/>
      <c r="Q1857" s="62" t="n"/>
      <c r="R1857" s="61" t="n"/>
    </row>
    <row r="1858" ht="15.75" customHeight="1" s="38">
      <c r="A1858" s="66" t="inlineStr">
        <is>
          <t>Subsea Engineering Ltda.</t>
        </is>
      </c>
      <c r="B1858" s="66" t="inlineStr">
        <is>
          <t>Construcción de Obras Marítimas</t>
        </is>
      </c>
      <c r="C1858" s="66" t="inlineStr">
        <is>
          <t>Coquimbo</t>
        </is>
      </c>
      <c r="D1858" s="66" t="inlineStr">
        <is>
          <t>contacto@subsea.cl</t>
        </is>
      </c>
      <c r="E1858" s="66" t="inlineStr">
        <is>
          <t>(56) 51 224 5567</t>
        </is>
      </c>
      <c r="F1858" s="66" t="n"/>
      <c r="G1858" s="66" t="n"/>
      <c r="H1858" s="66" t="n"/>
      <c r="I1858" s="66" t="inlineStr">
        <is>
          <t>76.174.710-K</t>
        </is>
      </c>
      <c r="J1858" s="66" t="n"/>
      <c r="K1858" s="66" t="inlineStr">
        <is>
          <t>Ventas: No en base SII | Empleados: S/I</t>
        </is>
      </c>
      <c r="L1858" s="61" t="n"/>
      <c r="M1858" s="61" t="n"/>
      <c r="N1858" s="61" t="n"/>
      <c r="O1858" s="61" t="n"/>
      <c r="P1858" s="61" t="n"/>
      <c r="Q1858" s="62" t="n"/>
      <c r="R1858" s="61" t="n"/>
    </row>
    <row r="1859" ht="15.75" customHeight="1" s="38">
      <c r="A1859" s="66" t="inlineStr">
        <is>
          <t>Subsole Servicios Ltda.</t>
        </is>
      </c>
      <c r="B1859" s="66" t="inlineStr">
        <is>
          <t>Ventilación Industrial</t>
        </is>
      </c>
      <c r="C1859" s="66" t="inlineStr">
        <is>
          <t>Santiago</t>
        </is>
      </c>
      <c r="D1859" s="66" t="inlineStr">
        <is>
          <t>info@subsoleservicios.cl</t>
        </is>
      </c>
      <c r="E1859" s="66" t="inlineStr">
        <is>
          <t>(56) 2 2653 7640</t>
        </is>
      </c>
      <c r="F1859" s="66" t="n"/>
      <c r="G1859" s="66" t="n"/>
      <c r="H1859" s="66" t="n"/>
      <c r="I1859" s="66" t="inlineStr">
        <is>
          <t>78.324.580-9</t>
        </is>
      </c>
      <c r="J1859" s="66" t="n"/>
      <c r="K1859" s="66" t="inlineStr">
        <is>
          <t>Ventas: PEQUEÑA 2 (5.000 - 10.000 UF) | Empleados: 1</t>
        </is>
      </c>
      <c r="L1859" s="61" t="n"/>
      <c r="M1859" s="61" t="n"/>
      <c r="N1859" s="61" t="n"/>
      <c r="O1859" s="61" t="n"/>
      <c r="P1859" s="61" t="n"/>
      <c r="Q1859" s="62" t="n"/>
      <c r="R1859" s="61" t="n"/>
    </row>
    <row r="1860" ht="15.75" customHeight="1" s="38">
      <c r="A1860" s="66" t="inlineStr">
        <is>
          <t>Subterra Maquinaria Minera S.A.</t>
        </is>
      </c>
      <c r="B1860" s="66" t="inlineStr">
        <is>
          <t>Equipos para Minería Subterránea</t>
        </is>
      </c>
      <c r="C1860" s="66" t="inlineStr">
        <is>
          <t>Santiago</t>
        </is>
      </c>
      <c r="D1860" s="66" t="inlineStr">
        <is>
          <t>dvaldes@subterramineria.cl</t>
        </is>
      </c>
      <c r="E1860" s="66" t="inlineStr">
        <is>
          <t>(56) 2 2623 5432</t>
        </is>
      </c>
      <c r="F1860" s="66" t="n"/>
      <c r="G1860" s="66" t="n"/>
      <c r="H1860" s="66" t="n"/>
      <c r="I1860" s="66" t="inlineStr">
        <is>
          <t>76.019.901-K</t>
        </is>
      </c>
      <c r="J1860" s="66" t="n"/>
      <c r="K1860" s="66" t="inlineStr">
        <is>
          <t>Ventas: MEDIANA 2 (50.000 - 100.000 UF) | Empleados: 11</t>
        </is>
      </c>
      <c r="L1860" s="61" t="n"/>
      <c r="M1860" s="61" t="n"/>
      <c r="N1860" s="61" t="n"/>
      <c r="O1860" s="61" t="n"/>
      <c r="P1860" s="61" t="n"/>
      <c r="Q1860" s="62" t="n"/>
      <c r="R1860" s="61" t="n"/>
    </row>
    <row r="1861" ht="15.75" customHeight="1" s="38">
      <c r="A1861" s="66" t="inlineStr">
        <is>
          <t>Suez Medioambiente Chile</t>
        </is>
      </c>
      <c r="B1861" s="66" t="inlineStr">
        <is>
          <t>Diseño de Plantas para Tratamiento de Agua, Plantas Desalinizadoras de Agua</t>
        </is>
      </c>
      <c r="C1861" s="66" t="inlineStr">
        <is>
          <t>Santiago</t>
        </is>
      </c>
      <c r="D1861" s="66" t="n"/>
      <c r="E1861" s="66" t="inlineStr">
        <is>
          <t>(56) 2 2739 6400</t>
        </is>
      </c>
      <c r="F1861" s="66" t="n"/>
      <c r="G1861" s="66" t="n"/>
      <c r="H1861" s="66" t="n"/>
      <c r="I1861" s="66" t="inlineStr">
        <is>
          <t>77.441.870-9</t>
        </is>
      </c>
      <c r="J1861" s="66" t="n"/>
      <c r="K1861" s="66" t="inlineStr">
        <is>
          <t>Ventas: GRANDE 3 (600.000 - 1.000.000 UF) | Empleados: 379</t>
        </is>
      </c>
      <c r="L1861" s="61" t="n"/>
      <c r="M1861" s="61" t="n"/>
      <c r="N1861" s="61" t="n"/>
      <c r="O1861" s="61" t="n"/>
      <c r="P1861" s="61" t="n"/>
      <c r="Q1861" s="62" t="n"/>
      <c r="R1861" s="61" t="n"/>
    </row>
    <row r="1862" ht="15.75" customHeight="1" s="38">
      <c r="A1862" s="66" t="inlineStr">
        <is>
          <t>Sulzer Bombas Chile</t>
        </is>
      </c>
      <c r="B1862" s="66" t="inlineStr">
        <is>
          <t>Agitadores, Bombas</t>
        </is>
      </c>
      <c r="C1862" s="66" t="inlineStr">
        <is>
          <t>Santiago</t>
        </is>
      </c>
      <c r="D1862" s="66" t="n"/>
      <c r="E1862" s="66" t="inlineStr">
        <is>
          <t>(56) 2 3215 1050</t>
        </is>
      </c>
      <c r="F1862" s="66" t="n"/>
      <c r="G1862" s="66" t="n"/>
      <c r="H1862" s="66" t="n"/>
      <c r="I1862" s="66" t="inlineStr">
        <is>
          <t>77.249.890-K</t>
        </is>
      </c>
      <c r="J1862" s="66" t="n"/>
      <c r="K1862" s="66" t="inlineStr">
        <is>
          <t>Ventas: MEDIANA (Estimado por Empleados) | Empleados: 80</t>
        </is>
      </c>
      <c r="L1862" s="61" t="n"/>
      <c r="M1862" s="61" t="n"/>
      <c r="N1862" s="61" t="n"/>
      <c r="O1862" s="61" t="n"/>
      <c r="P1862" s="61" t="n"/>
      <c r="Q1862" s="62" t="n"/>
      <c r="R1862" s="61" t="n"/>
    </row>
    <row r="1863" ht="15.75" customHeight="1" s="38">
      <c r="A1863" s="66" t="inlineStr">
        <is>
          <t>Suminor</t>
        </is>
      </c>
      <c r="B1863" s="66" t="inlineStr">
        <is>
          <t>Equipamiento Minero, Seguridad Vial</t>
        </is>
      </c>
      <c r="C1863" s="66" t="inlineStr">
        <is>
          <t>Antofagasta</t>
        </is>
      </c>
      <c r="D1863" s="66" t="inlineStr">
        <is>
          <t>roberto.chia@suminorspa.cl</t>
        </is>
      </c>
      <c r="E1863" s="66" t="inlineStr">
        <is>
          <t>(56) 9 8232 7384</t>
        </is>
      </c>
      <c r="F1863" s="66" t="n"/>
      <c r="G1863" s="66" t="n"/>
      <c r="H1863" s="66" t="n"/>
      <c r="I1863" s="66" t="inlineStr">
        <is>
          <t>77168784-9</t>
        </is>
      </c>
      <c r="J1863" s="66" t="n"/>
      <c r="K1863" s="66" t="inlineStr">
        <is>
          <t>Ventas: PEQUEÑA 3 (10.000 - 25.000 UF) | Empleados: 2</t>
        </is>
      </c>
      <c r="L1863" s="61" t="n"/>
      <c r="M1863" s="61" t="n"/>
      <c r="N1863" s="61" t="n"/>
      <c r="O1863" s="61" t="n"/>
      <c r="P1863" s="61" t="n"/>
      <c r="Q1863" s="62" t="n"/>
      <c r="R1863" s="61" t="n"/>
    </row>
    <row r="1864" ht="15.75" customHeight="1" s="38">
      <c r="A1864" s="66" t="inlineStr">
        <is>
          <t>Suminox Ltda.</t>
        </is>
      </c>
      <c r="B1864" s="66" t="inlineStr">
        <is>
          <t>Válvulas de Acero Inoxidable</t>
        </is>
      </c>
      <c r="C1864" s="66" t="inlineStr">
        <is>
          <t>Santiago</t>
        </is>
      </c>
      <c r="D1864" s="66" t="inlineStr">
        <is>
          <t>ventas@suminox.cl</t>
        </is>
      </c>
      <c r="E1864" s="66" t="inlineStr">
        <is>
          <t>(56) 2 2774 1058</t>
        </is>
      </c>
      <c r="F1864" s="66" t="n"/>
      <c r="G1864" s="66" t="n"/>
      <c r="H1864" s="66" t="n"/>
      <c r="I1864" s="66" t="inlineStr">
        <is>
          <t>76.115.947-K</t>
        </is>
      </c>
      <c r="J1864" s="66" t="n"/>
      <c r="K1864" s="66" t="inlineStr">
        <is>
          <t>Ventas: PEQUEÑA 1 (2.400 - 5.000 UF) | Empleados: 2</t>
        </is>
      </c>
      <c r="L1864" s="61" t="n"/>
      <c r="M1864" s="61" t="n"/>
      <c r="N1864" s="61" t="n"/>
      <c r="O1864" s="61" t="n"/>
      <c r="P1864" s="61" t="n"/>
      <c r="Q1864" s="62" t="n"/>
      <c r="R1864" s="61" t="n"/>
    </row>
    <row r="1865" ht="15.75" customHeight="1" s="38">
      <c r="A1865" s="66" t="inlineStr">
        <is>
          <t>Sumitomo Drive Technologies</t>
        </is>
      </c>
      <c r="B1865" s="66" t="inlineStr">
        <is>
          <t>Reductores</t>
        </is>
      </c>
      <c r="C1865" s="66" t="inlineStr">
        <is>
          <t>Santiago</t>
        </is>
      </c>
      <c r="D1865" s="66" t="inlineStr">
        <is>
          <t>erik.fuentes@shi-g.com</t>
        </is>
      </c>
      <c r="E1865" s="66" t="inlineStr">
        <is>
          <t>(56) 2 2892 7000</t>
        </is>
      </c>
      <c r="F1865" s="66" t="n"/>
      <c r="G1865" s="66" t="n"/>
      <c r="H1865" s="66" t="n"/>
      <c r="I1865" s="66" t="inlineStr">
        <is>
          <t>78.856.680-8</t>
        </is>
      </c>
      <c r="J1865" s="66" t="n"/>
      <c r="K1865" s="66" t="inlineStr">
        <is>
          <t>Ventas: GRANDE 3 (600.000 - 1.000.000 UF) | Empleados: 89</t>
        </is>
      </c>
      <c r="L1865" s="61" t="n"/>
      <c r="M1865" s="61" t="n"/>
      <c r="N1865" s="61" t="n"/>
      <c r="O1865" s="61" t="n"/>
      <c r="P1865" s="61" t="n"/>
      <c r="Q1865" s="62" t="n"/>
      <c r="R1865" s="61" t="n"/>
    </row>
    <row r="1866" ht="15.75" customHeight="1" s="38">
      <c r="A1866" s="66" t="inlineStr">
        <is>
          <t>Sun S.A.</t>
        </is>
      </c>
      <c r="B1866" s="66" t="inlineStr">
        <is>
          <t>Procesos Mineros</t>
        </is>
      </c>
      <c r="C1866" s="66" t="inlineStr">
        <is>
          <t>Santiago</t>
        </is>
      </c>
      <c r="D1866" s="66" t="inlineStr">
        <is>
          <t>contacto@sunsa.cl</t>
        </is>
      </c>
      <c r="E1866" s="66" t="inlineStr">
        <is>
          <t>(56) 2 2580 0080</t>
        </is>
      </c>
      <c r="F1866" s="66" t="n"/>
      <c r="G1866" s="66" t="n"/>
      <c r="H1866" s="66" t="n"/>
      <c r="I1866" s="66" t="inlineStr">
        <is>
          <t>76455655-0</t>
        </is>
      </c>
      <c r="J1866" s="66" t="n"/>
      <c r="K1866" s="66" t="inlineStr">
        <is>
          <t>Ventas: PEQUEÑA 1 (2.400 - 5.000 UF) | Empleados: 2</t>
        </is>
      </c>
      <c r="L1866" s="61" t="n"/>
      <c r="M1866" s="61" t="n"/>
      <c r="N1866" s="61" t="n"/>
      <c r="O1866" s="61" t="n"/>
      <c r="P1866" s="61" t="n"/>
      <c r="Q1866" s="62" t="n"/>
      <c r="R1866" s="61" t="n"/>
    </row>
    <row r="1867" ht="15.75" customHeight="1" s="38">
      <c r="A1867" s="66" t="inlineStr">
        <is>
          <t>Sunai</t>
        </is>
      </c>
      <c r="B1867" s="66" t="inlineStr">
        <is>
          <t>Energía Solar, Plantas Fotovoltaicas</t>
        </is>
      </c>
      <c r="C1867" s="66" t="inlineStr">
        <is>
          <t>Antofagasta</t>
        </is>
      </c>
      <c r="D1867" s="66" t="inlineStr">
        <is>
          <t>cparrado@sunai.cl</t>
        </is>
      </c>
      <c r="E1867" s="66" t="inlineStr">
        <is>
          <t>(56) 9 8464 7819</t>
        </is>
      </c>
      <c r="F1867" s="66" t="n"/>
      <c r="G1867" s="66" t="n"/>
      <c r="H1867" s="66" t="n"/>
      <c r="I1867" s="66" t="inlineStr">
        <is>
          <t>76957696-7</t>
        </is>
      </c>
      <c r="J1867" s="66" t="n"/>
      <c r="K1867" s="66" t="inlineStr">
        <is>
          <t>Ventas: PEQUEÑA 1 (2.400 - 5.000 UF) | Empleados: 0</t>
        </is>
      </c>
      <c r="L1867" s="61" t="n"/>
      <c r="M1867" s="61" t="n"/>
      <c r="N1867" s="61" t="n"/>
      <c r="O1867" s="61" t="n"/>
      <c r="P1867" s="61" t="n"/>
      <c r="Q1867" s="62" t="n"/>
      <c r="R1867" s="61" t="n"/>
    </row>
    <row r="1868" ht="15.75" customHeight="1" s="38">
      <c r="A1868" s="66" t="inlineStr">
        <is>
          <t>Sunwork Protección Solar Profesional</t>
        </is>
      </c>
      <c r="B1868" s="66" t="inlineStr">
        <is>
          <t>Productos para la Protección de la Piel, Protectores Solares</t>
        </is>
      </c>
      <c r="C1868" s="66" t="inlineStr">
        <is>
          <t>Santiago</t>
        </is>
      </c>
      <c r="D1868" s="66" t="inlineStr">
        <is>
          <t>contacto@deutschepharma.cl</t>
        </is>
      </c>
      <c r="E1868" s="66" t="inlineStr">
        <is>
          <t>(56) 2 2365 9615</t>
        </is>
      </c>
      <c r="F1868" s="66" t="inlineStr">
        <is>
          <t>Gerente de TI / CIO (Director de Tecnología)</t>
        </is>
      </c>
      <c r="G1868" s="66" t="n"/>
      <c r="H1868" s="66" t="n"/>
      <c r="I1868" s="66" t="inlineStr">
        <is>
          <t>76.018.782-8</t>
        </is>
      </c>
      <c r="J1868" s="66" t="n"/>
      <c r="K1868" s="66" t="inlineStr">
        <is>
          <t>Ventas: GRANDE 4 (Mas de 1.000.000 UF) | Empleados: 80</t>
        </is>
      </c>
      <c r="L1868" s="61" t="n"/>
      <c r="M1868" s="61" t="n"/>
      <c r="N1868" s="61" t="n"/>
      <c r="O1868" s="61" t="n"/>
      <c r="P1868" s="61" t="n"/>
      <c r="Q1868" s="62" t="n"/>
      <c r="R1868" s="61" t="n"/>
    </row>
    <row r="1869" ht="15.75" customHeight="1" s="38">
      <c r="A1869" s="66" t="inlineStr">
        <is>
          <t>Superbid</t>
        </is>
      </c>
      <c r="B1869" s="66" t="inlineStr">
        <is>
          <t>Remates de Activos Industriales, Remates de Vehículos</t>
        </is>
      </c>
      <c r="C1869" s="66" t="inlineStr">
        <is>
          <t>Santiago</t>
        </is>
      </c>
      <c r="D1869" s="66" t="inlineStr">
        <is>
          <t>cac@superbid.cl</t>
        </is>
      </c>
      <c r="E1869" s="66" t="inlineStr">
        <is>
          <t>(56) 2 2936 3000</t>
        </is>
      </c>
      <c r="F1869" s="66" t="n"/>
      <c r="G1869" s="66" t="n"/>
      <c r="H1869" s="66" t="n"/>
      <c r="I1869" s="66" t="inlineStr">
        <is>
          <t>76.008.148-5</t>
        </is>
      </c>
      <c r="J1869" s="66" t="n"/>
      <c r="K1869" s="66" t="inlineStr">
        <is>
          <t>Ventas: MEDIANA 2 (50.000 - 100.000 UF) | Empleados: 28</t>
        </is>
      </c>
      <c r="L1869" s="61" t="n"/>
      <c r="M1869" s="61" t="n"/>
      <c r="N1869" s="61" t="n"/>
      <c r="O1869" s="61" t="n"/>
      <c r="P1869" s="61" t="n"/>
      <c r="Q1869" s="62" t="n"/>
      <c r="R1869" s="61" t="n"/>
    </row>
    <row r="1870" ht="15.75" customHeight="1" s="38">
      <c r="A1870" s="66" t="inlineStr">
        <is>
          <t>SupplyNet</t>
        </is>
      </c>
      <c r="B1870" s="66" t="inlineStr">
        <is>
          <t>Proveedor Destacado, Servicios de Gestión de Riesgos, Servicios y Tecnologías para la Gestión de Abastecimiento y Contratos</t>
        </is>
      </c>
      <c r="C1870" s="66" t="inlineStr">
        <is>
          <t>Santiago</t>
        </is>
      </c>
      <c r="D1870" s="66" t="inlineStr">
        <is>
          <t>ibraga@supplynet.cl</t>
        </is>
      </c>
      <c r="E1870" s="66" t="inlineStr">
        <is>
          <t>(56) 2 2869 3373</t>
        </is>
      </c>
      <c r="F1870" s="66" t="n"/>
      <c r="G1870" s="66" t="n"/>
      <c r="H1870" s="66" t="inlineStr">
        <is>
          <t>http://www.supplynet.cl</t>
        </is>
      </c>
      <c r="I1870" s="66" t="inlineStr">
        <is>
          <t>76.720.073-0</t>
        </is>
      </c>
      <c r="J1870" s="66" t="n"/>
      <c r="K1870" s="66" t="inlineStr">
        <is>
          <t>Ventas: GRANDE 3 (600.000 - 1.000.000 UF) | Empleados: 633</t>
        </is>
      </c>
      <c r="L1870" s="61" t="n"/>
      <c r="M1870" s="61" t="n"/>
      <c r="N1870" s="61" t="n"/>
      <c r="O1870" s="61" t="n"/>
      <c r="P1870" s="61" t="n"/>
      <c r="Q1870" s="62" t="n"/>
      <c r="R1870" s="61" t="n"/>
    </row>
    <row r="1871" ht="15.75" customHeight="1" s="38">
      <c r="A1871" s="66" t="inlineStr">
        <is>
          <t>Supplynor Chile Ltda.</t>
        </is>
      </c>
      <c r="B1871" s="66" t="inlineStr">
        <is>
          <t>Aleaciones, Barras y Piping Inoxidable</t>
        </is>
      </c>
      <c r="C1871" s="66" t="inlineStr">
        <is>
          <t>Antofagasta</t>
        </is>
      </c>
      <c r="D1871" s="66" t="inlineStr">
        <is>
          <t>ventas@supplynor.cl</t>
        </is>
      </c>
      <c r="E1871" s="66" t="inlineStr">
        <is>
          <t>(56) 41 317 2311</t>
        </is>
      </c>
      <c r="F1871" s="66" t="n"/>
      <c r="G1871" s="66" t="n"/>
      <c r="H1871" s="66" t="n"/>
      <c r="I1871" s="66" t="inlineStr">
        <is>
          <t>76.199.095-0</t>
        </is>
      </c>
      <c r="J1871" s="66" t="n"/>
      <c r="K1871" s="66" t="inlineStr">
        <is>
          <t>Ventas: GRANDE 1 (100.000 - 200.000 UF) | Empleados: 10</t>
        </is>
      </c>
      <c r="L1871" s="61" t="n"/>
      <c r="M1871" s="61" t="n"/>
      <c r="N1871" s="61" t="n"/>
      <c r="O1871" s="61" t="n"/>
      <c r="P1871" s="61" t="n"/>
      <c r="Q1871" s="62" t="n"/>
      <c r="R1871" s="61" t="n"/>
    </row>
    <row r="1872" ht="15.75" customHeight="1" s="38">
      <c r="A1872" s="66" t="inlineStr">
        <is>
          <t>Surac</t>
        </is>
      </c>
      <c r="B1872" s="66" t="inlineStr">
        <is>
          <t>Baldes para Equipos Mineros y Construcción, Repuestos para Maquinaria Pesada, Repuestos para Motores Diesel</t>
        </is>
      </c>
      <c r="C1872" s="66" t="inlineStr">
        <is>
          <t>Santiago</t>
        </is>
      </c>
      <c r="D1872" s="66" t="inlineStr">
        <is>
          <t>info@surac.cl</t>
        </is>
      </c>
      <c r="E1872" s="66" t="inlineStr">
        <is>
          <t>(56) 2 2414 6500</t>
        </is>
      </c>
      <c r="F1872" s="66" t="n"/>
      <c r="G1872" s="66" t="n"/>
      <c r="H1872" s="66" t="n"/>
      <c r="I1872" s="66" t="inlineStr">
        <is>
          <t>78.334.250-2</t>
        </is>
      </c>
      <c r="J1872" s="66" t="n"/>
      <c r="K1872" s="66" t="inlineStr">
        <is>
          <t>Ventas: GRANDE 3 (600.000 - 1.000.000 UF) | Empleados: 105</t>
        </is>
      </c>
      <c r="L1872" s="61" t="n"/>
      <c r="M1872" s="61" t="n"/>
      <c r="N1872" s="61" t="n"/>
      <c r="O1872" s="61" t="n"/>
      <c r="P1872" s="61" t="n"/>
      <c r="Q1872" s="62" t="n"/>
      <c r="R1872" s="61" t="n"/>
    </row>
    <row r="1873" ht="15.75" customHeight="1" s="38">
      <c r="A1873" s="66" t="inlineStr">
        <is>
          <t>Surplast SpA</t>
        </is>
      </c>
      <c r="B1873" s="66" t="inlineStr">
        <is>
          <t>Aislantes Acústicos, Aislantes Térmicos</t>
        </is>
      </c>
      <c r="C1873" s="66" t="inlineStr">
        <is>
          <t>Santiago</t>
        </is>
      </c>
      <c r="D1873" s="66" t="inlineStr">
        <is>
          <t>ecommerce@surplast.cl</t>
        </is>
      </c>
      <c r="E1873" s="66" t="inlineStr">
        <is>
          <t>(56) 2 2275 4500</t>
        </is>
      </c>
      <c r="F1873" s="66" t="n"/>
      <c r="G1873" s="66" t="n"/>
      <c r="H1873" s="66" t="n"/>
      <c r="I1873" s="66" t="inlineStr">
        <is>
          <t>99.516.040-4</t>
        </is>
      </c>
      <c r="J1873" s="66" t="n"/>
      <c r="K1873" s="66" t="inlineStr">
        <is>
          <t>Ventas: MEDIANA 1 (25.000 - 50.000 UF) | Empleados: 17</t>
        </is>
      </c>
      <c r="L1873" s="61" t="n"/>
      <c r="M1873" s="61" t="n"/>
      <c r="N1873" s="61" t="n"/>
      <c r="O1873" s="61" t="n"/>
      <c r="P1873" s="61" t="n"/>
      <c r="Q1873" s="62" t="n"/>
      <c r="R1873" s="61" t="n"/>
    </row>
    <row r="1874" ht="15.75" customHeight="1" s="38">
      <c r="A1874" s="66" t="inlineStr">
        <is>
          <t>Surtiventas</t>
        </is>
      </c>
      <c r="B1874" s="66" t="inlineStr">
        <is>
          <t>Artículos para Aseo, Artículos para Oficinas, Seguridad Industrial y Minera</t>
        </is>
      </c>
      <c r="C1874" s="66" t="inlineStr">
        <is>
          <t>Santiago</t>
        </is>
      </c>
      <c r="D1874" s="66" t="inlineStr">
        <is>
          <t>surtiventas@surtiventas.cl</t>
        </is>
      </c>
      <c r="E1874" s="66" t="inlineStr">
        <is>
          <t>(56) 2 2820 6400</t>
        </is>
      </c>
      <c r="F1874" s="66" t="inlineStr">
        <is>
          <t>Gerente de TI / CIO (Director de Tecnología)</t>
        </is>
      </c>
      <c r="G1874" s="66" t="n"/>
      <c r="H1874" s="66" t="n"/>
      <c r="I1874" s="66" t="inlineStr">
        <is>
          <t>76.462.500-5</t>
        </is>
      </c>
      <c r="J1874" s="66" t="n"/>
      <c r="K1874" s="66" t="inlineStr">
        <is>
          <t>Ventas: GRANDE 4 (Mas de 1.000.000 UF) | Empleados: 205</t>
        </is>
      </c>
      <c r="L1874" s="61" t="n"/>
      <c r="M1874" s="61" t="n"/>
      <c r="N1874" s="61" t="n"/>
      <c r="O1874" s="61" t="n"/>
      <c r="P1874" s="61" t="n"/>
      <c r="Q1874" s="62" t="n"/>
      <c r="R1874" s="61" t="n"/>
    </row>
    <row r="1875" ht="15.75" customHeight="1" s="38">
      <c r="A1875" s="66" t="inlineStr">
        <is>
          <t>Svendborg Brakes</t>
        </is>
      </c>
      <c r="B1875" s="66" t="inlineStr">
        <is>
          <t>Correas Transportadoras</t>
        </is>
      </c>
      <c r="C1875" s="66" t="inlineStr">
        <is>
          <t>Santiago</t>
        </is>
      </c>
      <c r="D1875" s="66" t="inlineStr">
        <is>
          <t>sa@svendborg-brakes.com</t>
        </is>
      </c>
      <c r="E1875" s="66" t="inlineStr">
        <is>
          <t>(56) 2 3203 9150</t>
        </is>
      </c>
      <c r="F1875" s="66" t="n"/>
      <c r="G1875" s="66" t="n"/>
      <c r="H1875" s="66" t="n"/>
      <c r="I1875" s="66" t="inlineStr">
        <is>
          <t>76083643-5</t>
        </is>
      </c>
      <c r="J1875" s="66" t="n"/>
      <c r="K1875" s="66" t="inlineStr">
        <is>
          <t>Ventas: GRANDE 2 (200.000 - 600.000 UF) | Empleados: 12</t>
        </is>
      </c>
      <c r="L1875" s="61" t="n"/>
      <c r="M1875" s="61" t="n"/>
      <c r="N1875" s="61" t="n"/>
      <c r="O1875" s="61" t="n"/>
      <c r="P1875" s="61" t="n"/>
      <c r="Q1875" s="62" t="n"/>
      <c r="R1875" s="61" t="n"/>
    </row>
    <row r="1876" ht="15.75" customHeight="1" s="38">
      <c r="A1876" s="66" t="inlineStr">
        <is>
          <t>Swanson Hidrocrom S.A.</t>
        </is>
      </c>
      <c r="B1876" s="66" t="inlineStr">
        <is>
          <t>Cilindros Hidráulicos</t>
        </is>
      </c>
      <c r="C1876" s="66" t="inlineStr">
        <is>
          <t>Santiago</t>
        </is>
      </c>
      <c r="D1876" s="66" t="n"/>
      <c r="E1876" s="66" t="inlineStr">
        <is>
          <t>(56) 2 2306 4970</t>
        </is>
      </c>
      <c r="F1876" s="66" t="n"/>
      <c r="G1876" s="66" t="n"/>
      <c r="H1876" s="66" t="n"/>
      <c r="I1876" s="66" t="inlineStr">
        <is>
          <t>77.221.090-6</t>
        </is>
      </c>
      <c r="J1876" s="66" t="n"/>
      <c r="K1876" s="66" t="inlineStr">
        <is>
          <t>Ventas: GRANDE 3 (600.000 - 1.000.000 UF) | Empleados: 143</t>
        </is>
      </c>
      <c r="L1876" s="61" t="n"/>
      <c r="M1876" s="61" t="n"/>
      <c r="N1876" s="61" t="n"/>
      <c r="O1876" s="61" t="n"/>
      <c r="P1876" s="61" t="n"/>
      <c r="Q1876" s="62" t="n"/>
      <c r="R1876" s="61" t="n"/>
    </row>
    <row r="1877" ht="15.75" customHeight="1" s="38">
      <c r="A1877" s="66" t="inlineStr">
        <is>
          <t>Syntec Ingeniería</t>
        </is>
      </c>
      <c r="B1877" s="66" t="inlineStr">
        <is>
          <t>Diseño y Análisis en Control de Procesos Fluidodinámicos, Gases y Ventilación</t>
        </is>
      </c>
      <c r="C1877" s="66" t="inlineStr">
        <is>
          <t>Santiago</t>
        </is>
      </c>
      <c r="D1877" s="66" t="inlineStr">
        <is>
          <t>contacto@syntec.cl</t>
        </is>
      </c>
      <c r="E1877" s="66" t="inlineStr">
        <is>
          <t>(56) 2 3224 3198</t>
        </is>
      </c>
      <c r="F1877" s="66" t="n"/>
      <c r="G1877" s="66" t="n"/>
      <c r="H1877" s="66" t="n"/>
      <c r="I1877" s="66" t="inlineStr">
        <is>
          <t>76.413.829-5</t>
        </is>
      </c>
      <c r="J1877" s="66" t="n"/>
      <c r="K1877" s="66" t="inlineStr">
        <is>
          <t>Ventas: GRANDE 1 (100.000 - 200.000 UF) | Empleados: 56</t>
        </is>
      </c>
      <c r="L1877" s="61" t="n"/>
      <c r="M1877" s="61" t="n"/>
      <c r="N1877" s="61" t="n"/>
      <c r="O1877" s="61" t="n"/>
      <c r="P1877" s="61" t="n"/>
      <c r="Q1877" s="62" t="n"/>
      <c r="R1877" s="61" t="n"/>
    </row>
    <row r="1878" ht="15.75" customHeight="1" s="38">
      <c r="A1878" s="59" t="inlineStr">
        <is>
          <t>Systec S.A.</t>
        </is>
      </c>
      <c r="B1878" s="59" t="inlineStr">
        <is>
          <t>Equipamiento para Sistemas Ferroviarios: Trenes, Vías y Catenarias, Sistemas Eléctricos, Talleres y Maestranzas, Equipos Ferroviarios</t>
        </is>
      </c>
      <c r="C1878" s="59" t="inlineStr">
        <is>
          <t>Santiago</t>
        </is>
      </c>
      <c r="D1878" s="59" t="inlineStr">
        <is>
          <t>info@systecsa.cl</t>
        </is>
      </c>
      <c r="E1878" s="59" t="inlineStr">
        <is>
          <t>(56) 2 2263 0228</t>
        </is>
      </c>
      <c r="F1878" s="59" t="inlineStr">
        <is>
          <t>Luis Mondaca (Gerente TI / CDO)</t>
        </is>
      </c>
      <c r="G1878" s="59" t="n"/>
      <c r="H1878" s="59" t="n"/>
      <c r="I1878" s="59" t="inlineStr">
        <is>
          <t>96.877.190-6</t>
        </is>
      </c>
      <c r="J1878" s="59" t="inlineStr">
        <is>
          <t>Transformación Digital Industrial</t>
        </is>
      </c>
      <c r="K1878" s="59" t="inlineStr">
        <is>
          <t>Ventas: GRANDE 2 (200.000 - 600.000 UF) | Empleados: 4</t>
        </is>
      </c>
      <c r="L1878" s="61" t="n"/>
      <c r="M1878" s="61" t="n"/>
      <c r="N1878" s="61" t="n"/>
      <c r="O1878" s="61" t="n"/>
      <c r="P1878" s="61" t="n"/>
      <c r="Q1878" s="62" t="n"/>
      <c r="R1878" s="61" t="n"/>
    </row>
    <row r="1879" ht="15.75" customHeight="1" s="38">
      <c r="A1879" s="66" t="inlineStr">
        <is>
          <t>T-Lows Services SpA</t>
        </is>
      </c>
      <c r="B1879" s="66" t="inlineStr">
        <is>
          <t>Servicios de Ingeniería, Transportes Especializado</t>
        </is>
      </c>
      <c r="C1879" s="66" t="inlineStr">
        <is>
          <t>Antofagasta</t>
        </is>
      </c>
      <c r="D1879" s="66" t="inlineStr">
        <is>
          <t>contacto@t-lows.com</t>
        </is>
      </c>
      <c r="E1879" s="66" t="inlineStr">
        <is>
          <t>(56) 9 6249 7537</t>
        </is>
      </c>
      <c r="F1879" s="66" t="n"/>
      <c r="G1879" s="66" t="n"/>
      <c r="H1879" s="66" t="n"/>
      <c r="I1879" s="66" t="inlineStr">
        <is>
          <t>77018401-0</t>
        </is>
      </c>
      <c r="J1879" s="66" t="n"/>
      <c r="K1879" s="66" t="inlineStr">
        <is>
          <t>Ventas: GRANDE 2 (200.000 - 600.000 UF) | Empleados: 49</t>
        </is>
      </c>
      <c r="L1879" s="61" t="n"/>
      <c r="M1879" s="61" t="n"/>
      <c r="N1879" s="61" t="n"/>
      <c r="O1879" s="61" t="n"/>
      <c r="P1879" s="61" t="n"/>
      <c r="Q1879" s="62" t="n"/>
      <c r="R1879" s="61" t="n"/>
    </row>
    <row r="1880" ht="15.75" customHeight="1" s="38">
      <c r="A1880" s="66" t="inlineStr">
        <is>
          <t>Tac Communication S.A.</t>
        </is>
      </c>
      <c r="B1880" s="66" t="inlineStr">
        <is>
          <t>Equipos Eléctricos</t>
        </is>
      </c>
      <c r="C1880" s="66" t="inlineStr">
        <is>
          <t>Santiago</t>
        </is>
      </c>
      <c r="D1880" s="66" t="inlineStr">
        <is>
          <t>recepcion@tac.cl</t>
        </is>
      </c>
      <c r="E1880" s="66" t="inlineStr">
        <is>
          <t>(56) 2 2779 5750</t>
        </is>
      </c>
      <c r="F1880" s="66" t="n"/>
      <c r="G1880" s="66" t="n"/>
      <c r="H1880" s="66" t="n"/>
      <c r="I1880" s="66" t="inlineStr">
        <is>
          <t>96.669.340-1</t>
        </is>
      </c>
      <c r="J1880" s="66" t="n"/>
      <c r="K1880" s="66" t="inlineStr">
        <is>
          <t>Ventas: GRANDE 2 (200.000 - 600.000 UF) | Empleados: 16</t>
        </is>
      </c>
      <c r="L1880" s="61" t="n"/>
      <c r="M1880" s="61" t="n"/>
      <c r="N1880" s="61" t="n"/>
      <c r="O1880" s="61" t="n"/>
      <c r="P1880" s="61" t="n"/>
      <c r="Q1880" s="62" t="n"/>
      <c r="R1880" s="61" t="n"/>
    </row>
    <row r="1881" ht="15.75" customHeight="1" s="38">
      <c r="A1881" s="66" t="inlineStr">
        <is>
          <t>Taglermaq</t>
        </is>
      </c>
      <c r="B1881" s="66" t="inlineStr">
        <is>
          <t>Soluciones Logísticas y Automatización</t>
        </is>
      </c>
      <c r="C1881" s="66" t="inlineStr">
        <is>
          <t>Santiago</t>
        </is>
      </c>
      <c r="D1881" s="66" t="inlineStr">
        <is>
          <t>taglermaq@taglermaq.cl</t>
        </is>
      </c>
      <c r="E1881" s="66" t="inlineStr">
        <is>
          <t>(56) 2 2478 1100</t>
        </is>
      </c>
      <c r="F1881" s="66" t="n"/>
      <c r="G1881" s="66" t="n"/>
      <c r="H1881" s="66" t="n"/>
      <c r="I1881" s="66" t="inlineStr">
        <is>
          <t>77.218.776-9</t>
        </is>
      </c>
      <c r="J1881" s="66" t="n"/>
      <c r="K1881" s="66" t="inlineStr">
        <is>
          <t>Ventas: GRANDE 3 (600.000 - 1.000.000 UF) | Empleados: 97</t>
        </is>
      </c>
      <c r="L1881" s="61" t="n"/>
      <c r="M1881" s="61" t="n"/>
      <c r="N1881" s="61" t="n"/>
      <c r="O1881" s="61" t="n"/>
      <c r="P1881" s="61" t="n"/>
      <c r="Q1881" s="62" t="n"/>
      <c r="R1881" s="61" t="n"/>
    </row>
    <row r="1882" ht="15.75" customHeight="1" s="38">
      <c r="A1882" s="66" t="inlineStr">
        <is>
          <t>Tailpro Consulting</t>
        </is>
      </c>
      <c r="B1882" s="66" t="inlineStr">
        <is>
          <t>Diseño de Tranques para Relaves</t>
        </is>
      </c>
      <c r="C1882" s="66" t="inlineStr">
        <is>
          <t>Santiago</t>
        </is>
      </c>
      <c r="D1882" s="66" t="inlineStr">
        <is>
          <t>web@tailpro.com</t>
        </is>
      </c>
      <c r="E1882" s="66" t="inlineStr">
        <is>
          <t>(56) 2 2958 2471</t>
        </is>
      </c>
      <c r="F1882" s="66" t="n"/>
      <c r="G1882" s="66" t="n"/>
      <c r="H1882" s="66" t="n"/>
      <c r="I1882" s="66" t="inlineStr">
        <is>
          <t>76.263.661-1</t>
        </is>
      </c>
      <c r="J1882" s="66" t="n"/>
      <c r="K1882" s="66" t="inlineStr">
        <is>
          <t>Ventas: GRANDE 1 (100.000 - 200.000 UF) | Empleados: 14</t>
        </is>
      </c>
      <c r="L1882" s="61" t="n"/>
      <c r="M1882" s="61" t="n"/>
      <c r="N1882" s="61" t="n"/>
      <c r="O1882" s="61" t="n"/>
      <c r="P1882" s="61" t="n"/>
      <c r="Q1882" s="62" t="n"/>
      <c r="R1882" s="61" t="n"/>
    </row>
    <row r="1883" ht="15.75" customHeight="1" s="38">
      <c r="A1883" s="66" t="inlineStr">
        <is>
          <t>Tajima Ltda.</t>
        </is>
      </c>
      <c r="B1883" s="66" t="inlineStr">
        <is>
          <t>Ropa para Seguridad, Ropa para Trabajo</t>
        </is>
      </c>
      <c r="C1883" s="66" t="inlineStr">
        <is>
          <t>Santiago</t>
        </is>
      </c>
      <c r="D1883" s="66" t="inlineStr">
        <is>
          <t>ventas@tajima.cl</t>
        </is>
      </c>
      <c r="E1883" s="66" t="inlineStr">
        <is>
          <t>(56) 2 2555 5683</t>
        </is>
      </c>
      <c r="F1883" s="66" t="n"/>
      <c r="G1883" s="66" t="n"/>
      <c r="H1883" s="66" t="n"/>
      <c r="I1883" s="66" t="inlineStr">
        <is>
          <t>52.003.435-8</t>
        </is>
      </c>
      <c r="J1883" s="66" t="n"/>
      <c r="K1883" s="66" t="inlineStr">
        <is>
          <t>Ventas: MEDIANA 1 (25.000 - 50.000 UF) | Empleados: 16</t>
        </is>
      </c>
      <c r="L1883" s="61" t="n"/>
      <c r="M1883" s="61" t="n"/>
      <c r="N1883" s="61" t="n"/>
      <c r="O1883" s="61" t="n"/>
      <c r="P1883" s="61" t="n"/>
      <c r="Q1883" s="62" t="n"/>
      <c r="R1883" s="61" t="n"/>
    </row>
    <row r="1884" ht="15.75" customHeight="1" s="38">
      <c r="A1884" s="66" t="inlineStr">
        <is>
          <t>Takraf Chile SpA</t>
        </is>
      </c>
      <c r="B1884" s="66" t="inlineStr">
        <is>
          <t>Correas Transportadoras, Separación Sólido / Líquido</t>
        </is>
      </c>
      <c r="C1884" s="66" t="inlineStr">
        <is>
          <t>Santiago</t>
        </is>
      </c>
      <c r="D1884" s="66" t="inlineStr">
        <is>
          <t>info@takraf.com</t>
        </is>
      </c>
      <c r="E1884" s="66" t="inlineStr">
        <is>
          <t>(56) 2 2398 3000</t>
        </is>
      </c>
      <c r="F1884" s="66" t="n"/>
      <c r="G1884" s="66" t="n"/>
      <c r="H1884" s="66" t="n"/>
      <c r="I1884" s="66" t="inlineStr">
        <is>
          <t>96.864.470-K</t>
        </is>
      </c>
      <c r="J1884" s="66" t="n"/>
      <c r="K1884" s="66" t="inlineStr">
        <is>
          <t>Ventas: No en base SII | Empleados: S/I</t>
        </is>
      </c>
      <c r="L1884" s="61" t="n"/>
      <c r="M1884" s="61" t="n"/>
      <c r="N1884" s="61" t="n"/>
      <c r="O1884" s="61" t="n"/>
      <c r="P1884" s="61" t="n"/>
      <c r="Q1884" s="62" t="n"/>
      <c r="R1884" s="61" t="n"/>
    </row>
    <row r="1885" ht="15.75" customHeight="1" s="38">
      <c r="A1885" s="66" t="inlineStr">
        <is>
          <t>Takso</t>
        </is>
      </c>
      <c r="B1885" s="66" t="inlineStr">
        <is>
          <t>Administración de Contratos y Proveedores</t>
        </is>
      </c>
      <c r="C1885" s="66" t="inlineStr">
        <is>
          <t>Ñuñoa</t>
        </is>
      </c>
      <c r="D1885" s="66" t="inlineStr">
        <is>
          <t>patricio.fernandez@takso.cl</t>
        </is>
      </c>
      <c r="E1885" s="66" t="inlineStr">
        <is>
          <t>(56) 9 9827 4511</t>
        </is>
      </c>
      <c r="F1885" s="66" t="n"/>
      <c r="G1885" s="66" t="n"/>
      <c r="H1885" s="66" t="n"/>
      <c r="I1885" s="66" t="inlineStr">
        <is>
          <t>76.323.282-4</t>
        </is>
      </c>
      <c r="J1885" s="66" t="n"/>
      <c r="K1885" s="66" t="inlineStr">
        <is>
          <t>Ventas: PEQUEÑA 1 (2.400 - 5.000 UF) | Empleados: 2</t>
        </is>
      </c>
      <c r="L1885" s="61" t="n"/>
      <c r="M1885" s="61" t="n"/>
      <c r="N1885" s="61" t="n"/>
      <c r="O1885" s="61" t="n"/>
      <c r="P1885" s="61" t="n"/>
      <c r="Q1885" s="62" t="n"/>
      <c r="R1885" s="61" t="n"/>
    </row>
    <row r="1886" ht="15.75" customHeight="1" s="38">
      <c r="A1886" s="66" t="inlineStr">
        <is>
          <t>Talleres Artificio</t>
        </is>
      </c>
      <c r="B1886" s="66" t="inlineStr">
        <is>
          <t>Reparaciones Industriales</t>
        </is>
      </c>
      <c r="C1886" s="66" t="inlineStr">
        <is>
          <t>Nogales</t>
        </is>
      </c>
      <c r="D1886" s="66" t="inlineStr">
        <is>
          <t>info@talleresartificio.cl</t>
        </is>
      </c>
      <c r="E1886" s="66" t="inlineStr">
        <is>
          <t>(56) 9 9579 9777</t>
        </is>
      </c>
      <c r="F1886" s="66" t="n"/>
      <c r="G1886" s="66" t="n"/>
      <c r="H1886" s="66" t="n"/>
      <c r="I1886" s="66" t="inlineStr">
        <is>
          <t>77244186-K</t>
        </is>
      </c>
      <c r="J1886" s="66" t="n"/>
      <c r="K1886" s="66" t="inlineStr">
        <is>
          <t>Ventas: MEDIANA 1 (25.000 - 50.000 UF) | Empleados: 19</t>
        </is>
      </c>
      <c r="L1886" s="61" t="n"/>
      <c r="M1886" s="61" t="n"/>
      <c r="N1886" s="61" t="n"/>
      <c r="O1886" s="61" t="n"/>
      <c r="P1886" s="61" t="n"/>
      <c r="Q1886" s="62" t="n"/>
      <c r="R1886" s="61" t="n"/>
    </row>
    <row r="1887" ht="15.75" customHeight="1" s="38">
      <c r="A1887" s="66" t="inlineStr">
        <is>
          <t>Talleres Lucas S.A.</t>
        </is>
      </c>
      <c r="B1887" s="66" t="inlineStr">
        <is>
          <t>Reparación de Equipos Hidráulicos, Sistemas Hidráulicos</t>
        </is>
      </c>
      <c r="C1887" s="66" t="inlineStr">
        <is>
          <t>Santiago</t>
        </is>
      </c>
      <c r="D1887" s="66" t="inlineStr">
        <is>
          <t>contacto@tallereslucas.cl</t>
        </is>
      </c>
      <c r="E1887" s="66" t="inlineStr">
        <is>
          <t>(56) 2 2530 2929</t>
        </is>
      </c>
      <c r="F1887" s="66" t="inlineStr">
        <is>
          <t>Gerente de TI / CIO (Director de Tecnología)</t>
        </is>
      </c>
      <c r="G1887" s="66" t="n"/>
      <c r="H1887" s="66" t="n"/>
      <c r="I1887" s="66" t="inlineStr">
        <is>
          <t>83.156.400-8</t>
        </is>
      </c>
      <c r="J1887" s="66" t="n"/>
      <c r="K1887" s="66" t="inlineStr">
        <is>
          <t>Ventas: GRANDE 4 (Mas de 1.000.000 UF) | Empleados: 172</t>
        </is>
      </c>
      <c r="L1887" s="61" t="n"/>
      <c r="M1887" s="61" t="n"/>
      <c r="N1887" s="61" t="n"/>
      <c r="O1887" s="61" t="n"/>
      <c r="P1887" s="61" t="n"/>
      <c r="Q1887" s="62" t="n"/>
      <c r="R1887" s="61" t="n"/>
    </row>
    <row r="1888" ht="15.75" customHeight="1" s="38">
      <c r="A1888" s="66" t="inlineStr">
        <is>
          <t>Tambo</t>
        </is>
      </c>
      <c r="B1888" s="66" t="inlineStr">
        <is>
          <t>Ejecución de Obras Civiles</t>
        </is>
      </c>
      <c r="C1888" s="66" t="inlineStr">
        <is>
          <t>Rancagua</t>
        </is>
      </c>
      <c r="D1888" s="66" t="inlineStr">
        <is>
          <t>contacto@tamboltda.cl</t>
        </is>
      </c>
      <c r="E1888" s="66" t="inlineStr">
        <is>
          <t>(56) 72 223 6029</t>
        </is>
      </c>
      <c r="F1888" s="66" t="n"/>
      <c r="G1888" s="66" t="n"/>
      <c r="H1888" s="66" t="n"/>
      <c r="I1888" s="66" t="inlineStr">
        <is>
          <t>79.801.150-2</t>
        </is>
      </c>
      <c r="J1888" s="66" t="n"/>
      <c r="K1888" s="66" t="inlineStr">
        <is>
          <t>Ventas: GRANDE 3 (600.000 - 1.000.000 UF) | Empleados: 351</t>
        </is>
      </c>
      <c r="L1888" s="61" t="n"/>
      <c r="M1888" s="61" t="n"/>
      <c r="N1888" s="61" t="n"/>
      <c r="O1888" s="61" t="n"/>
      <c r="P1888" s="61" t="n"/>
      <c r="Q1888" s="62" t="n"/>
      <c r="R1888" s="61" t="n"/>
    </row>
    <row r="1889" ht="15.75" customHeight="1" s="38">
      <c r="A1889" s="66" t="inlineStr">
        <is>
          <t>Tandem S.A.</t>
        </is>
      </c>
      <c r="B1889" s="66" t="inlineStr">
        <is>
          <t>Servicios Especiales de Transporte, Transporte de Carga Industrial, Transporte de Personal, Transporte Privado de Personas</t>
        </is>
      </c>
      <c r="C1889" s="66" t="inlineStr">
        <is>
          <t>Santiago</t>
        </is>
      </c>
      <c r="D1889" s="66" t="inlineStr">
        <is>
          <t>contacto@tandemindustrial.cl</t>
        </is>
      </c>
      <c r="E1889" s="66" t="inlineStr">
        <is>
          <t>(56) 2 2520 5119</t>
        </is>
      </c>
      <c r="F1889" s="66" t="n"/>
      <c r="G1889" s="66" t="n"/>
      <c r="H1889" s="66" t="n"/>
      <c r="I1889" s="66" t="inlineStr">
        <is>
          <t>99.593.350-0</t>
        </is>
      </c>
      <c r="J1889" s="66" t="n"/>
      <c r="K1889" s="66" t="inlineStr">
        <is>
          <t>Ventas: GRANDE (Estimado por Empleados) | Empleados: 1992</t>
        </is>
      </c>
      <c r="L1889" s="61" t="n"/>
      <c r="M1889" s="61" t="n"/>
      <c r="N1889" s="61" t="n"/>
      <c r="O1889" s="61" t="n"/>
      <c r="P1889" s="61" t="n"/>
      <c r="Q1889" s="62" t="n"/>
      <c r="R1889" s="61" t="n"/>
    </row>
    <row r="1890" ht="15.75" customHeight="1" s="38">
      <c r="A1890" s="66" t="inlineStr">
        <is>
          <t>Tankequip Ltda.</t>
        </is>
      </c>
      <c r="B1890" s="66" t="inlineStr">
        <is>
          <t>Accesorios para Combustibles, Control de Fluidos</t>
        </is>
      </c>
      <c r="C1890" s="66" t="inlineStr">
        <is>
          <t>Santiago</t>
        </is>
      </c>
      <c r="D1890" s="66" t="inlineStr">
        <is>
          <t>comercial@tankequip.cl</t>
        </is>
      </c>
      <c r="E1890" s="66" t="inlineStr">
        <is>
          <t>(56) 9 3248 2395</t>
        </is>
      </c>
      <c r="F1890" s="66" t="n"/>
      <c r="G1890" s="66" t="n"/>
      <c r="H1890" s="66" t="n"/>
      <c r="I1890" s="66" t="inlineStr">
        <is>
          <t>76.534.483-2</t>
        </is>
      </c>
      <c r="J1890" s="66" t="n"/>
      <c r="K1890" s="66" t="inlineStr">
        <is>
          <t>Ventas: PEQUEÑA 2 (5.000 - 10.000 UF) | Empleados: 3</t>
        </is>
      </c>
      <c r="L1890" s="61" t="n"/>
      <c r="M1890" s="61" t="n"/>
      <c r="N1890" s="61" t="n"/>
      <c r="O1890" s="61" t="n"/>
      <c r="P1890" s="61" t="n"/>
      <c r="Q1890" s="62" t="n"/>
      <c r="R1890" s="61" t="n"/>
    </row>
    <row r="1891" ht="15.75" customHeight="1" s="38">
      <c r="A1891" s="66" t="inlineStr">
        <is>
          <t>Tapel Willamette</t>
        </is>
      </c>
      <c r="B1891" s="66" t="inlineStr">
        <is>
          <t>Control de Polvo, Reparación y Sello de Losas de Hormigón, Revestimientos Industriales</t>
        </is>
      </c>
      <c r="C1891" s="66" t="inlineStr">
        <is>
          <t>Coronel</t>
        </is>
      </c>
      <c r="D1891" s="66" t="inlineStr">
        <is>
          <t>ventas@tapel.cl</t>
        </is>
      </c>
      <c r="E1891" s="66" t="inlineStr">
        <is>
          <t>(56) 41 292 8100</t>
        </is>
      </c>
      <c r="F1891" s="66" t="inlineStr">
        <is>
          <t>Gerente de TI / CIO (Director de Tecnología)</t>
        </is>
      </c>
      <c r="G1891" s="66" t="n"/>
      <c r="H1891" s="66" t="n"/>
      <c r="I1891" s="66" t="inlineStr">
        <is>
          <t>96.918.400-1</t>
        </is>
      </c>
      <c r="J1891" s="66" t="n"/>
      <c r="K1891" s="66" t="inlineStr">
        <is>
          <t>Ventas: GRANDE 4 (Mas de 1.000.000 UF) | Empleados: 79</t>
        </is>
      </c>
      <c r="L1891" s="61" t="n"/>
      <c r="M1891" s="61" t="n"/>
      <c r="N1891" s="61" t="n"/>
      <c r="O1891" s="61" t="n"/>
      <c r="P1891" s="61" t="n"/>
      <c r="Q1891" s="62" t="n"/>
      <c r="R1891" s="61" t="n"/>
    </row>
    <row r="1892" ht="15.75" customHeight="1" s="38">
      <c r="A1892" s="66" t="inlineStr">
        <is>
          <t>Target DDI</t>
        </is>
      </c>
      <c r="B1892" s="66" t="inlineStr">
        <is>
          <t>Consultoría Integral en Recursos Humanos, Selección de Personal</t>
        </is>
      </c>
      <c r="C1892" s="66" t="inlineStr">
        <is>
          <t>Santiago</t>
        </is>
      </c>
      <c r="D1892" s="66" t="inlineStr">
        <is>
          <t>contacto@target-ddi.cl</t>
        </is>
      </c>
      <c r="E1892" s="66" t="inlineStr">
        <is>
          <t>(56) 2 2436 2300</t>
        </is>
      </c>
      <c r="F1892" s="66" t="n"/>
      <c r="G1892" s="66" t="n"/>
      <c r="H1892" s="66" t="n"/>
      <c r="I1892" s="66" t="inlineStr">
        <is>
          <t>77.567.200-5</t>
        </is>
      </c>
      <c r="J1892" s="66" t="n"/>
      <c r="K1892" s="66" t="inlineStr">
        <is>
          <t>Ventas: MEDIANA 2 (50.000 - 100.000 UF) | Empleados: 6</t>
        </is>
      </c>
      <c r="L1892" s="61" t="n"/>
      <c r="M1892" s="61" t="n"/>
      <c r="N1892" s="61" t="n"/>
      <c r="O1892" s="61" t="n"/>
      <c r="P1892" s="61" t="n"/>
      <c r="Q1892" s="62" t="n"/>
      <c r="R1892" s="61" t="n"/>
    </row>
    <row r="1893" ht="15.75" customHeight="1" s="38">
      <c r="A1893" s="66" t="inlineStr">
        <is>
          <t>Tarpulin</t>
        </is>
      </c>
      <c r="B1893" s="66" t="inlineStr">
        <is>
          <t>Construcciones Modulares</t>
        </is>
      </c>
      <c r="C1893" s="66" t="inlineStr">
        <is>
          <t>Santiago</t>
        </is>
      </c>
      <c r="D1893" s="66" t="inlineStr">
        <is>
          <t>contacto@tarpulin.cl</t>
        </is>
      </c>
      <c r="E1893" s="66" t="inlineStr">
        <is>
          <t>(56) 2 2347 7600</t>
        </is>
      </c>
      <c r="F1893" s="66" t="inlineStr">
        <is>
          <t>Gerente de TI / CIO (Director de Tecnología)</t>
        </is>
      </c>
      <c r="G1893" s="66" t="n"/>
      <c r="H1893" s="66" t="n"/>
      <c r="I1893" s="66" t="inlineStr">
        <is>
          <t>89.722.200-0</t>
        </is>
      </c>
      <c r="J1893" s="66" t="n"/>
      <c r="K1893" s="66" t="inlineStr">
        <is>
          <t>Ventas: GRANDE 4 (Mas de 1.000.000 UF) | Empleados: 273</t>
        </is>
      </c>
      <c r="L1893" s="61" t="n"/>
      <c r="M1893" s="61" t="n"/>
      <c r="N1893" s="61" t="n"/>
      <c r="O1893" s="61" t="n"/>
      <c r="P1893" s="61" t="n"/>
      <c r="Q1893" s="62" t="n"/>
      <c r="R1893" s="61" t="n"/>
    </row>
    <row r="1894" ht="15.75" customHeight="1" s="38">
      <c r="A1894" s="66" t="inlineStr">
        <is>
          <t>Tassaroli Chile Ltda.</t>
        </is>
      </c>
      <c r="B1894" s="66" t="inlineStr">
        <is>
          <t>Barras de Perforación</t>
        </is>
      </c>
      <c r="C1894" s="66" t="inlineStr">
        <is>
          <t>Santiago</t>
        </is>
      </c>
      <c r="D1894" s="66" t="inlineStr">
        <is>
          <t>tassarolichile@tassaroli.com</t>
        </is>
      </c>
      <c r="E1894" s="66" t="inlineStr">
        <is>
          <t>(56) 2 2634 1288</t>
        </is>
      </c>
      <c r="F1894" s="66" t="n"/>
      <c r="G1894" s="66" t="n"/>
      <c r="H1894" s="66" t="n"/>
      <c r="I1894" s="66" t="inlineStr">
        <is>
          <t>79.854.150-1</t>
        </is>
      </c>
      <c r="J1894" s="66" t="n"/>
      <c r="K1894" s="66" t="inlineStr">
        <is>
          <t>Ventas: GRANDE 1 (100.000 - 200.000 UF) | Empleados: 3</t>
        </is>
      </c>
      <c r="L1894" s="61" t="n"/>
      <c r="M1894" s="61" t="n"/>
      <c r="N1894" s="61" t="n"/>
      <c r="O1894" s="61" t="n"/>
      <c r="P1894" s="61" t="n"/>
      <c r="Q1894" s="62" t="n"/>
      <c r="R1894" s="61" t="n"/>
    </row>
    <row r="1895" ht="15.75" customHeight="1" s="38">
      <c r="A1895" s="66" t="inlineStr">
        <is>
          <t>Tattersall Gestión de Activos</t>
        </is>
      </c>
      <c r="B1895" s="66" t="inlineStr">
        <is>
          <t>Remates de Activos Industriales</t>
        </is>
      </c>
      <c r="C1895" s="66" t="inlineStr">
        <is>
          <t>Santiago</t>
        </is>
      </c>
      <c r="D1895" s="66" t="inlineStr">
        <is>
          <t>contactogda@tattersall.cl</t>
        </is>
      </c>
      <c r="E1895" s="66" t="inlineStr">
        <is>
          <t>(56) 2 2362 3016</t>
        </is>
      </c>
      <c r="F1895" s="66" t="n"/>
      <c r="G1895" s="66" t="n"/>
      <c r="H1895" s="66" t="n"/>
      <c r="I1895" s="66" t="inlineStr">
        <is>
          <t>96.775.780-2</t>
        </is>
      </c>
      <c r="J1895" s="66" t="n"/>
      <c r="K1895" s="66" t="inlineStr">
        <is>
          <t>Ventas: GRANDE 3 (600.000 - 1.000.000 UF) | Empleados: 95</t>
        </is>
      </c>
      <c r="L1895" s="61" t="n"/>
      <c r="M1895" s="61" t="n"/>
      <c r="N1895" s="61" t="n"/>
      <c r="O1895" s="61" t="n"/>
      <c r="P1895" s="61" t="n"/>
      <c r="Q1895" s="62" t="n"/>
      <c r="R1895" s="61" t="n"/>
    </row>
    <row r="1896" ht="15.75" customHeight="1" s="38">
      <c r="A1896" s="66" t="inlineStr">
        <is>
          <t>Taylor Automatización S.A.</t>
        </is>
      </c>
      <c r="B1896" s="66" t="inlineStr">
        <is>
          <t>Cilindros Neumáticos, Válvulas</t>
        </is>
      </c>
      <c r="C1896" s="66" t="inlineStr">
        <is>
          <t>Santiago</t>
        </is>
      </c>
      <c r="D1896" s="66" t="inlineStr">
        <is>
          <t>ventas@taylorsa.cl</t>
        </is>
      </c>
      <c r="E1896" s="66" t="inlineStr">
        <is>
          <t>(56) 2 2555 1516</t>
        </is>
      </c>
      <c r="F1896" s="66" t="n"/>
      <c r="G1896" s="66" t="n"/>
      <c r="H1896" s="66" t="n"/>
      <c r="I1896" s="66" t="inlineStr">
        <is>
          <t>96.722.210-0</t>
        </is>
      </c>
      <c r="J1896" s="66" t="n"/>
      <c r="K1896" s="66" t="inlineStr">
        <is>
          <t>Ventas: MEDIANA 2 (50.000 - 100.000 UF) | Empleados: 28</t>
        </is>
      </c>
      <c r="L1896" s="61" t="n"/>
      <c r="M1896" s="61" t="n"/>
      <c r="N1896" s="61" t="n"/>
      <c r="O1896" s="61" t="n"/>
      <c r="P1896" s="61" t="n"/>
      <c r="Q1896" s="62" t="n"/>
      <c r="R1896" s="61" t="n"/>
    </row>
    <row r="1897" ht="15.75" customHeight="1" s="38">
      <c r="A1897" s="66" t="inlineStr">
        <is>
          <t>TCA Soluciones con Fibra Optica</t>
        </is>
      </c>
      <c r="B1897" s="66" t="inlineStr">
        <is>
          <t>Equipos para Fibra Optica, Telecomunicaciones</t>
        </is>
      </c>
      <c r="C1897" s="66" t="inlineStr">
        <is>
          <t>Santiago</t>
        </is>
      </c>
      <c r="D1897" s="66" t="inlineStr">
        <is>
          <t>info@tca.cl</t>
        </is>
      </c>
      <c r="E1897" s="66" t="inlineStr">
        <is>
          <t>(56) 2 2740 1111</t>
        </is>
      </c>
      <c r="F1897" s="66" t="n"/>
      <c r="G1897" s="66" t="n"/>
      <c r="H1897" s="66" t="n"/>
      <c r="I1897" s="66" t="inlineStr">
        <is>
          <t>76.232.875-5</t>
        </is>
      </c>
      <c r="J1897" s="66" t="n"/>
      <c r="K1897" s="66" t="inlineStr">
        <is>
          <t>Ventas: PEQUEÑA 3 (10.000 - 25.000 UF) | Empleados: 13</t>
        </is>
      </c>
      <c r="L1897" s="61" t="n"/>
      <c r="M1897" s="61" t="n"/>
      <c r="N1897" s="61" t="n"/>
      <c r="O1897" s="61" t="n"/>
      <c r="P1897" s="61" t="n"/>
      <c r="Q1897" s="62" t="n"/>
      <c r="R1897" s="61" t="n"/>
    </row>
    <row r="1898" ht="15.75" customHeight="1" s="38">
      <c r="A1898" s="66" t="inlineStr">
        <is>
          <t>Tchem</t>
        </is>
      </c>
      <c r="B1898" s="66" t="inlineStr">
        <is>
          <t>Electromecánica</t>
        </is>
      </c>
      <c r="C1898" s="66" t="inlineStr">
        <is>
          <t>Santiago</t>
        </is>
      </c>
      <c r="D1898" s="66" t="inlineStr">
        <is>
          <t>jpinto@tchem.cl</t>
        </is>
      </c>
      <c r="E1898" s="66" t="inlineStr">
        <is>
          <t>(56) 2 2773 3815</t>
        </is>
      </c>
      <c r="F1898" s="66" t="n"/>
      <c r="G1898" s="66" t="n"/>
      <c r="H1898" s="66" t="n"/>
      <c r="I1898" s="66" t="inlineStr">
        <is>
          <t>96.572.950-K</t>
        </is>
      </c>
      <c r="J1898" s="66" t="n"/>
      <c r="K1898" s="66" t="inlineStr">
        <is>
          <t>Ventas: MEDIANA 1 (25.000 - 50.000 UF) | Empleados: 20</t>
        </is>
      </c>
      <c r="L1898" s="61" t="n"/>
      <c r="M1898" s="61" t="n"/>
      <c r="N1898" s="61" t="n"/>
      <c r="O1898" s="61" t="n"/>
      <c r="P1898" s="61" t="n"/>
      <c r="Q1898" s="62" t="n"/>
      <c r="R1898" s="61" t="n"/>
    </row>
    <row r="1899" ht="15.75" customHeight="1" s="38">
      <c r="A1899" s="66" t="inlineStr">
        <is>
          <t>TDC Electromec</t>
        </is>
      </c>
      <c r="B1899" s="66" t="inlineStr">
        <is>
          <t>Bombas</t>
        </is>
      </c>
      <c r="C1899" s="66" t="inlineStr">
        <is>
          <t>Santiago</t>
        </is>
      </c>
      <c r="D1899" s="66" t="inlineStr">
        <is>
          <t>info@tdcelectromec.cl</t>
        </is>
      </c>
      <c r="E1899" s="66" t="inlineStr">
        <is>
          <t>(56) 2 2646 4689</t>
        </is>
      </c>
      <c r="F1899" s="66" t="n"/>
      <c r="G1899" s="66" t="n"/>
      <c r="H1899" s="66" t="n"/>
      <c r="I1899" s="66" t="inlineStr">
        <is>
          <t>77.276.437-5</t>
        </is>
      </c>
      <c r="J1899" s="66" t="n"/>
      <c r="K1899" s="66" t="inlineStr">
        <is>
          <t>Ventas: MEDIANA 2 (50.000 - 100.000 UF) | Empleados: 14</t>
        </is>
      </c>
      <c r="L1899" s="61" t="n"/>
      <c r="M1899" s="61" t="n"/>
      <c r="N1899" s="61" t="n"/>
      <c r="O1899" s="61" t="n"/>
      <c r="P1899" s="61" t="n"/>
      <c r="Q1899" s="62" t="n"/>
      <c r="R1899" s="61" t="n"/>
    </row>
    <row r="1900" ht="15.75" customHeight="1" s="38">
      <c r="A1900" s="66" t="inlineStr">
        <is>
          <t>TDM Chile</t>
        </is>
      </c>
      <c r="B1900" s="66" t="inlineStr">
        <is>
          <t>Servicios de Termofusión</t>
        </is>
      </c>
      <c r="C1900" s="66" t="inlineStr">
        <is>
          <t>Santiago</t>
        </is>
      </c>
      <c r="D1900" s="66" t="inlineStr">
        <is>
          <t>contactenos@tdmchile.cl</t>
        </is>
      </c>
      <c r="E1900" s="66" t="inlineStr">
        <is>
          <t>(56) 2 2993 3150</t>
        </is>
      </c>
      <c r="F1900" s="66" t="n"/>
      <c r="G1900" s="66" t="n"/>
      <c r="H1900" s="66" t="n"/>
      <c r="I1900" s="66" t="inlineStr">
        <is>
          <t>76.537.760-9</t>
        </is>
      </c>
      <c r="J1900" s="66" t="n"/>
      <c r="K1900" s="66" t="inlineStr">
        <is>
          <t>Ventas: GRANDE 3 (600.000 - 1.000.000 UF) | Empleados: 433</t>
        </is>
      </c>
      <c r="L1900" s="61" t="n"/>
      <c r="M1900" s="61" t="n"/>
      <c r="N1900" s="61" t="n"/>
      <c r="O1900" s="61" t="n"/>
      <c r="P1900" s="61" t="n"/>
      <c r="Q1900" s="62" t="n"/>
      <c r="R1900" s="61" t="n"/>
    </row>
    <row r="1901" ht="15.75" customHeight="1" s="38">
      <c r="A1901" s="66" t="inlineStr">
        <is>
          <t>TDP Tratamientos Antideslizantes</t>
        </is>
      </c>
      <c r="B1901" s="66" t="inlineStr">
        <is>
          <t>Tratamientos Antideslizantes</t>
        </is>
      </c>
      <c r="C1901" s="66" t="inlineStr">
        <is>
          <t>Concepción</t>
        </is>
      </c>
      <c r="D1901" s="66" t="inlineStr">
        <is>
          <t>contacto@tdpantideslizantes.cl</t>
        </is>
      </c>
      <c r="E1901" s="66" t="inlineStr">
        <is>
          <t>(56) 41 273 0743</t>
        </is>
      </c>
      <c r="F1901" s="66" t="n"/>
      <c r="G1901" s="66" t="n"/>
      <c r="H1901" s="66" t="n"/>
      <c r="I1901" s="66" t="inlineStr">
        <is>
          <t>76.384.445-5</t>
        </is>
      </c>
      <c r="J1901" s="66" t="n"/>
      <c r="K1901" s="66" t="inlineStr">
        <is>
          <t>Ventas: PEQUEÑA 1 (2.400 - 5.000 UF) | Empleados: 3</t>
        </is>
      </c>
      <c r="L1901" s="61" t="n"/>
      <c r="M1901" s="61" t="n"/>
      <c r="N1901" s="61" t="n"/>
      <c r="O1901" s="61" t="n"/>
      <c r="P1901" s="61" t="n"/>
      <c r="Q1901" s="62" t="n"/>
      <c r="R1901" s="61" t="n"/>
    </row>
    <row r="1902" ht="15.75" customHeight="1" s="38">
      <c r="A1902" s="66" t="inlineStr">
        <is>
          <t>TE Connectivity Chile Ltda.</t>
        </is>
      </c>
      <c r="B1902" s="66" t="inlineStr">
        <is>
          <t>Conectores Eléctricos, Productos Aislantes</t>
        </is>
      </c>
      <c r="C1902" s="66" t="inlineStr">
        <is>
          <t>Santiago</t>
        </is>
      </c>
      <c r="D1902" s="66" t="inlineStr">
        <is>
          <t>eechever@te.com</t>
        </is>
      </c>
      <c r="E1902" s="66" t="inlineStr">
        <is>
          <t>(56) 2 2345 0300</t>
        </is>
      </c>
      <c r="F1902" s="66" t="n"/>
      <c r="G1902" s="66" t="n"/>
      <c r="H1902" s="66" t="n"/>
      <c r="I1902" s="66" t="inlineStr">
        <is>
          <t>87.958.900-2</t>
        </is>
      </c>
      <c r="J1902" s="66" t="n"/>
      <c r="K1902" s="66" t="inlineStr">
        <is>
          <t>Ventas: GRANDE 2 (200.000 - 600.000 UF) | Empleados: 10</t>
        </is>
      </c>
      <c r="L1902" s="61" t="n"/>
      <c r="M1902" s="61" t="n"/>
      <c r="N1902" s="61" t="n"/>
      <c r="O1902" s="61" t="n"/>
      <c r="P1902" s="61" t="n"/>
      <c r="Q1902" s="62" t="n"/>
      <c r="R1902" s="61" t="n"/>
    </row>
    <row r="1903" ht="15.75" customHeight="1" s="38">
      <c r="A1903" s="66" t="inlineStr">
        <is>
          <t>Team Work Chile</t>
        </is>
      </c>
      <c r="B1903" s="66" t="inlineStr">
        <is>
          <t>Selección y Reclutamiento de Ejecutivos y Personal</t>
        </is>
      </c>
      <c r="C1903" s="66" t="inlineStr">
        <is>
          <t>Santiago</t>
        </is>
      </c>
      <c r="D1903" s="66" t="inlineStr">
        <is>
          <t>contacto@team-work.cl</t>
        </is>
      </c>
      <c r="E1903" s="66" t="inlineStr">
        <is>
          <t>600 612 3030</t>
        </is>
      </c>
      <c r="F1903" s="66" t="n"/>
      <c r="G1903" s="66" t="n"/>
      <c r="H1903" s="66" t="n"/>
      <c r="I1903" s="66" t="inlineStr">
        <is>
          <t>76.646.570-6</t>
        </is>
      </c>
      <c r="J1903" s="66" t="n"/>
      <c r="K1903" s="66" t="inlineStr">
        <is>
          <t>Ventas: GRANDE 3 (600.000 - 1.000.000 UF) | Empleados: 2195</t>
        </is>
      </c>
      <c r="L1903" s="61" t="n"/>
      <c r="M1903" s="61" t="n"/>
      <c r="N1903" s="61" t="n"/>
      <c r="O1903" s="61" t="n"/>
      <c r="P1903" s="61" t="n"/>
      <c r="Q1903" s="62" t="n"/>
      <c r="R1903" s="61" t="n"/>
    </row>
    <row r="1904" ht="15.75" customHeight="1" s="38">
      <c r="A1904" s="66" t="inlineStr">
        <is>
          <t>TEC Parts</t>
        </is>
      </c>
      <c r="B1904" s="66" t="inlineStr">
        <is>
          <t>Proveedor Destacado, Cilindros Hidráulicos para Equipos Móviles, Estacionarios y Especiales, Componentes para Equipos Móviles Mina, Repuestos OES (Original Equipment Supplier) para Equipos Sandvik, Atlas Copco/Epiroc, Repuestos Originales para Equipos Caterpillar, Komatsu, Atlas Copco/Epiroc, Doosan, Repuestos para Equipos Móviles Mina</t>
        </is>
      </c>
      <c r="C1904" s="66" t="inlineStr">
        <is>
          <t>Santiago</t>
        </is>
      </c>
      <c r="D1904" s="66" t="inlineStr">
        <is>
          <t>cotizaciones@tec-parts.cl</t>
        </is>
      </c>
      <c r="E1904" s="66" t="inlineStr">
        <is>
          <t>(56) 9 9399 5352</t>
        </is>
      </c>
      <c r="F1904" s="66" t="n"/>
      <c r="G1904" s="66" t="n"/>
      <c r="H1904" s="66" t="inlineStr">
        <is>
          <t>http://www.tec-parts.cl</t>
        </is>
      </c>
      <c r="I1904" s="66" t="inlineStr">
        <is>
          <t>76.772.367-9</t>
        </is>
      </c>
      <c r="J1904" s="66" t="n"/>
      <c r="K1904" s="66" t="inlineStr">
        <is>
          <t>Ventas: MEDIANA 1 (25.000 - 50.000 UF) | Empleados: 6</t>
        </is>
      </c>
      <c r="L1904" s="61" t="n"/>
      <c r="M1904" s="61" t="n"/>
      <c r="N1904" s="61" t="n"/>
      <c r="O1904" s="61" t="n"/>
      <c r="P1904" s="61" t="n"/>
      <c r="Q1904" s="62" t="n"/>
      <c r="R1904" s="61" t="n"/>
    </row>
    <row r="1905" ht="15.75" customHeight="1" s="38">
      <c r="A1905" s="66" t="inlineStr">
        <is>
          <t>Tec Rapol Ltda.</t>
        </is>
      </c>
      <c r="B1905" s="66" t="inlineStr">
        <is>
          <t>Correas Transportadoras, Polines Centradores para Correas Transportadoras</t>
        </is>
      </c>
      <c r="C1905" s="66" t="inlineStr">
        <is>
          <t>Santiago</t>
        </is>
      </c>
      <c r="D1905" s="66" t="inlineStr">
        <is>
          <t>contacto@tecrapol.com</t>
        </is>
      </c>
      <c r="E1905" s="66" t="inlineStr">
        <is>
          <t>(56) 2 2963 4710</t>
        </is>
      </c>
      <c r="F1905" s="66" t="n"/>
      <c r="G1905" s="66" t="n"/>
      <c r="H1905" s="66" t="n"/>
      <c r="I1905" s="66" t="inlineStr">
        <is>
          <t>76.446.430-3</t>
        </is>
      </c>
      <c r="J1905" s="66" t="n"/>
      <c r="K1905" s="66" t="inlineStr">
        <is>
          <t>Ventas: GRANDE 2 (200.000 - 600.000 UF) | Empleados: 30</t>
        </is>
      </c>
      <c r="L1905" s="61" t="n"/>
      <c r="M1905" s="61" t="n"/>
      <c r="N1905" s="61" t="n"/>
      <c r="O1905" s="61" t="n"/>
      <c r="P1905" s="61" t="n"/>
      <c r="Q1905" s="62" t="n"/>
      <c r="R1905" s="61" t="n"/>
    </row>
    <row r="1906" ht="15.75" customHeight="1" s="38">
      <c r="A1906" s="66" t="inlineStr">
        <is>
          <t>Tecbolt S.A.</t>
        </is>
      </c>
      <c r="B1906" s="66" t="inlineStr">
        <is>
          <t>Anclajes</t>
        </is>
      </c>
      <c r="C1906" s="66" t="inlineStr">
        <is>
          <t>Santiago</t>
        </is>
      </c>
      <c r="D1906" s="66" t="inlineStr">
        <is>
          <t>contacto@mamut.cl</t>
        </is>
      </c>
      <c r="E1906" s="66" t="inlineStr">
        <is>
          <t>(56) 2 2476 7000</t>
        </is>
      </c>
      <c r="F1906" s="66" t="inlineStr">
        <is>
          <t>Gerente de TI / CIO (Director de Tecnología)</t>
        </is>
      </c>
      <c r="G1906" s="66" t="n"/>
      <c r="H1906" s="66" t="n"/>
      <c r="I1906" s="66" t="inlineStr">
        <is>
          <t>96.565.870-K</t>
        </is>
      </c>
      <c r="J1906" s="66" t="n"/>
      <c r="K1906" s="66" t="inlineStr">
        <is>
          <t>Ventas: GRANDE 4 (Mas de 1.000.000 UF) | Empleados: 443</t>
        </is>
      </c>
      <c r="L1906" s="61" t="n"/>
      <c r="M1906" s="61" t="n"/>
      <c r="N1906" s="61" t="n"/>
      <c r="O1906" s="61" t="n"/>
      <c r="P1906" s="61" t="n"/>
      <c r="Q1906" s="62" t="n"/>
      <c r="R1906" s="61" t="n"/>
    </row>
    <row r="1907" ht="15.75" customHeight="1" s="38">
      <c r="A1907" s="66" t="inlineStr">
        <is>
          <t>Tecfluid S.A.</t>
        </is>
      </c>
      <c r="B1907" s="66" t="inlineStr">
        <is>
          <t>Bombas, Control de Fluidos</t>
        </is>
      </c>
      <c r="C1907" s="66" t="inlineStr">
        <is>
          <t>Santiago</t>
        </is>
      </c>
      <c r="D1907" s="66" t="inlineStr">
        <is>
          <t>info@tecfluid.cl</t>
        </is>
      </c>
      <c r="E1907" s="66" t="inlineStr">
        <is>
          <t>(56) 2 2856 9500</t>
        </is>
      </c>
      <c r="F1907" s="66" t="n"/>
      <c r="G1907" s="66" t="n"/>
      <c r="H1907" s="66" t="n"/>
      <c r="I1907" s="66" t="inlineStr">
        <is>
          <t>96.599.680-K</t>
        </is>
      </c>
      <c r="J1907" s="66" t="n"/>
      <c r="K1907" s="66" t="inlineStr">
        <is>
          <t>Ventas: MEDIANA (Estimado por Empleados) | Empleados: 147</t>
        </is>
      </c>
      <c r="L1907" s="61" t="n"/>
      <c r="M1907" s="61" t="n"/>
      <c r="N1907" s="61" t="n"/>
      <c r="O1907" s="61" t="n"/>
      <c r="P1907" s="61" t="n"/>
      <c r="Q1907" s="62" t="n"/>
      <c r="R1907" s="61" t="n"/>
    </row>
    <row r="1908" ht="15.75" customHeight="1" s="38">
      <c r="A1908" s="66" t="inlineStr">
        <is>
          <t>Tecfor Ltda.</t>
        </is>
      </c>
      <c r="B1908" s="66" t="inlineStr">
        <is>
          <t>Plataformas Hidráulicas</t>
        </is>
      </c>
      <c r="C1908" s="66" t="inlineStr">
        <is>
          <t>Santiago</t>
        </is>
      </c>
      <c r="D1908" s="66" t="inlineStr">
        <is>
          <t>tecfor@tecfor.cl</t>
        </is>
      </c>
      <c r="E1908" s="66" t="inlineStr">
        <is>
          <t>(56) 2 2858 1000</t>
        </is>
      </c>
      <c r="F1908" s="66" t="n"/>
      <c r="G1908" s="66" t="n"/>
      <c r="H1908" s="66" t="n"/>
      <c r="I1908" s="66" t="inlineStr">
        <is>
          <t>79.771.810-6</t>
        </is>
      </c>
      <c r="J1908" s="66" t="n"/>
      <c r="K1908" s="66" t="inlineStr">
        <is>
          <t>Ventas: MICRO 2 (200 - 600 UF) | Empleados: 0</t>
        </is>
      </c>
      <c r="L1908" s="61" t="n"/>
      <c r="M1908" s="61" t="n"/>
      <c r="N1908" s="61" t="n"/>
      <c r="O1908" s="61" t="n"/>
      <c r="P1908" s="61" t="n"/>
      <c r="Q1908" s="62" t="n"/>
      <c r="R1908" s="61" t="n"/>
    </row>
    <row r="1909" ht="15.75" customHeight="1" s="38">
      <c r="A1909" s="66" t="inlineStr">
        <is>
          <t>Techcorp Industrial y Comercial S.A.</t>
        </is>
      </c>
      <c r="B1909" s="66" t="inlineStr">
        <is>
          <t>Equipos de Rayos X</t>
        </is>
      </c>
      <c r="C1909" s="66" t="inlineStr">
        <is>
          <t>Santiago</t>
        </is>
      </c>
      <c r="D1909" s="66" t="inlineStr">
        <is>
          <t>info@techcorp.cl</t>
        </is>
      </c>
      <c r="E1909" s="66" t="inlineStr">
        <is>
          <t>(56) 2 2650 0630</t>
        </is>
      </c>
      <c r="F1909" s="66" t="n"/>
      <c r="G1909" s="66" t="n"/>
      <c r="H1909" s="66" t="n"/>
      <c r="I1909" s="66" t="inlineStr">
        <is>
          <t>76.055.352-2</t>
        </is>
      </c>
      <c r="J1909" s="66" t="n"/>
      <c r="K1909" s="66" t="inlineStr">
        <is>
          <t>Ventas: PEQUEÑA 3 (10.000 - 25.000 UF) | Empleados: 2</t>
        </is>
      </c>
      <c r="L1909" s="61" t="n"/>
      <c r="M1909" s="61" t="n"/>
      <c r="N1909" s="61" t="n"/>
      <c r="O1909" s="61" t="n"/>
      <c r="P1909" s="61" t="n"/>
      <c r="Q1909" s="62" t="n"/>
      <c r="R1909" s="61" t="n"/>
    </row>
    <row r="1910" ht="15.75" customHeight="1" s="38">
      <c r="A1910" s="66" t="inlineStr">
        <is>
          <t>Techint Chile S.A.</t>
        </is>
      </c>
      <c r="B1910" s="66" t="inlineStr">
        <is>
          <t>Construcción de Obras de Infraestructura, Construcción de Sistemas para Transporte de Fluidos, Desarrollo de Proyectos</t>
        </is>
      </c>
      <c r="C1910" s="66" t="inlineStr">
        <is>
          <t>Santiago</t>
        </is>
      </c>
      <c r="D1910" s="66" t="inlineStr">
        <is>
          <t>techint@techint.cl</t>
        </is>
      </c>
      <c r="E1910" s="66" t="inlineStr">
        <is>
          <t>(56) 2 2363 3200</t>
        </is>
      </c>
      <c r="F1910" s="66" t="n"/>
      <c r="G1910" s="66" t="n"/>
      <c r="H1910" s="66" t="n"/>
      <c r="I1910" s="66" t="inlineStr">
        <is>
          <t>91.426.000-0</t>
        </is>
      </c>
      <c r="J1910" s="66" t="n"/>
      <c r="K1910" s="66" t="inlineStr">
        <is>
          <t>Ventas: GRANDE (Estimado por Empleados) | Empleados: 11537</t>
        </is>
      </c>
      <c r="L1910" s="61" t="n"/>
      <c r="M1910" s="61" t="n"/>
      <c r="N1910" s="61" t="n"/>
      <c r="O1910" s="61" t="n"/>
      <c r="P1910" s="61" t="n"/>
      <c r="Q1910" s="62" t="n"/>
      <c r="R1910" s="61" t="n"/>
    </row>
    <row r="1911" ht="15.75" customHeight="1" s="38">
      <c r="A1911" s="66" t="inlineStr">
        <is>
          <t>Techno Drive Center S.A.</t>
        </is>
      </c>
      <c r="B1911" s="66" t="inlineStr">
        <is>
          <t>Accionamientos Eléctricos, Acoplamientos Mecánicos</t>
        </is>
      </c>
      <c r="C1911" s="66" t="inlineStr">
        <is>
          <t>Santiago</t>
        </is>
      </c>
      <c r="D1911" s="66" t="inlineStr">
        <is>
          <t>pcasadog@technodrive.cl</t>
        </is>
      </c>
      <c r="E1911" s="66" t="inlineStr">
        <is>
          <t>(56) 2 2646 4689</t>
        </is>
      </c>
      <c r="F1911" s="66" t="n"/>
      <c r="G1911" s="66" t="n"/>
      <c r="H1911" s="66" t="n"/>
      <c r="I1911" s="66" t="inlineStr">
        <is>
          <t>78.630.050-9</t>
        </is>
      </c>
      <c r="J1911" s="66" t="n"/>
      <c r="K1911" s="66" t="inlineStr">
        <is>
          <t>Ventas: MICRO 1 (0.01 - 200 UF) | Empleados: 0</t>
        </is>
      </c>
      <c r="L1911" s="61" t="n"/>
      <c r="M1911" s="61" t="n"/>
      <c r="N1911" s="61" t="n"/>
      <c r="O1911" s="61" t="n"/>
      <c r="P1911" s="61" t="n"/>
      <c r="Q1911" s="62" t="n"/>
      <c r="R1911" s="61" t="n"/>
    </row>
    <row r="1912" ht="15.75" customHeight="1" s="38">
      <c r="A1912" s="59" t="inlineStr">
        <is>
          <t>Technosteel</t>
        </is>
      </c>
      <c r="B1912" s="59" t="inlineStr">
        <is>
          <t>Aceros para Perforación</t>
        </is>
      </c>
      <c r="C1912" s="59" t="inlineStr">
        <is>
          <t>Santiago</t>
        </is>
      </c>
      <c r="D1912" s="59" t="inlineStr">
        <is>
          <t>mfontaine@technosteel.cl</t>
        </is>
      </c>
      <c r="E1912" s="59" t="inlineStr">
        <is>
          <t>(56) 2 2378 1580</t>
        </is>
      </c>
      <c r="F1912" s="59" t="inlineStr">
        <is>
          <t>Ariel Severino Fuentes (Jefe de Planta)</t>
        </is>
      </c>
      <c r="G1912" s="59" t="n"/>
      <c r="H1912" s="59" t="n"/>
      <c r="I1912" s="59" t="inlineStr">
        <is>
          <t>96.889.610-5</t>
        </is>
      </c>
      <c r="J1912" s="59" t="inlineStr">
        <is>
          <t>Mantenimiento Predictivo Minería 4.0</t>
        </is>
      </c>
      <c r="K1912" s="59" t="inlineStr">
        <is>
          <t>Ventas: GRANDE 3 (600.000 - 1.000.000 UF) | Empleados: 73</t>
        </is>
      </c>
      <c r="L1912" s="61" t="n"/>
      <c r="M1912" s="61" t="n"/>
      <c r="N1912" s="61" t="n"/>
      <c r="O1912" s="61" t="n"/>
      <c r="P1912" s="61" t="n"/>
      <c r="Q1912" s="62" t="n"/>
      <c r="R1912" s="61" t="n"/>
    </row>
    <row r="1913" ht="15.75" customHeight="1" s="38">
      <c r="A1913" s="66" t="inlineStr">
        <is>
          <t>Techvalue Industrial IT Solutions</t>
        </is>
      </c>
      <c r="B1913" s="66" t="inlineStr">
        <is>
          <t>Computadores Industriales, Equipos para Automatización y Control</t>
        </is>
      </c>
      <c r="C1913" s="66" t="inlineStr">
        <is>
          <t>Santiago</t>
        </is>
      </c>
      <c r="D1913" s="66" t="inlineStr">
        <is>
          <t>ventas@techvalue.cl</t>
        </is>
      </c>
      <c r="E1913" s="66" t="inlineStr">
        <is>
          <t>(56) 2 2946 2584</t>
        </is>
      </c>
      <c r="F1913" s="66" t="n"/>
      <c r="G1913" s="66" t="n"/>
      <c r="H1913" s="66" t="n"/>
      <c r="I1913" s="66" t="inlineStr">
        <is>
          <t>96.999.430-5</t>
        </is>
      </c>
      <c r="J1913" s="66" t="n"/>
      <c r="K1913" s="66" t="inlineStr">
        <is>
          <t>Ventas: GRANDE 1 (100.000 - 200.000 UF) | Empleados: 12</t>
        </is>
      </c>
      <c r="L1913" s="61" t="n"/>
      <c r="M1913" s="61" t="n"/>
      <c r="N1913" s="61" t="n"/>
      <c r="O1913" s="61" t="n"/>
      <c r="P1913" s="61" t="n"/>
      <c r="Q1913" s="62" t="n"/>
      <c r="R1913" s="61" t="n"/>
    </row>
    <row r="1914" ht="15.75" customHeight="1" s="38">
      <c r="A1914" s="66" t="inlineStr">
        <is>
          <t>Tecic SpA</t>
        </is>
      </c>
      <c r="B1914" s="66" t="inlineStr">
        <is>
          <t>Energía Solar</t>
        </is>
      </c>
      <c r="C1914" s="66" t="inlineStr">
        <is>
          <t>Antofagasta</t>
        </is>
      </c>
      <c r="D1914" s="66" t="inlineStr">
        <is>
          <t>ventas@tecic.cl</t>
        </is>
      </c>
      <c r="E1914" s="66" t="inlineStr">
        <is>
          <t>(56) 9 7392 4060</t>
        </is>
      </c>
      <c r="F1914" s="66" t="n"/>
      <c r="G1914" s="66" t="n"/>
      <c r="H1914" s="66" t="n"/>
      <c r="I1914" s="66" t="inlineStr">
        <is>
          <t>76323003-1</t>
        </is>
      </c>
      <c r="J1914" s="66" t="n"/>
      <c r="K1914" s="66" t="inlineStr">
        <is>
          <t>Ventas: MEDIANA 2 (50.000 - 100.000 UF) | Empleados: 87</t>
        </is>
      </c>
      <c r="L1914" s="61" t="n"/>
      <c r="M1914" s="61" t="n"/>
      <c r="N1914" s="61" t="n"/>
      <c r="O1914" s="61" t="n"/>
      <c r="P1914" s="61" t="n"/>
      <c r="Q1914" s="62" t="n"/>
      <c r="R1914" s="61" t="n"/>
    </row>
    <row r="1915" ht="15.75" customHeight="1" s="38">
      <c r="A1915" s="66" t="inlineStr">
        <is>
          <t>Teck Carmen de Andacollo</t>
        </is>
      </c>
      <c r="B1915" s="66" t="inlineStr">
        <is>
          <t>Cobre</t>
        </is>
      </c>
      <c r="C1915" s="66" t="inlineStr">
        <is>
          <t>Andacollo</t>
        </is>
      </c>
      <c r="D1915" s="66" t="n"/>
      <c r="E1915" s="66" t="inlineStr">
        <is>
          <t>(56) 51 233 0401</t>
        </is>
      </c>
      <c r="F1915" s="66" t="n"/>
      <c r="G1915" s="66" t="n"/>
      <c r="H1915" s="66" t="n"/>
      <c r="I1915" s="66" t="inlineStr">
        <is>
          <t>78.126.110-6</t>
        </is>
      </c>
      <c r="J1915" s="66" t="n"/>
      <c r="K1915" s="66" t="inlineStr">
        <is>
          <t>Ventas: GRANDE (Estimado por Empleados) | Empleados: 666</t>
        </is>
      </c>
      <c r="L1915" s="61" t="n"/>
      <c r="M1915" s="61" t="n"/>
      <c r="N1915" s="61" t="n"/>
      <c r="O1915" s="61" t="n"/>
      <c r="P1915" s="61" t="n"/>
      <c r="Q1915" s="62" t="n"/>
      <c r="R1915" s="61" t="n"/>
    </row>
    <row r="1916" ht="15.75" customHeight="1" s="38">
      <c r="A1916" s="66" t="inlineStr">
        <is>
          <t>Teck Quebrada Blanca</t>
        </is>
      </c>
      <c r="B1916" s="66" t="inlineStr">
        <is>
          <t>Cátodos de Cobre</t>
        </is>
      </c>
      <c r="C1916" s="66" t="inlineStr">
        <is>
          <t>Iquique</t>
        </is>
      </c>
      <c r="D1916" s="66" t="n"/>
      <c r="E1916" s="66" t="inlineStr">
        <is>
          <t>(56) 57 252 8100</t>
        </is>
      </c>
      <c r="F1916" s="66" t="n"/>
      <c r="G1916" s="66" t="n"/>
      <c r="H1916" s="66" t="n"/>
      <c r="I1916" s="66" t="inlineStr">
        <is>
          <t>96.567.040-8</t>
        </is>
      </c>
      <c r="J1916" s="66" t="n"/>
      <c r="K1916" s="66" t="inlineStr">
        <is>
          <t>Ventas: GRANDE (Estimado por Empleados) | Empleados: 1814</t>
        </is>
      </c>
      <c r="L1916" s="61" t="n"/>
      <c r="M1916" s="61" t="n"/>
      <c r="N1916" s="61" t="n"/>
      <c r="O1916" s="61" t="n"/>
      <c r="P1916" s="61" t="n"/>
      <c r="Q1916" s="62" t="n"/>
      <c r="R1916" s="61" t="n"/>
    </row>
    <row r="1917" ht="15.75" customHeight="1" s="38">
      <c r="A1917" s="66" t="inlineStr">
        <is>
          <t>Tecma Chilena S.A.</t>
        </is>
      </c>
      <c r="B1917" s="66" t="inlineStr">
        <is>
          <t>Accesorios para Piping, Tubos de Acero</t>
        </is>
      </c>
      <c r="C1917" s="66" t="inlineStr">
        <is>
          <t>Santiago</t>
        </is>
      </c>
      <c r="D1917" s="66" t="inlineStr">
        <is>
          <t>info@tecmachilena.cl</t>
        </is>
      </c>
      <c r="E1917" s="66" t="inlineStr">
        <is>
          <t>(56) 2 2633 0040</t>
        </is>
      </c>
      <c r="F1917" s="66" t="n"/>
      <c r="G1917" s="66" t="n"/>
      <c r="H1917" s="66" t="n"/>
      <c r="I1917" s="66" t="inlineStr">
        <is>
          <t>85.301.100-2</t>
        </is>
      </c>
      <c r="J1917" s="66" t="n"/>
      <c r="K1917" s="66" t="inlineStr">
        <is>
          <t>Ventas: MEDIANA 2 (50.000 - 100.000 UF) | Empleados: 6</t>
        </is>
      </c>
      <c r="L1917" s="61" t="n"/>
      <c r="M1917" s="61" t="n"/>
      <c r="N1917" s="61" t="n"/>
      <c r="O1917" s="61" t="n"/>
      <c r="P1917" s="61" t="n"/>
      <c r="Q1917" s="62" t="n"/>
      <c r="R1917" s="61" t="n"/>
    </row>
    <row r="1918" ht="15.75" customHeight="1" s="38">
      <c r="A1918" s="66" t="inlineStr">
        <is>
          <t>Tecmadur Ltda.</t>
        </is>
      </c>
      <c r="B1918" s="66" t="inlineStr">
        <is>
          <t>Repuestos para Maquinaria Minera, Repuestos para Maquinaria Pesada</t>
        </is>
      </c>
      <c r="C1918" s="66" t="inlineStr">
        <is>
          <t>La Serena</t>
        </is>
      </c>
      <c r="D1918" s="66" t="inlineStr">
        <is>
          <t>ofertas@tecmadur.com</t>
        </is>
      </c>
      <c r="E1918" s="66" t="inlineStr">
        <is>
          <t>(56) 51 222 3022</t>
        </is>
      </c>
      <c r="F1918" s="66" t="n"/>
      <c r="G1918" s="66" t="n"/>
      <c r="H1918" s="66" t="n"/>
      <c r="I1918" s="66" t="inlineStr">
        <is>
          <t>76.184.680-9</t>
        </is>
      </c>
      <c r="J1918" s="66" t="n"/>
      <c r="K1918" s="66" t="inlineStr">
        <is>
          <t>Ventas: MEDIANA 1 (25.000 - 50.000 UF) | Empleados: 7</t>
        </is>
      </c>
      <c r="L1918" s="61" t="n"/>
      <c r="M1918" s="61" t="n"/>
      <c r="N1918" s="61" t="n"/>
      <c r="O1918" s="61" t="n"/>
      <c r="P1918" s="61" t="n"/>
      <c r="Q1918" s="62" t="n"/>
      <c r="R1918" s="61" t="n"/>
    </row>
    <row r="1919" ht="15.75" customHeight="1" s="38">
      <c r="A1919" s="66" t="inlineStr">
        <is>
          <t>Tecnagent y SigSig S.A.</t>
        </is>
      </c>
      <c r="B1919" s="66" t="inlineStr">
        <is>
          <t>Detectores de Metales, Equipos para Correas Transportadoras</t>
        </is>
      </c>
      <c r="C1919" s="66" t="inlineStr">
        <is>
          <t>Santiago</t>
        </is>
      </c>
      <c r="D1919" s="66" t="inlineStr">
        <is>
          <t>info@tecnagent.com</t>
        </is>
      </c>
      <c r="E1919" s="66" t="inlineStr">
        <is>
          <t>(56) 2 2335 2001</t>
        </is>
      </c>
      <c r="F1919" s="66" t="n"/>
      <c r="G1919" s="66" t="n"/>
      <c r="H1919" s="66" t="n"/>
      <c r="I1919" s="66" t="inlineStr">
        <is>
          <t>79.671.250-3</t>
        </is>
      </c>
      <c r="J1919" s="66" t="n"/>
      <c r="K1919" s="66" t="inlineStr">
        <is>
          <t>Ventas: GRANDE 3 (600.000 - 1.000.000 UF) | Empleados: 41</t>
        </is>
      </c>
      <c r="L1919" s="61" t="n"/>
      <c r="M1919" s="61" t="n"/>
      <c r="N1919" s="61" t="n"/>
      <c r="O1919" s="61" t="n"/>
      <c r="P1919" s="61" t="n"/>
      <c r="Q1919" s="62" t="n"/>
      <c r="R1919" s="61" t="n"/>
    </row>
    <row r="1920" ht="15.75" customHeight="1" s="38">
      <c r="A1920" s="66" t="inlineStr">
        <is>
          <t>Tecnal</t>
        </is>
      </c>
      <c r="B1920" s="66" t="inlineStr">
        <is>
          <t>Tableros Eléctricos</t>
        </is>
      </c>
      <c r="C1920" s="66" t="inlineStr">
        <is>
          <t>Santiago</t>
        </is>
      </c>
      <c r="D1920" s="66" t="inlineStr">
        <is>
          <t>contacto@tecnal.cl</t>
        </is>
      </c>
      <c r="E1920" s="66" t="inlineStr">
        <is>
          <t>(56) 2 2563 1774</t>
        </is>
      </c>
      <c r="F1920" s="66" t="n"/>
      <c r="G1920" s="66" t="n"/>
      <c r="H1920" s="66" t="n"/>
      <c r="I1920" s="66" t="inlineStr">
        <is>
          <t>76604371-2</t>
        </is>
      </c>
      <c r="J1920" s="66" t="n"/>
      <c r="K1920" s="66" t="inlineStr">
        <is>
          <t>Ventas: MICRO 2 (200 - 600 UF) | Empleados: 0</t>
        </is>
      </c>
      <c r="L1920" s="61" t="n"/>
      <c r="M1920" s="61" t="n"/>
      <c r="N1920" s="61" t="n"/>
      <c r="O1920" s="61" t="n"/>
      <c r="P1920" s="61" t="n"/>
      <c r="Q1920" s="62" t="n"/>
      <c r="R1920" s="61" t="n"/>
    </row>
    <row r="1921" ht="15.75" customHeight="1" s="38">
      <c r="A1921" s="66" t="inlineStr">
        <is>
          <t>Tecnasic</t>
        </is>
      </c>
      <c r="B1921" s="66" t="inlineStr">
        <is>
          <t>Construcción</t>
        </is>
      </c>
      <c r="C1921" s="66" t="inlineStr">
        <is>
          <t>Santiago</t>
        </is>
      </c>
      <c r="D1921" s="66" t="inlineStr">
        <is>
          <t>mail@tecnasic.cl</t>
        </is>
      </c>
      <c r="E1921" s="66" t="inlineStr">
        <is>
          <t>(56) 2 4833 8000</t>
        </is>
      </c>
      <c r="F1921" s="66" t="n"/>
      <c r="G1921" s="66" t="n"/>
      <c r="H1921" s="66" t="n"/>
      <c r="I1921" s="66" t="inlineStr">
        <is>
          <t>96.917.120-1</t>
        </is>
      </c>
      <c r="J1921" s="66" t="n"/>
      <c r="K1921" s="66" t="inlineStr">
        <is>
          <t>Ventas: GRANDE (Estimado por Empleados) | Empleados: 3604</t>
        </is>
      </c>
      <c r="L1921" s="61" t="n"/>
      <c r="M1921" s="61" t="n"/>
      <c r="N1921" s="61" t="n"/>
      <c r="O1921" s="61" t="n"/>
      <c r="P1921" s="61" t="n"/>
      <c r="Q1921" s="62" t="n"/>
      <c r="R1921" s="61" t="n"/>
    </row>
    <row r="1922" ht="15.75" customHeight="1" s="38">
      <c r="A1922" s="66" t="inlineStr">
        <is>
          <t>Tecnicables Ltda.</t>
        </is>
      </c>
      <c r="B1922" s="66" t="inlineStr">
        <is>
          <t>Cables de Acero</t>
        </is>
      </c>
      <c r="C1922" s="66" t="inlineStr">
        <is>
          <t>Santiago</t>
        </is>
      </c>
      <c r="D1922" s="66" t="inlineStr">
        <is>
          <t>ventas@tecnicables.cl</t>
        </is>
      </c>
      <c r="E1922" s="66" t="inlineStr">
        <is>
          <t>(56) 2 2417 9091</t>
        </is>
      </c>
      <c r="F1922" s="66" t="n"/>
      <c r="G1922" s="66" t="n"/>
      <c r="H1922" s="66" t="n"/>
      <c r="I1922" s="66" t="inlineStr">
        <is>
          <t>76.589.510-3</t>
        </is>
      </c>
      <c r="J1922" s="66" t="n"/>
      <c r="K1922" s="66" t="inlineStr">
        <is>
          <t>Ventas: GRANDE 1 (100.000 - 200.000 UF) | Empleados: 33</t>
        </is>
      </c>
      <c r="L1922" s="61" t="n"/>
      <c r="M1922" s="61" t="n"/>
      <c r="N1922" s="61" t="n"/>
      <c r="O1922" s="61" t="n"/>
      <c r="P1922" s="61" t="n"/>
      <c r="Q1922" s="62" t="n"/>
      <c r="R1922" s="61" t="n"/>
    </row>
    <row r="1923" ht="15.75" customHeight="1" s="38">
      <c r="A1923" s="66" t="inlineStr">
        <is>
          <t>Tecnicor, Raúl Tagle e Hijos Ltda.</t>
        </is>
      </c>
      <c r="B1923" s="66" t="inlineStr">
        <is>
          <t>Correas para Transmisión de Potencia</t>
        </is>
      </c>
      <c r="C1923" s="66" t="inlineStr">
        <is>
          <t>Santiago</t>
        </is>
      </c>
      <c r="D1923" s="66" t="inlineStr">
        <is>
          <t>contacto@tecnicor.cl</t>
        </is>
      </c>
      <c r="E1923" s="66" t="inlineStr">
        <is>
          <t>(56) 2 2329 6000</t>
        </is>
      </c>
      <c r="F1923" s="66" t="n"/>
      <c r="G1923" s="66" t="n"/>
      <c r="H1923" s="66" t="n"/>
      <c r="I1923" s="66" t="inlineStr">
        <is>
          <t>81.448.200-6</t>
        </is>
      </c>
      <c r="J1923" s="66" t="n"/>
      <c r="K1923" s="66" t="inlineStr">
        <is>
          <t>Ventas: GRANDE 2 (200.000 - 600.000 UF) | Empleados: 51</t>
        </is>
      </c>
      <c r="L1923" s="61" t="n"/>
      <c r="M1923" s="61" t="n"/>
      <c r="N1923" s="61" t="n"/>
      <c r="O1923" s="61" t="n"/>
      <c r="P1923" s="61" t="n"/>
      <c r="Q1923" s="62" t="n"/>
      <c r="R1923" s="61" t="n"/>
    </row>
    <row r="1924" ht="15.75" customHeight="1" s="38">
      <c r="A1924" s="66" t="inlineStr">
        <is>
          <t>Tecnigen S.A.</t>
        </is>
      </c>
      <c r="B1924" s="66" t="inlineStr">
        <is>
          <t>Equipos para Laboratorios</t>
        </is>
      </c>
      <c r="C1924" s="66" t="inlineStr">
        <is>
          <t>Santiago</t>
        </is>
      </c>
      <c r="D1924" s="66" t="n"/>
      <c r="E1924" s="66" t="inlineStr">
        <is>
          <t>(56) 2 2396 0600</t>
        </is>
      </c>
      <c r="F1924" s="66" t="n"/>
      <c r="G1924" s="66" t="n"/>
      <c r="H1924" s="66" t="n"/>
      <c r="I1924" s="66" t="inlineStr">
        <is>
          <t>93.020.000-K</t>
        </is>
      </c>
      <c r="J1924" s="66" t="n"/>
      <c r="K1924" s="66" t="inlineStr">
        <is>
          <t>Ventas: GRANDE (Estimado por Empleados) | Empleados: 226</t>
        </is>
      </c>
      <c r="L1924" s="61" t="n"/>
      <c r="M1924" s="61" t="n"/>
      <c r="N1924" s="61" t="n"/>
      <c r="O1924" s="61" t="n"/>
      <c r="P1924" s="61" t="n"/>
      <c r="Q1924" s="62" t="n"/>
      <c r="R1924" s="61" t="n"/>
    </row>
    <row r="1925" ht="15.75" customHeight="1" s="38">
      <c r="A1925" s="66" t="inlineStr">
        <is>
          <t>Tecnipak Ltda.</t>
        </is>
      </c>
      <c r="B1925" s="66" t="inlineStr">
        <is>
          <t>Accesorios para Correas Transportadoras, Revestimientos Antidesgaste</t>
        </is>
      </c>
      <c r="C1925" s="66" t="inlineStr">
        <is>
          <t>Santiago</t>
        </is>
      </c>
      <c r="D1925" s="66" t="inlineStr">
        <is>
          <t>tecnipak@tecnipak.com</t>
        </is>
      </c>
      <c r="E1925" s="66" t="inlineStr">
        <is>
          <t>(56) 2 2496 5600</t>
        </is>
      </c>
      <c r="F1925" s="66" t="n"/>
      <c r="G1925" s="66" t="n"/>
      <c r="H1925" s="66" t="n"/>
      <c r="I1925" s="66" t="inlineStr">
        <is>
          <t>77.017.510-0</t>
        </is>
      </c>
      <c r="J1925" s="66" t="n"/>
      <c r="K1925" s="66" t="inlineStr">
        <is>
          <t>Ventas: GRANDE 3 (600.000 - 1.000.000 UF) | Empleados: 93</t>
        </is>
      </c>
      <c r="L1925" s="61" t="n"/>
      <c r="M1925" s="61" t="n"/>
      <c r="N1925" s="61" t="n"/>
      <c r="O1925" s="61" t="n"/>
      <c r="P1925" s="61" t="n"/>
      <c r="Q1925" s="62" t="n"/>
      <c r="R1925" s="61" t="n"/>
    </row>
    <row r="1926" ht="15.75" customHeight="1" s="38">
      <c r="A1926" s="66" t="inlineStr">
        <is>
          <t>Tecnisa Chile Ltda.</t>
        </is>
      </c>
      <c r="B1926" s="66" t="inlineStr">
        <is>
          <t>Capachos, Correas Transportadoras</t>
        </is>
      </c>
      <c r="C1926" s="66" t="inlineStr">
        <is>
          <t>Santiago</t>
        </is>
      </c>
      <c r="D1926" s="66" t="inlineStr">
        <is>
          <t>tecnisachile@tecnisa.cl</t>
        </is>
      </c>
      <c r="E1926" s="66" t="inlineStr">
        <is>
          <t>(56) 2 2463 9145</t>
        </is>
      </c>
      <c r="F1926" s="66" t="n"/>
      <c r="G1926" s="66" t="n"/>
      <c r="H1926" s="66" t="n"/>
      <c r="I1926" s="66" t="inlineStr">
        <is>
          <t>77.073.260-3</t>
        </is>
      </c>
      <c r="J1926" s="66" t="n"/>
      <c r="K1926" s="66" t="inlineStr">
        <is>
          <t>Ventas: MEDIANA 2 (50.000 - 100.000 UF) | Empleados: 15</t>
        </is>
      </c>
      <c r="L1926" s="61" t="n"/>
      <c r="M1926" s="61" t="n"/>
      <c r="N1926" s="61" t="n"/>
      <c r="O1926" s="61" t="n"/>
      <c r="P1926" s="61" t="n"/>
      <c r="Q1926" s="62" t="n"/>
      <c r="R1926" s="61" t="n"/>
    </row>
    <row r="1927" ht="15.75" customHeight="1" s="38">
      <c r="A1927" s="66" t="inlineStr">
        <is>
          <t>Tecnisold Ltda.</t>
        </is>
      </c>
      <c r="B1927" s="66" t="inlineStr">
        <is>
          <t>Ropa para Trabajo, Soldaduras Especiales</t>
        </is>
      </c>
      <c r="C1927" s="66" t="inlineStr">
        <is>
          <t>Santiago</t>
        </is>
      </c>
      <c r="D1927" s="66" t="inlineStr">
        <is>
          <t>jaimetoledo@tecnisold.cl</t>
        </is>
      </c>
      <c r="E1927" s="66" t="inlineStr">
        <is>
          <t>(56) 2 2222 1802</t>
        </is>
      </c>
      <c r="F1927" s="66" t="n"/>
      <c r="G1927" s="66" t="n"/>
      <c r="H1927" s="66" t="n"/>
      <c r="I1927" s="66" t="inlineStr">
        <is>
          <t>76.101.189-8</t>
        </is>
      </c>
      <c r="J1927" s="66" t="n"/>
      <c r="K1927" s="66" t="inlineStr">
        <is>
          <t>Ventas: PEQUEÑA 3 (10.000 - 25.000 UF) | Empleados: 5</t>
        </is>
      </c>
      <c r="L1927" s="61" t="n"/>
      <c r="M1927" s="61" t="n"/>
      <c r="N1927" s="61" t="n"/>
      <c r="O1927" s="61" t="n"/>
      <c r="P1927" s="61" t="n"/>
      <c r="Q1927" s="62" t="n"/>
      <c r="R1927" s="61" t="n"/>
    </row>
    <row r="1928" ht="15.75" customHeight="1" s="38">
      <c r="A1928" s="66" t="inlineStr">
        <is>
          <t>Tecno Boga Comercial Ltda.</t>
        </is>
      </c>
      <c r="B1928" s="66" t="inlineStr">
        <is>
          <t>Calzado para Seguridad</t>
        </is>
      </c>
      <c r="C1928" s="66" t="inlineStr">
        <is>
          <t>Santiago</t>
        </is>
      </c>
      <c r="D1928" s="66" t="inlineStr">
        <is>
          <t>contacto@tecnoboga.cl</t>
        </is>
      </c>
      <c r="E1928" s="66" t="inlineStr">
        <is>
          <t>(56) 2 2307 6025</t>
        </is>
      </c>
      <c r="F1928" s="66" t="n"/>
      <c r="G1928" s="66" t="n"/>
      <c r="H1928" s="66" t="n"/>
      <c r="I1928" s="66" t="inlineStr">
        <is>
          <t>96.592.810-3</t>
        </is>
      </c>
      <c r="J1928" s="66" t="n"/>
      <c r="K1928" s="66" t="inlineStr">
        <is>
          <t>Ventas: No en base SII | Empleados: S/I</t>
        </is>
      </c>
      <c r="L1928" s="61" t="n"/>
      <c r="M1928" s="61" t="n"/>
      <c r="N1928" s="61" t="n"/>
      <c r="O1928" s="61" t="n"/>
      <c r="P1928" s="61" t="n"/>
      <c r="Q1928" s="62" t="n"/>
      <c r="R1928" s="61" t="n"/>
    </row>
    <row r="1929" ht="15.75" customHeight="1" s="38">
      <c r="A1929" s="66" t="inlineStr">
        <is>
          <t>Tecno Control</t>
        </is>
      </c>
      <c r="B1929" s="66" t="inlineStr">
        <is>
          <t>Sistemas de Control e Instrumentación</t>
        </is>
      </c>
      <c r="C1929" s="66" t="inlineStr">
        <is>
          <t>Santiago</t>
        </is>
      </c>
      <c r="D1929" s="66" t="inlineStr">
        <is>
          <t>info@tecnocontrol.cl</t>
        </is>
      </c>
      <c r="E1929" s="66" t="inlineStr">
        <is>
          <t>(56) 2 2204 9453</t>
        </is>
      </c>
      <c r="F1929" s="66" t="n"/>
      <c r="G1929" s="66" t="n"/>
      <c r="H1929" s="66" t="n"/>
      <c r="I1929" s="66" t="inlineStr">
        <is>
          <t>79.658.970-1</t>
        </is>
      </c>
      <c r="J1929" s="66" t="n"/>
      <c r="K1929" s="66" t="inlineStr">
        <is>
          <t>Ventas: GRANDE 2 (200.000 - 600.000 UF) | Empleados: 12</t>
        </is>
      </c>
      <c r="L1929" s="61" t="n"/>
      <c r="M1929" s="61" t="n"/>
      <c r="N1929" s="61" t="n"/>
      <c r="O1929" s="61" t="n"/>
      <c r="P1929" s="61" t="n"/>
      <c r="Q1929" s="62" t="n"/>
      <c r="R1929" s="61" t="n"/>
    </row>
    <row r="1930" ht="15.75" customHeight="1" s="38">
      <c r="A1930" s="66" t="inlineStr">
        <is>
          <t>Tecno Fast Atco S.A.</t>
        </is>
      </c>
      <c r="B1930" s="66" t="inlineStr">
        <is>
          <t>Construcciones Modulares</t>
        </is>
      </c>
      <c r="C1930" s="66" t="inlineStr">
        <is>
          <t>Santiago</t>
        </is>
      </c>
      <c r="D1930" s="66" t="inlineStr">
        <is>
          <t>recepcion@tecnofast.cl</t>
        </is>
      </c>
      <c r="E1930" s="66" t="inlineStr">
        <is>
          <t>(56) 2 2790 5000</t>
        </is>
      </c>
      <c r="F1930" s="66" t="n"/>
      <c r="G1930" s="66" t="n"/>
      <c r="H1930" s="66" t="n"/>
      <c r="I1930" s="66" t="inlineStr">
        <is>
          <t>76.320.186-4</t>
        </is>
      </c>
      <c r="J1930" s="66" t="n"/>
      <c r="K1930" s="66" t="inlineStr">
        <is>
          <t>Ventas: GRANDE (Estimado por Empleados) | Empleados: 1361</t>
        </is>
      </c>
      <c r="L1930" s="61" t="n"/>
      <c r="M1930" s="61" t="n"/>
      <c r="N1930" s="61" t="n"/>
      <c r="O1930" s="61" t="n"/>
      <c r="P1930" s="61" t="n"/>
      <c r="Q1930" s="62" t="n"/>
      <c r="R1930" s="61" t="n"/>
    </row>
    <row r="1931" ht="15.75" customHeight="1" s="38">
      <c r="A1931" s="66" t="inlineStr">
        <is>
          <t>Tecnodata Ltda.</t>
        </is>
      </c>
      <c r="B1931" s="66" t="inlineStr">
        <is>
          <t>Artículos para Seguridad</t>
        </is>
      </c>
      <c r="C1931" s="66" t="inlineStr">
        <is>
          <t>Santiago</t>
        </is>
      </c>
      <c r="D1931" s="66" t="inlineStr">
        <is>
          <t>contacto@tecnodata.cl</t>
        </is>
      </c>
      <c r="E1931" s="66" t="inlineStr">
        <is>
          <t>(56) 9 3480 3232</t>
        </is>
      </c>
      <c r="F1931" s="66" t="n"/>
      <c r="G1931" s="66" t="n"/>
      <c r="H1931" s="66" t="n"/>
      <c r="I1931" s="66" t="inlineStr">
        <is>
          <t>78.722.360-5</t>
        </is>
      </c>
      <c r="J1931" s="66" t="n"/>
      <c r="K1931" s="66" t="inlineStr">
        <is>
          <t>Ventas: MEDIANA 1 (25.000 - 50.000 UF) | Empleados: 10</t>
        </is>
      </c>
      <c r="L1931" s="61" t="n"/>
      <c r="M1931" s="61" t="n"/>
      <c r="N1931" s="61" t="n"/>
      <c r="O1931" s="61" t="n"/>
      <c r="P1931" s="61" t="n"/>
      <c r="Q1931" s="62" t="n"/>
      <c r="R1931" s="61" t="n"/>
    </row>
    <row r="1932" ht="15.75" customHeight="1" s="38">
      <c r="A1932" s="66" t="inlineStr">
        <is>
          <t>Tecnofiber S.A.I.C.</t>
        </is>
      </c>
      <c r="B1932" s="66" t="inlineStr">
        <is>
          <t>Abastecimiento Industrial, Torres para Enfriamiento</t>
        </is>
      </c>
      <c r="C1932" s="66" t="inlineStr">
        <is>
          <t>Villa Alemana</t>
        </is>
      </c>
      <c r="D1932" s="66" t="inlineStr">
        <is>
          <t>fzelada@tecnofiber.cl</t>
        </is>
      </c>
      <c r="E1932" s="66" t="inlineStr">
        <is>
          <t>(56) 32 295 3332</t>
        </is>
      </c>
      <c r="F1932" s="66" t="n"/>
      <c r="G1932" s="66" t="n"/>
      <c r="H1932" s="66" t="n"/>
      <c r="I1932" s="66" t="inlineStr">
        <is>
          <t>96.691.500-5</t>
        </is>
      </c>
      <c r="J1932" s="66" t="n"/>
      <c r="K1932" s="66" t="inlineStr">
        <is>
          <t>Ventas: GRANDE 1 (100.000 - 200.000 UF) | Empleados: 17</t>
        </is>
      </c>
      <c r="L1932" s="61" t="n"/>
      <c r="M1932" s="61" t="n"/>
      <c r="N1932" s="61" t="n"/>
      <c r="O1932" s="61" t="n"/>
      <c r="P1932" s="61" t="n"/>
      <c r="Q1932" s="62" t="n"/>
      <c r="R1932" s="61" t="n"/>
    </row>
    <row r="1933" ht="15.75" customHeight="1" s="38">
      <c r="A1933" s="66" t="inlineStr">
        <is>
          <t>Tecnogrúas</t>
        </is>
      </c>
      <c r="B1933" s="66" t="inlineStr">
        <is>
          <t>Arriendo de Grúas para Alto Tonelaje, Arriendo de Grúas Telescópicas</t>
        </is>
      </c>
      <c r="C1933" s="66" t="inlineStr">
        <is>
          <t>Santiago</t>
        </is>
      </c>
      <c r="D1933" s="66" t="inlineStr">
        <is>
          <t>comercial@tecnogruas.cl</t>
        </is>
      </c>
      <c r="E1933" s="66" t="inlineStr">
        <is>
          <t>(56) 2 2244 2520</t>
        </is>
      </c>
      <c r="F1933" s="66" t="n"/>
      <c r="G1933" s="66" t="n"/>
      <c r="H1933" s="66" t="n"/>
      <c r="I1933" s="66" t="inlineStr">
        <is>
          <t>77.771.220-9</t>
        </is>
      </c>
      <c r="J1933" s="66" t="n"/>
      <c r="K1933" s="66" t="inlineStr">
        <is>
          <t>Ventas: GRANDE 3 (600.000 - 1.000.000 UF) | Empleados: 76</t>
        </is>
      </c>
      <c r="L1933" s="61" t="n"/>
      <c r="M1933" s="61" t="n"/>
      <c r="N1933" s="61" t="n"/>
      <c r="O1933" s="61" t="n"/>
      <c r="P1933" s="61" t="n"/>
      <c r="Q1933" s="62" t="n"/>
      <c r="R1933" s="61" t="n"/>
    </row>
    <row r="1934" ht="15.75" customHeight="1" s="38">
      <c r="A1934" s="66" t="inlineStr">
        <is>
          <t>Tecnoin Ltda.</t>
        </is>
      </c>
      <c r="B1934" s="66" t="inlineStr">
        <is>
          <t>Repuestos para Intercambiadores de Calor</t>
        </is>
      </c>
      <c r="C1934" s="66" t="inlineStr">
        <is>
          <t>Santiago</t>
        </is>
      </c>
      <c r="D1934" s="66" t="inlineStr">
        <is>
          <t>info@tecnoin.cl</t>
        </is>
      </c>
      <c r="E1934" s="66" t="inlineStr">
        <is>
          <t>(56) 2 2209 8807</t>
        </is>
      </c>
      <c r="F1934" s="66" t="n"/>
      <c r="G1934" s="66" t="n"/>
      <c r="H1934" s="66" t="n"/>
      <c r="I1934" s="66" t="inlineStr">
        <is>
          <t>77.509.100-2</t>
        </is>
      </c>
      <c r="J1934" s="66" t="n"/>
      <c r="K1934" s="66" t="inlineStr">
        <is>
          <t>Ventas: MEDIANA 2 (50.000 - 100.000 UF) | Empleados: 11</t>
        </is>
      </c>
      <c r="L1934" s="61" t="n"/>
      <c r="M1934" s="61" t="n"/>
      <c r="N1934" s="61" t="n"/>
      <c r="O1934" s="61" t="n"/>
      <c r="P1934" s="61" t="n"/>
      <c r="Q1934" s="62" t="n"/>
      <c r="R1934" s="61" t="n"/>
    </row>
    <row r="1935" ht="15.75" customHeight="1" s="38">
      <c r="A1935" s="66" t="inlineStr">
        <is>
          <t>Tecnologías Cobra S.A.</t>
        </is>
      </c>
      <c r="B1935" s="66" t="inlineStr">
        <is>
          <t>Reparación de Cátodos</t>
        </is>
      </c>
      <c r="C1935" s="66" t="inlineStr">
        <is>
          <t>Antofagasta</t>
        </is>
      </c>
      <c r="D1935" s="66" t="inlineStr">
        <is>
          <t>info@tecnologiascobra.cl</t>
        </is>
      </c>
      <c r="E1935" s="66" t="inlineStr">
        <is>
          <t>(56) 55 255 1100</t>
        </is>
      </c>
      <c r="F1935" s="66" t="n"/>
      <c r="G1935" s="66" t="n"/>
      <c r="H1935" s="66" t="n"/>
      <c r="I1935" s="66" t="inlineStr">
        <is>
          <t>96.856.610-5</t>
        </is>
      </c>
      <c r="J1935" s="66" t="n"/>
      <c r="K1935" s="66" t="inlineStr">
        <is>
          <t>Ventas: GRANDE (Estimado por Empleados) | Empleados: 1315</t>
        </is>
      </c>
      <c r="L1935" s="61" t="n"/>
      <c r="M1935" s="61" t="n"/>
      <c r="N1935" s="61" t="n"/>
      <c r="O1935" s="61" t="n"/>
      <c r="P1935" s="61" t="n"/>
      <c r="Q1935" s="62" t="n"/>
      <c r="R1935" s="61" t="n"/>
    </row>
    <row r="1936" ht="15.75" customHeight="1" s="38">
      <c r="A1936" s="66" t="inlineStr">
        <is>
          <t>Tecnored S.A.</t>
        </is>
      </c>
      <c r="B1936" s="66" t="inlineStr">
        <is>
          <t>Artículos Eléctricos</t>
        </is>
      </c>
      <c r="C1936" s="66" t="inlineStr">
        <is>
          <t>Valparaíso</t>
        </is>
      </c>
      <c r="D1936" s="66" t="inlineStr">
        <is>
          <t>lcorder@tecnored.cl</t>
        </is>
      </c>
      <c r="E1936" s="66" t="inlineStr">
        <is>
          <t>(56) 32 245 2580</t>
        </is>
      </c>
      <c r="F1936" s="66" t="n"/>
      <c r="G1936" s="66" t="n"/>
      <c r="H1936" s="66" t="n"/>
      <c r="I1936" s="66" t="inlineStr">
        <is>
          <t>77.302.440-5</t>
        </is>
      </c>
      <c r="J1936" s="66" t="n"/>
      <c r="K1936" s="66" t="inlineStr">
        <is>
          <t>Ventas: GRANDE (Estimado por Empleados) | Empleados: 1253</t>
        </is>
      </c>
      <c r="L1936" s="61" t="n"/>
      <c r="M1936" s="61" t="n"/>
      <c r="N1936" s="61" t="n"/>
      <c r="O1936" s="61" t="n"/>
      <c r="P1936" s="61" t="n"/>
      <c r="Q1936" s="62" t="n"/>
      <c r="R1936" s="61" t="n"/>
    </row>
    <row r="1937" ht="15.75" customHeight="1" s="38">
      <c r="A1937" s="66" t="inlineStr">
        <is>
          <t>Tecnotambores S.A.</t>
        </is>
      </c>
      <c r="B1937" s="66" t="inlineStr">
        <is>
          <t>Recuperación de Tambores Metálicos, Tambores Metálicos</t>
        </is>
      </c>
      <c r="C1937" s="66" t="inlineStr">
        <is>
          <t>Santiago</t>
        </is>
      </c>
      <c r="D1937" s="66" t="inlineStr">
        <is>
          <t>ventas@tecnotambores.com</t>
        </is>
      </c>
      <c r="E1937" s="66" t="inlineStr">
        <is>
          <t>(56) 2 2731 2600</t>
        </is>
      </c>
      <c r="F1937" s="66" t="n"/>
      <c r="G1937" s="66" t="n"/>
      <c r="H1937" s="66" t="n"/>
      <c r="I1937" s="66" t="inlineStr">
        <is>
          <t>96.341.530-4</t>
        </is>
      </c>
      <c r="J1937" s="66" t="n"/>
      <c r="K1937" s="66" t="inlineStr">
        <is>
          <t>Ventas: No en base SII | Empleados: S/I</t>
        </is>
      </c>
      <c r="L1937" s="61" t="n"/>
      <c r="M1937" s="61" t="n"/>
      <c r="N1937" s="61" t="n"/>
      <c r="O1937" s="61" t="n"/>
      <c r="P1937" s="61" t="n"/>
      <c r="Q1937" s="62" t="n"/>
      <c r="R1937" s="61" t="n"/>
    </row>
    <row r="1938" ht="15.75" customHeight="1" s="38">
      <c r="A1938" s="66" t="inlineStr">
        <is>
          <t>Tecnovalve Importaciones Ltda.</t>
        </is>
      </c>
      <c r="B1938" s="66" t="inlineStr">
        <is>
          <t>Equipos para Control de Fluidos, Válvulas</t>
        </is>
      </c>
      <c r="C1938" s="66" t="inlineStr">
        <is>
          <t>Santiago</t>
        </is>
      </c>
      <c r="D1938" s="66" t="inlineStr">
        <is>
          <t>ventas@tecnovalve.cl</t>
        </is>
      </c>
      <c r="E1938" s="66" t="inlineStr">
        <is>
          <t>(56) 2 2432 8800</t>
        </is>
      </c>
      <c r="F1938" s="66" t="n"/>
      <c r="G1938" s="66" t="n"/>
      <c r="H1938" s="66" t="n"/>
      <c r="I1938" s="66" t="inlineStr">
        <is>
          <t>78.811.570-9</t>
        </is>
      </c>
      <c r="J1938" s="66" t="n"/>
      <c r="K1938" s="66" t="inlineStr">
        <is>
          <t>Ventas: GRANDE 1 (100.000 - 200.000 UF) | Empleados: 25</t>
        </is>
      </c>
      <c r="L1938" s="61" t="n"/>
      <c r="M1938" s="61" t="n"/>
      <c r="N1938" s="61" t="n"/>
      <c r="O1938" s="61" t="n"/>
      <c r="P1938" s="61" t="n"/>
      <c r="Q1938" s="62" t="n"/>
      <c r="R1938" s="61" t="n"/>
    </row>
    <row r="1939" ht="15.75" customHeight="1" s="38">
      <c r="A1939" s="66" t="inlineStr">
        <is>
          <t>Tecnovial S.A.</t>
        </is>
      </c>
      <c r="B1939" s="66" t="inlineStr">
        <is>
          <t>Productos de Acero para Uso Estructural</t>
        </is>
      </c>
      <c r="C1939" s="66" t="inlineStr">
        <is>
          <t>Santiago</t>
        </is>
      </c>
      <c r="D1939" s="66" t="inlineStr">
        <is>
          <t>contacto@tecnovial.cl</t>
        </is>
      </c>
      <c r="E1939" s="66" t="inlineStr">
        <is>
          <t>(56) 2 2351 0800</t>
        </is>
      </c>
      <c r="F1939" s="66" t="n"/>
      <c r="G1939" s="66" t="n"/>
      <c r="H1939" s="66" t="n"/>
      <c r="I1939" s="66" t="inlineStr">
        <is>
          <t>77.086.090-3</t>
        </is>
      </c>
      <c r="J1939" s="66" t="n"/>
      <c r="K1939" s="66" t="inlineStr">
        <is>
          <t>Ventas: GRANDE 3 (600.000 - 1.000.000 UF) | Empleados: 214</t>
        </is>
      </c>
      <c r="L1939" s="61" t="n"/>
      <c r="M1939" s="61" t="n"/>
      <c r="N1939" s="61" t="n"/>
      <c r="O1939" s="61" t="n"/>
      <c r="P1939" s="61" t="n"/>
      <c r="Q1939" s="62" t="n"/>
      <c r="R1939" s="61" t="n"/>
    </row>
    <row r="1940" ht="15.75" customHeight="1" s="38">
      <c r="A1940" s="66" t="inlineStr">
        <is>
          <t>Tecprol, Tecnología de Procesos Ltda.</t>
        </is>
      </c>
      <c r="B1940" s="66" t="inlineStr">
        <is>
          <t>Equipos de Chancado y Molienda Fina, Equipos de Filtración de Pulpas / Soluciones Químicas</t>
        </is>
      </c>
      <c r="C1940" s="66" t="inlineStr">
        <is>
          <t>Santiago</t>
        </is>
      </c>
      <c r="D1940" s="66" t="inlineStr">
        <is>
          <t>tecprol@tecprol.cl</t>
        </is>
      </c>
      <c r="E1940" s="66" t="inlineStr">
        <is>
          <t>(56) 2 2554 0520</t>
        </is>
      </c>
      <c r="F1940" s="66" t="n"/>
      <c r="G1940" s="66" t="n"/>
      <c r="H1940" s="66" t="n"/>
      <c r="I1940" s="66" t="inlineStr">
        <is>
          <t>76.010.327-6</t>
        </is>
      </c>
      <c r="J1940" s="66" t="n"/>
      <c r="K1940" s="66" t="inlineStr">
        <is>
          <t>Ventas: MEDIANA 1 (25.000 - 50.000 UF) | Empleados: 7</t>
        </is>
      </c>
      <c r="L1940" s="61" t="n"/>
      <c r="M1940" s="61" t="n"/>
      <c r="N1940" s="61" t="n"/>
      <c r="O1940" s="61" t="n"/>
      <c r="P1940" s="61" t="n"/>
      <c r="Q1940" s="62" t="n"/>
      <c r="R1940" s="61" t="n"/>
    </row>
    <row r="1941" ht="15.75" customHeight="1" s="38">
      <c r="A1941" s="66" t="inlineStr">
        <is>
          <t>Tecpromin</t>
        </is>
      </c>
      <c r="B1941" s="66" t="inlineStr">
        <is>
          <t>Sistemas para Muestreo de Concentrados, Tecnología en Procesamiento de Minerales</t>
        </is>
      </c>
      <c r="C1941" s="66" t="inlineStr">
        <is>
          <t>Santiago</t>
        </is>
      </c>
      <c r="D1941" s="66" t="inlineStr">
        <is>
          <t>info@tecpromin.cl</t>
        </is>
      </c>
      <c r="E1941" s="66" t="inlineStr">
        <is>
          <t>(56) 2 2873 3600</t>
        </is>
      </c>
      <c r="F1941" s="66" t="inlineStr">
        <is>
          <t>Gerente de TI / CIO (Director de Tecnología)</t>
        </is>
      </c>
      <c r="G1941" s="66" t="n"/>
      <c r="H1941" s="66" t="n"/>
      <c r="I1941" s="66" t="inlineStr">
        <is>
          <t>89.895.100-6</t>
        </is>
      </c>
      <c r="J1941" s="66" t="n"/>
      <c r="K1941" s="66" t="inlineStr">
        <is>
          <t>Ventas: GRANDE 4 (Mas de 1.000.000 UF) | Empleados: 56</t>
        </is>
      </c>
      <c r="L1941" s="61" t="n"/>
      <c r="M1941" s="61" t="n"/>
      <c r="N1941" s="61" t="n"/>
      <c r="O1941" s="61" t="n"/>
      <c r="P1941" s="61" t="n"/>
      <c r="Q1941" s="62" t="n"/>
      <c r="R1941" s="61" t="n"/>
    </row>
    <row r="1942" ht="15.75" customHeight="1" s="38">
      <c r="A1942" s="66" t="inlineStr">
        <is>
          <t>Tecsis</t>
        </is>
      </c>
      <c r="B1942" s="66" t="inlineStr">
        <is>
          <t>Analizadores de Calidad de Energía Eléctrica, Analizadores de Ruido y Vibraciones a nivel Ocupacional, Analizadores de Sismología, Analizadores Portátiles de XRF, Equipos para Análisis de Vibraciones en Máquinas Rotativas, Equipos para Preparación de Muestras Metalográficas (Pulidoras de Muestras, Cortadoras de Precisión y Abrasivas y Montaje de Muestras), Equipos para Pruebas de Transformadores, Equipos para Pruebas en Alta Tensión, Sistemas para Investigación en la Dinámica de Fluidos y Mecánica de Sólidos</t>
        </is>
      </c>
      <c r="C1942" s="66" t="inlineStr">
        <is>
          <t>Santiago</t>
        </is>
      </c>
      <c r="D1942" s="66" t="inlineStr">
        <is>
          <t>comercial@tecsis.cl</t>
        </is>
      </c>
      <c r="E1942" s="66" t="inlineStr">
        <is>
          <t>(56) 2 2580 1580</t>
        </is>
      </c>
      <c r="F1942" s="66" t="n"/>
      <c r="G1942" s="66" t="n"/>
      <c r="H1942" s="66" t="n"/>
      <c r="I1942" s="66" t="inlineStr">
        <is>
          <t>78.185.690-8</t>
        </is>
      </c>
      <c r="J1942" s="66" t="n"/>
      <c r="K1942" s="66" t="inlineStr">
        <is>
          <t>Ventas: MEDIANA 1 (25.000 - 50.000 UF) | Empleados: 10</t>
        </is>
      </c>
      <c r="L1942" s="61" t="n"/>
      <c r="M1942" s="61" t="n"/>
      <c r="N1942" s="61" t="n"/>
      <c r="O1942" s="61" t="n"/>
      <c r="P1942" s="61" t="n"/>
      <c r="Q1942" s="62" t="n"/>
      <c r="R1942" s="61" t="n"/>
    </row>
    <row r="1943" ht="15.75" customHeight="1" s="38">
      <c r="A1943" s="66" t="inlineStr">
        <is>
          <t>Tectramin</t>
        </is>
      </c>
      <c r="B1943" s="66" t="inlineStr">
        <is>
          <t>Detección Electrónica de Fugas en Impermeabilizados y Conducción de Fluidos, Sistemas para Recuperación Orgánica en Plantas de Lixiviación</t>
        </is>
      </c>
      <c r="C1943" s="66" t="inlineStr">
        <is>
          <t>Antofagasta</t>
        </is>
      </c>
      <c r="D1943" s="66" t="inlineStr">
        <is>
          <t>ventas@tectramin.com</t>
        </is>
      </c>
      <c r="E1943" s="66" t="inlineStr">
        <is>
          <t>(56) 55 289 6270</t>
        </is>
      </c>
      <c r="F1943" s="66" t="n"/>
      <c r="G1943" s="66" t="n"/>
      <c r="H1943" s="66" t="n"/>
      <c r="I1943" s="66" t="inlineStr">
        <is>
          <t>76175626-5</t>
        </is>
      </c>
      <c r="J1943" s="66" t="n"/>
      <c r="K1943" s="66" t="inlineStr">
        <is>
          <t>Ventas: GRANDE 2 (200.000 - 600.000 UF) | Empleados: 98</t>
        </is>
      </c>
      <c r="L1943" s="61" t="n"/>
      <c r="M1943" s="61" t="n"/>
      <c r="N1943" s="61" t="n"/>
      <c r="O1943" s="61" t="n"/>
      <c r="P1943" s="61" t="n"/>
      <c r="Q1943" s="62" t="n"/>
      <c r="R1943" s="61" t="n"/>
    </row>
    <row r="1944" ht="15.75" customHeight="1" s="38">
      <c r="A1944" s="66" t="inlineStr">
        <is>
          <t>Tecval S.A.</t>
        </is>
      </c>
      <c r="B1944" s="66" t="inlineStr">
        <is>
          <t>Control de Fluidos, Válvulas</t>
        </is>
      </c>
      <c r="C1944" s="66" t="inlineStr">
        <is>
          <t>Santiago</t>
        </is>
      </c>
      <c r="D1944" s="66" t="inlineStr">
        <is>
          <t>ejoerger@tecval.cl</t>
        </is>
      </c>
      <c r="E1944" s="66" t="inlineStr">
        <is>
          <t>(56) 2 2411 6100</t>
        </is>
      </c>
      <c r="F1944" s="66" t="n"/>
      <c r="G1944" s="66" t="n"/>
      <c r="H1944" s="66" t="n"/>
      <c r="I1944" s="66" t="inlineStr">
        <is>
          <t>79.839.490-8</t>
        </is>
      </c>
      <c r="J1944" s="66" t="n"/>
      <c r="K1944" s="66" t="inlineStr">
        <is>
          <t>Ventas: GRANDE 2 (200.000 - 600.000 UF) | Empleados: 38</t>
        </is>
      </c>
      <c r="L1944" s="61" t="n"/>
      <c r="M1944" s="61" t="n"/>
      <c r="N1944" s="61" t="n"/>
      <c r="O1944" s="61" t="n"/>
      <c r="P1944" s="61" t="n"/>
      <c r="Q1944" s="62" t="n"/>
      <c r="R1944" s="61" t="n"/>
    </row>
    <row r="1945" ht="15.75" customHeight="1" s="38">
      <c r="A1945" s="66" t="inlineStr">
        <is>
          <t>TecWise</t>
        </is>
      </c>
      <c r="B1945" s="66" t="inlineStr">
        <is>
          <t>Automatización Ambiental</t>
        </is>
      </c>
      <c r="C1945" s="66" t="inlineStr">
        <is>
          <t>Santiago</t>
        </is>
      </c>
      <c r="D1945" s="66" t="n"/>
      <c r="E1945" s="66" t="inlineStr">
        <is>
          <t>(56) 2 2897 7915</t>
        </is>
      </c>
      <c r="F1945" s="66" t="n"/>
      <c r="G1945" s="66" t="n"/>
      <c r="H1945" s="66" t="n"/>
      <c r="I1945" s="66" t="inlineStr">
        <is>
          <t>77.067.119-1</t>
        </is>
      </c>
      <c r="J1945" s="66" t="n"/>
      <c r="K1945" s="66" t="inlineStr">
        <is>
          <t>Ventas: GRANDE 1 (100.000 - 200.000 UF) | Empleados: 7</t>
        </is>
      </c>
      <c r="L1945" s="61" t="n"/>
      <c r="M1945" s="61" t="n"/>
      <c r="N1945" s="61" t="n"/>
      <c r="O1945" s="61" t="n"/>
      <c r="P1945" s="61" t="n"/>
      <c r="Q1945" s="62" t="n"/>
      <c r="R1945" s="61" t="n"/>
    </row>
    <row r="1946" ht="15.75" customHeight="1" s="38">
      <c r="A1946" s="66" t="inlineStr">
        <is>
          <t>Tega Industries Chile SpA</t>
        </is>
      </c>
      <c r="B1946" s="66" t="inlineStr">
        <is>
          <t>Abrasivos, Revestimientos de Poliuretano</t>
        </is>
      </c>
      <c r="C1946" s="66" t="inlineStr">
        <is>
          <t>Santiago</t>
        </is>
      </c>
      <c r="D1946" s="66" t="inlineStr">
        <is>
          <t>info@tegaindustries.com</t>
        </is>
      </c>
      <c r="E1946" s="66" t="inlineStr">
        <is>
          <t>(56) 2 2484 8300</t>
        </is>
      </c>
      <c r="F1946" s="66" t="n"/>
      <c r="G1946" s="66" t="n"/>
      <c r="H1946" s="66" t="n"/>
      <c r="I1946" s="66" t="inlineStr">
        <is>
          <t>96.574.420-7</t>
        </is>
      </c>
      <c r="J1946" s="66" t="n"/>
      <c r="K1946" s="66" t="inlineStr">
        <is>
          <t>Ventas: GRANDE (Estimado por Empleados) | Empleados: 261</t>
        </is>
      </c>
      <c r="L1946" s="61" t="n"/>
      <c r="M1946" s="61" t="n"/>
      <c r="N1946" s="61" t="n"/>
      <c r="O1946" s="61" t="n"/>
      <c r="P1946" s="61" t="n"/>
      <c r="Q1946" s="62" t="n"/>
      <c r="R1946" s="61" t="n"/>
    </row>
    <row r="1947" ht="15.75" customHeight="1" s="38">
      <c r="A1947" s="66" t="inlineStr">
        <is>
          <t>Tegnonaval</t>
        </is>
      </c>
      <c r="B1947" s="66" t="inlineStr">
        <is>
          <t>Equipos de Limpieza para Minería</t>
        </is>
      </c>
      <c r="C1947" s="66" t="inlineStr">
        <is>
          <t>Puerto Montt</t>
        </is>
      </c>
      <c r="D1947" s="66" t="inlineStr">
        <is>
          <t>contacto@tegnonaval.cl</t>
        </is>
      </c>
      <c r="E1947" s="66" t="inlineStr">
        <is>
          <t>(56) 9 8736 1685</t>
        </is>
      </c>
      <c r="F1947" s="66" t="n"/>
      <c r="G1947" s="66" t="n"/>
      <c r="H1947" s="66" t="n"/>
      <c r="I1947" s="66" t="inlineStr">
        <is>
          <t>76809574-4</t>
        </is>
      </c>
      <c r="J1947" s="66" t="n"/>
      <c r="K1947" s="66" t="inlineStr">
        <is>
          <t>Ventas: PEQUEÑA 2 (5.000 - 10.000 UF) | Empleados: 1</t>
        </is>
      </c>
      <c r="L1947" s="61" t="n"/>
      <c r="M1947" s="61" t="n"/>
      <c r="N1947" s="61" t="n"/>
      <c r="O1947" s="61" t="n"/>
      <c r="P1947" s="61" t="n"/>
      <c r="Q1947" s="62" t="n"/>
      <c r="R1947" s="61" t="n"/>
    </row>
    <row r="1948" ht="15.75" customHeight="1" s="38">
      <c r="A1948" s="66" t="inlineStr">
        <is>
          <t>Tehmco S.A.</t>
        </is>
      </c>
      <c r="B1948" s="66" t="inlineStr">
        <is>
          <t>Tuberías</t>
        </is>
      </c>
      <c r="C1948" s="66" t="inlineStr">
        <is>
          <t>Santiago</t>
        </is>
      </c>
      <c r="D1948" s="66" t="inlineStr">
        <is>
          <t>contacto@tehmco.cl</t>
        </is>
      </c>
      <c r="E1948" s="66" t="inlineStr">
        <is>
          <t>(56) 9 5350 5696</t>
        </is>
      </c>
      <c r="F1948" s="66" t="n"/>
      <c r="G1948" s="66" t="n"/>
      <c r="H1948" s="66" t="n"/>
      <c r="I1948" s="66" t="inlineStr">
        <is>
          <t>84.912.700-4</t>
        </is>
      </c>
      <c r="J1948" s="66" t="n"/>
      <c r="K1948" s="66" t="inlineStr">
        <is>
          <t>Ventas: GRANDE (Estimado por Empleados) | Empleados: 228</t>
        </is>
      </c>
      <c r="L1948" s="61" t="n"/>
      <c r="M1948" s="61" t="n"/>
      <c r="N1948" s="61" t="n"/>
      <c r="O1948" s="61" t="n"/>
      <c r="P1948" s="61" t="n"/>
      <c r="Q1948" s="62" t="n"/>
      <c r="R1948" s="61" t="n"/>
    </row>
    <row r="1949" ht="15.75" customHeight="1" s="38">
      <c r="A1949" s="66" t="inlineStr">
        <is>
          <t>TEK Chile S.A.</t>
        </is>
      </c>
      <c r="B1949" s="66" t="inlineStr">
        <is>
          <t>Sistemas para Detección de Incendios</t>
        </is>
      </c>
      <c r="C1949" s="66" t="inlineStr">
        <is>
          <t>Santiago</t>
        </is>
      </c>
      <c r="D1949" s="66" t="inlineStr">
        <is>
          <t>info@tekchile.cl</t>
        </is>
      </c>
      <c r="E1949" s="66" t="inlineStr">
        <is>
          <t>(56) 2 2595 9100</t>
        </is>
      </c>
      <c r="F1949" s="66" t="n"/>
      <c r="G1949" s="66" t="n"/>
      <c r="H1949" s="66" t="n"/>
      <c r="I1949" s="66" t="inlineStr">
        <is>
          <t>76960945-8</t>
        </is>
      </c>
      <c r="J1949" s="66" t="n"/>
      <c r="K1949" s="66" t="inlineStr">
        <is>
          <t>Ventas: MICRO 3 (600 - 2.400 UF) | Empleados: 0</t>
        </is>
      </c>
      <c r="L1949" s="61" t="n"/>
      <c r="M1949" s="61" t="n"/>
      <c r="N1949" s="61" t="n"/>
      <c r="O1949" s="61" t="n"/>
      <c r="P1949" s="61" t="n"/>
      <c r="Q1949" s="62" t="n"/>
      <c r="R1949" s="61" t="n"/>
    </row>
    <row r="1950" ht="15.75" customHeight="1" s="38">
      <c r="A1950" s="66" t="inlineStr">
        <is>
          <t>Tekfusion S.A.</t>
        </is>
      </c>
      <c r="B1950" s="66" t="inlineStr">
        <is>
          <t>Tubos de Polietileno de Alta Densidad (HDPE)</t>
        </is>
      </c>
      <c r="C1950" s="66" t="inlineStr">
        <is>
          <t>Santiago</t>
        </is>
      </c>
      <c r="D1950" s="66" t="inlineStr">
        <is>
          <t>info@tekfusion.cl</t>
        </is>
      </c>
      <c r="E1950" s="66" t="inlineStr">
        <is>
          <t>(56) 2 2870 8300</t>
        </is>
      </c>
      <c r="F1950" s="66" t="n"/>
      <c r="G1950" s="66" t="n"/>
      <c r="H1950" s="66" t="n"/>
      <c r="I1950" s="66" t="inlineStr">
        <is>
          <t>96.971.220-2</t>
        </is>
      </c>
      <c r="J1950" s="66" t="n"/>
      <c r="K1950" s="66" t="inlineStr">
        <is>
          <t>Ventas: GRANDE 1 (100.000 - 200.000 UF) | Empleados: 34</t>
        </is>
      </c>
      <c r="L1950" s="61" t="n"/>
      <c r="M1950" s="61" t="n"/>
      <c r="N1950" s="61" t="n"/>
      <c r="O1950" s="61" t="n"/>
      <c r="P1950" s="61" t="n"/>
      <c r="Q1950" s="62" t="n"/>
      <c r="R1950" s="61" t="n"/>
    </row>
    <row r="1951" ht="15.75" customHeight="1" s="38">
      <c r="A1951" s="66" t="inlineStr">
        <is>
          <t>Tekmain Ltda.</t>
        </is>
      </c>
      <c r="B1951" s="66" t="inlineStr">
        <is>
          <t>Accesorios para Combustibles</t>
        </is>
      </c>
      <c r="C1951" s="66" t="inlineStr">
        <is>
          <t>Santiago</t>
        </is>
      </c>
      <c r="D1951" s="66" t="inlineStr">
        <is>
          <t>info@tekmain.cl</t>
        </is>
      </c>
      <c r="E1951" s="66" t="inlineStr">
        <is>
          <t>(56) 2 2345 1234</t>
        </is>
      </c>
      <c r="F1951" s="66" t="n"/>
      <c r="G1951" s="66" t="n"/>
      <c r="H1951" s="66" t="n"/>
      <c r="I1951" s="66" t="inlineStr">
        <is>
          <t>76.001.384-5</t>
        </is>
      </c>
      <c r="J1951" s="66" t="n"/>
      <c r="K1951" s="66" t="inlineStr">
        <is>
          <t>Ventas: No en base SII | Empleados: S/I</t>
        </is>
      </c>
      <c r="L1951" s="61" t="n"/>
      <c r="M1951" s="61" t="n"/>
      <c r="N1951" s="61" t="n"/>
      <c r="O1951" s="61" t="n"/>
      <c r="P1951" s="61" t="n"/>
      <c r="Q1951" s="62" t="n"/>
      <c r="R1951" s="61" t="n"/>
    </row>
    <row r="1952" ht="15.75" customHeight="1" s="38">
      <c r="A1952" s="66" t="inlineStr">
        <is>
          <t>Teknica</t>
        </is>
      </c>
      <c r="B1952" s="66" t="inlineStr">
        <is>
          <t>Asesorías en Eficiencia Energética, Sistemas para Detección de Incendios</t>
        </is>
      </c>
      <c r="C1952" s="66" t="inlineStr">
        <is>
          <t>Santiago</t>
        </is>
      </c>
      <c r="D1952" s="66" t="inlineStr">
        <is>
          <t>teknicachile@teknica.cl</t>
        </is>
      </c>
      <c r="E1952" s="66" t="inlineStr">
        <is>
          <t>(56) 9 4023 4228</t>
        </is>
      </c>
      <c r="F1952" s="66" t="n"/>
      <c r="G1952" s="66" t="n"/>
      <c r="H1952" s="66" t="n"/>
      <c r="I1952" s="66" t="inlineStr">
        <is>
          <t>96.710.540-6</t>
        </is>
      </c>
      <c r="J1952" s="66" t="n"/>
      <c r="K1952" s="66" t="inlineStr">
        <is>
          <t>Ventas: GRANDE (Estimado por Empleados) | Empleados: 711</t>
        </is>
      </c>
      <c r="L1952" s="61" t="n"/>
      <c r="M1952" s="61" t="n"/>
      <c r="N1952" s="61" t="n"/>
      <c r="O1952" s="61" t="n"/>
      <c r="P1952" s="61" t="n"/>
      <c r="Q1952" s="62" t="n"/>
      <c r="R1952" s="61" t="n"/>
    </row>
    <row r="1953" ht="15.75" customHeight="1" s="38">
      <c r="A1953" s="66" t="inlineStr">
        <is>
          <t>Teknor Ltda.</t>
        </is>
      </c>
      <c r="B1953" s="66" t="inlineStr">
        <is>
          <t>Soldaduras Especiales</t>
        </is>
      </c>
      <c r="C1953" s="66" t="inlineStr">
        <is>
          <t>Santiago</t>
        </is>
      </c>
      <c r="D1953" s="66" t="inlineStr">
        <is>
          <t>teknor@teknor.cl</t>
        </is>
      </c>
      <c r="E1953" s="66" t="inlineStr">
        <is>
          <t>(56) 2 2276 1463</t>
        </is>
      </c>
      <c r="F1953" s="66" t="n"/>
      <c r="G1953" s="66" t="n"/>
      <c r="H1953" s="66" t="n"/>
      <c r="I1953" s="66" t="inlineStr">
        <is>
          <t>79.597.050-9</t>
        </is>
      </c>
      <c r="J1953" s="66" t="n"/>
      <c r="K1953" s="66" t="inlineStr">
        <is>
          <t>Ventas: PEQUEÑA 1 (2.400 - 5.000 UF) | Empleados: 0</t>
        </is>
      </c>
      <c r="L1953" s="61" t="n"/>
      <c r="M1953" s="61" t="n"/>
      <c r="N1953" s="61" t="n"/>
      <c r="O1953" s="61" t="n"/>
      <c r="P1953" s="61" t="n"/>
      <c r="Q1953" s="62" t="n"/>
      <c r="R1953" s="61" t="n"/>
    </row>
    <row r="1954" ht="15.75" customHeight="1" s="38">
      <c r="A1954" s="66" t="inlineStr">
        <is>
          <t>Teknoriego</t>
        </is>
      </c>
      <c r="B1954" s="66" t="inlineStr">
        <is>
          <t>Riego, Servicios Ambientales</t>
        </is>
      </c>
      <c r="C1954" s="66" t="inlineStr">
        <is>
          <t>Santiago</t>
        </is>
      </c>
      <c r="D1954" s="66" t="inlineStr">
        <is>
          <t>riego@teknoriego.cl</t>
        </is>
      </c>
      <c r="E1954" s="66" t="inlineStr">
        <is>
          <t>(56) 2 2245 5763</t>
        </is>
      </c>
      <c r="F1954" s="66" t="n"/>
      <c r="G1954" s="66" t="n"/>
      <c r="H1954" s="66" t="n"/>
      <c r="I1954" s="66" t="inlineStr">
        <is>
          <t>78.044.920-9</t>
        </is>
      </c>
      <c r="J1954" s="66" t="n"/>
      <c r="K1954" s="66" t="inlineStr">
        <is>
          <t>Ventas: GRANDE 3 (600.000 - 1.000.000 UF) | Empleados: 353</t>
        </is>
      </c>
      <c r="L1954" s="61" t="n"/>
      <c r="M1954" s="61" t="n"/>
      <c r="N1954" s="61" t="n"/>
      <c r="O1954" s="61" t="n"/>
      <c r="P1954" s="61" t="n"/>
      <c r="Q1954" s="62" t="n"/>
      <c r="R1954" s="61" t="n"/>
    </row>
    <row r="1955" ht="15.75" customHeight="1" s="38">
      <c r="A1955" s="66" t="inlineStr">
        <is>
          <t>Teksa SpA</t>
        </is>
      </c>
      <c r="B1955" s="66" t="inlineStr">
        <is>
          <t>Válvulas</t>
        </is>
      </c>
      <c r="C1955" s="66" t="inlineStr">
        <is>
          <t>Peñaflor</t>
        </is>
      </c>
      <c r="D1955" s="66" t="inlineStr">
        <is>
          <t>hola@teksa.cl</t>
        </is>
      </c>
      <c r="E1955" s="66" t="inlineStr">
        <is>
          <t>(56) 2 2840 5918</t>
        </is>
      </c>
      <c r="F1955" s="66" t="n"/>
      <c r="G1955" s="66" t="n"/>
      <c r="H1955" s="66" t="n"/>
      <c r="I1955" s="66" t="inlineStr">
        <is>
          <t>76.882.486-K</t>
        </is>
      </c>
      <c r="J1955" s="66" t="n"/>
      <c r="K1955" s="66" t="inlineStr">
        <is>
          <t>Ventas: MEDIANA 2 (50.000 - 100.000 UF) | Empleados: 12</t>
        </is>
      </c>
      <c r="L1955" s="61" t="n"/>
      <c r="M1955" s="61" t="n"/>
      <c r="N1955" s="61" t="n"/>
      <c r="O1955" s="61" t="n"/>
      <c r="P1955" s="61" t="n"/>
      <c r="Q1955" s="62" t="n"/>
      <c r="R1955" s="61" t="n"/>
    </row>
    <row r="1956" ht="15.75" customHeight="1" s="38">
      <c r="A1956" s="66" t="inlineStr">
        <is>
          <t>Tekwater SpA</t>
        </is>
      </c>
      <c r="B1956" s="66" t="inlineStr">
        <is>
          <t>Torres para Enfriamiento, Tratamiento de Aguas</t>
        </is>
      </c>
      <c r="C1956" s="66" t="inlineStr">
        <is>
          <t>Santiago</t>
        </is>
      </c>
      <c r="D1956" s="66" t="inlineStr">
        <is>
          <t>contacto@tekwater.cl</t>
        </is>
      </c>
      <c r="E1956" s="66" t="inlineStr">
        <is>
          <t>(56) 9 4982 9426</t>
        </is>
      </c>
      <c r="F1956" s="66" t="n"/>
      <c r="G1956" s="66" t="n"/>
      <c r="H1956" s="66" t="n"/>
      <c r="I1956" s="66" t="inlineStr">
        <is>
          <t>76444833-2</t>
        </is>
      </c>
      <c r="J1956" s="66" t="n"/>
      <c r="K1956" s="66" t="inlineStr">
        <is>
          <t>Ventas: MEDIANA 1 (25.000 - 50.000 UF) | Empleados: 13</t>
        </is>
      </c>
      <c r="L1956" s="61" t="n"/>
      <c r="M1956" s="61" t="n"/>
      <c r="N1956" s="61" t="n"/>
      <c r="O1956" s="61" t="n"/>
      <c r="P1956" s="61" t="n"/>
      <c r="Q1956" s="62" t="n"/>
      <c r="R1956" s="61" t="n"/>
    </row>
    <row r="1957" ht="15.75" customHeight="1" s="38">
      <c r="A1957" s="66" t="inlineStr">
        <is>
          <t>Telemet</t>
        </is>
      </c>
      <c r="B1957" s="66" t="inlineStr">
        <is>
          <t>Equipos Limpia Nieve, Sistemas de Evaporación Forzada</t>
        </is>
      </c>
      <c r="C1957" s="66" t="inlineStr">
        <is>
          <t>Santiago</t>
        </is>
      </c>
      <c r="D1957" s="66" t="inlineStr">
        <is>
          <t>info@telemet.com</t>
        </is>
      </c>
      <c r="E1957" s="66" t="inlineStr">
        <is>
          <t>(56) 2 2356 2735</t>
        </is>
      </c>
      <c r="F1957" s="66" t="n"/>
      <c r="G1957" s="66" t="n"/>
      <c r="H1957" s="66" t="n"/>
      <c r="I1957" s="66" t="inlineStr">
        <is>
          <t>96.889.820-5</t>
        </is>
      </c>
      <c r="J1957" s="66" t="n"/>
      <c r="K1957" s="66" t="inlineStr">
        <is>
          <t>Ventas: GRANDE 1 (100.000 - 200.000 UF) | Empleados: 8</t>
        </is>
      </c>
      <c r="L1957" s="61" t="n"/>
      <c r="M1957" s="61" t="n"/>
      <c r="N1957" s="61" t="n"/>
      <c r="O1957" s="61" t="n"/>
      <c r="P1957" s="61" t="n"/>
      <c r="Q1957" s="62" t="n"/>
      <c r="R1957" s="61" t="n"/>
    </row>
    <row r="1958" ht="15.75" customHeight="1" s="38">
      <c r="A1958" s="66" t="inlineStr">
        <is>
          <t>Temac S.A.</t>
        </is>
      </c>
      <c r="B1958" s="66" t="inlineStr">
        <is>
          <t>Bombas Centrífugas</t>
        </is>
      </c>
      <c r="C1958" s="66" t="inlineStr">
        <is>
          <t>Santiago</t>
        </is>
      </c>
      <c r="D1958" s="66" t="inlineStr">
        <is>
          <t>temac@temac.cl</t>
        </is>
      </c>
      <c r="E1958" s="66" t="inlineStr">
        <is>
          <t>(56) 9 7138 9048</t>
        </is>
      </c>
      <c r="F1958" s="66" t="n"/>
      <c r="G1958" s="66" t="n"/>
      <c r="H1958" s="66" t="n"/>
      <c r="I1958" s="66" t="inlineStr">
        <is>
          <t>91.204.000-3</t>
        </is>
      </c>
      <c r="J1958" s="66" t="n"/>
      <c r="K1958" s="66" t="inlineStr">
        <is>
          <t>Ventas: GRANDE 1 (100.000 - 200.000 UF) | Empleados: 24</t>
        </is>
      </c>
      <c r="L1958" s="61" t="n"/>
      <c r="M1958" s="61" t="n"/>
      <c r="N1958" s="61" t="n"/>
      <c r="O1958" s="61" t="n"/>
      <c r="P1958" s="61" t="n"/>
      <c r="Q1958" s="62" t="n"/>
      <c r="R1958" s="61" t="n"/>
    </row>
    <row r="1959" ht="15.75" customHeight="1" s="38">
      <c r="A1959" s="66" t="inlineStr">
        <is>
          <t>Tempel Chile</t>
        </is>
      </c>
      <c r="B1959" s="66" t="inlineStr">
        <is>
          <t>Baterías Industriales</t>
        </is>
      </c>
      <c r="C1959" s="66" t="inlineStr">
        <is>
          <t>Santiago</t>
        </is>
      </c>
      <c r="D1959" s="66" t="inlineStr">
        <is>
          <t>schile@tempelgroup.com</t>
        </is>
      </c>
      <c r="E1959" s="66" t="inlineStr">
        <is>
          <t>(56) 2 3203 6670</t>
        </is>
      </c>
      <c r="F1959" s="66" t="n"/>
      <c r="G1959" s="66" t="n"/>
      <c r="H1959" s="66" t="n"/>
      <c r="I1959" s="66" t="inlineStr">
        <is>
          <t>76.173.130-0</t>
        </is>
      </c>
      <c r="J1959" s="66" t="n"/>
      <c r="K1959" s="66" t="inlineStr">
        <is>
          <t>Ventas: GRANDE 1 (100.000 - 200.000 UF) | Empleados: 47</t>
        </is>
      </c>
      <c r="L1959" s="61" t="n"/>
      <c r="M1959" s="61" t="n"/>
      <c r="N1959" s="61" t="n"/>
      <c r="O1959" s="61" t="n"/>
      <c r="P1959" s="61" t="n"/>
      <c r="Q1959" s="62" t="n"/>
      <c r="R1959" s="61" t="n"/>
    </row>
    <row r="1960" ht="15.75" customHeight="1" s="38">
      <c r="A1960" s="66" t="inlineStr">
        <is>
          <t>Tensacon</t>
        </is>
      </c>
      <c r="B1960" s="66" t="inlineStr">
        <is>
          <t>Prefabricados de Concreto y Hormigón, Prefabricados para la Construcción</t>
        </is>
      </c>
      <c r="C1960" s="66" t="inlineStr">
        <is>
          <t>Paine</t>
        </is>
      </c>
      <c r="D1960" s="66" t="inlineStr">
        <is>
          <t>tensacon@tensacon.cl</t>
        </is>
      </c>
      <c r="E1960" s="66" t="inlineStr">
        <is>
          <t>(56) 2 2824 2866</t>
        </is>
      </c>
      <c r="F1960" s="66" t="n"/>
      <c r="G1960" s="66" t="n"/>
      <c r="H1960" s="66" t="n"/>
      <c r="I1960" s="66" t="inlineStr">
        <is>
          <t>99.510.510-1</t>
        </is>
      </c>
      <c r="J1960" s="66" t="n"/>
      <c r="K1960" s="66" t="inlineStr">
        <is>
          <t>Ventas: GRANDE 3 (600.000 - 1.000.000 UF) | Empleados: 332</t>
        </is>
      </c>
      <c r="L1960" s="61" t="n"/>
      <c r="M1960" s="61" t="n"/>
      <c r="N1960" s="61" t="n"/>
      <c r="O1960" s="61" t="n"/>
      <c r="P1960" s="61" t="n"/>
      <c r="Q1960" s="62" t="n"/>
      <c r="R1960" s="61" t="n"/>
    </row>
    <row r="1961" ht="15.75" customHeight="1" s="38">
      <c r="A1961" s="66" t="inlineStr">
        <is>
          <t>Termia Ltda.</t>
        </is>
      </c>
      <c r="B1961" s="66" t="inlineStr">
        <is>
          <t>Calderas</t>
        </is>
      </c>
      <c r="C1961" s="66" t="inlineStr">
        <is>
          <t>Santiago</t>
        </is>
      </c>
      <c r="D1961" s="66" t="inlineStr">
        <is>
          <t>ventas@termia.cl</t>
        </is>
      </c>
      <c r="E1961" s="66" t="inlineStr">
        <is>
          <t>(56) 2 2512 3700</t>
        </is>
      </c>
      <c r="F1961" s="66" t="n"/>
      <c r="G1961" s="66" t="n"/>
      <c r="H1961" s="66" t="n"/>
      <c r="I1961" s="66" t="inlineStr">
        <is>
          <t>76.014.721-4</t>
        </is>
      </c>
      <c r="J1961" s="66" t="n"/>
      <c r="K1961" s="66" t="inlineStr">
        <is>
          <t>Ventas: GRANDE 2 (200.000 - 600.000 UF) | Empleados: 78</t>
        </is>
      </c>
      <c r="L1961" s="61" t="n"/>
      <c r="M1961" s="61" t="n"/>
      <c r="N1961" s="61" t="n"/>
      <c r="O1961" s="61" t="n"/>
      <c r="P1961" s="61" t="n"/>
      <c r="Q1961" s="62" t="n"/>
      <c r="R1961" s="61" t="n"/>
    </row>
    <row r="1962" ht="15.75" customHeight="1" s="38">
      <c r="A1962" s="66" t="inlineStr">
        <is>
          <t>Termo Equipos SpA</t>
        </is>
      </c>
      <c r="B1962" s="66" t="inlineStr">
        <is>
          <t>Bombas</t>
        </is>
      </c>
      <c r="C1962" s="66" t="inlineStr">
        <is>
          <t>Santiago</t>
        </is>
      </c>
      <c r="D1962" s="66" t="inlineStr">
        <is>
          <t>ventas@termoequipos.cl</t>
        </is>
      </c>
      <c r="E1962" s="66" t="inlineStr">
        <is>
          <t>(56) 2 2269 4970</t>
        </is>
      </c>
      <c r="F1962" s="66" t="n"/>
      <c r="G1962" s="66" t="n"/>
      <c r="H1962" s="66" t="n"/>
      <c r="I1962" s="66" t="inlineStr">
        <is>
          <t>78.123.830-9</t>
        </is>
      </c>
      <c r="J1962" s="66" t="n"/>
      <c r="K1962" s="66" t="inlineStr">
        <is>
          <t>Ventas: GRANDE 2 (200.000 - 600.000 UF) | Empleados: 40</t>
        </is>
      </c>
      <c r="L1962" s="61" t="n"/>
      <c r="M1962" s="61" t="n"/>
      <c r="N1962" s="61" t="n"/>
      <c r="O1962" s="61" t="n"/>
      <c r="P1962" s="61" t="n"/>
      <c r="Q1962" s="62" t="n"/>
      <c r="R1962" s="61" t="n"/>
    </row>
    <row r="1963" ht="15.75" customHeight="1" s="38">
      <c r="A1963" s="66" t="inlineStr">
        <is>
          <t>TermoChemical LatinAmerica S.A.</t>
        </is>
      </c>
      <c r="B1963" s="66" t="inlineStr">
        <is>
          <t>Resinas Epóxicas para Chancadores y Grouting Epóxico</t>
        </is>
      </c>
      <c r="C1963" s="66" t="inlineStr">
        <is>
          <t>Santiago</t>
        </is>
      </c>
      <c r="D1963" s="66" t="inlineStr">
        <is>
          <t>venta_tecnica@termochemical.cl</t>
        </is>
      </c>
      <c r="E1963" s="66" t="inlineStr">
        <is>
          <t>(56) 2 2413 5151</t>
        </is>
      </c>
      <c r="F1963" s="66" t="n"/>
      <c r="G1963" s="66" t="n"/>
      <c r="H1963" s="66" t="n"/>
      <c r="I1963" s="66" t="inlineStr">
        <is>
          <t>96.868.910-K</t>
        </is>
      </c>
      <c r="J1963" s="66" t="n"/>
      <c r="K1963" s="66" t="inlineStr">
        <is>
          <t>Ventas: GRANDE 1 (100.000 - 200.000 UF) | Empleados: 17</t>
        </is>
      </c>
      <c r="L1963" s="61" t="n"/>
      <c r="M1963" s="61" t="n"/>
      <c r="N1963" s="61" t="n"/>
      <c r="O1963" s="61" t="n"/>
      <c r="P1963" s="61" t="n"/>
      <c r="Q1963" s="62" t="n"/>
      <c r="R1963" s="61" t="n"/>
    </row>
    <row r="1964" ht="15.75" customHeight="1" s="38">
      <c r="A1964" s="66" t="inlineStr">
        <is>
          <t>Termodinámica Ltda.</t>
        </is>
      </c>
      <c r="B1964" s="66" t="inlineStr">
        <is>
          <t>Válvulas</t>
        </is>
      </c>
      <c r="C1964" s="66" t="inlineStr">
        <is>
          <t>Santiago</t>
        </is>
      </c>
      <c r="D1964" s="66" t="inlineStr">
        <is>
          <t>infotermo@termodinamica.cl</t>
        </is>
      </c>
      <c r="E1964" s="66" t="inlineStr">
        <is>
          <t>(56) 2 2270 9700</t>
        </is>
      </c>
      <c r="F1964" s="66" t="n"/>
      <c r="G1964" s="66" t="n"/>
      <c r="H1964" s="66" t="n"/>
      <c r="I1964" s="66" t="inlineStr">
        <is>
          <t>83.999.600-4</t>
        </is>
      </c>
      <c r="J1964" s="66" t="n"/>
      <c r="K1964" s="66" t="inlineStr">
        <is>
          <t>Ventas: GRANDE 3 (600.000 - 1.000.000 UF) | Empleados: 86</t>
        </is>
      </c>
      <c r="L1964" s="61" t="n"/>
      <c r="M1964" s="61" t="n"/>
      <c r="N1964" s="61" t="n"/>
      <c r="O1964" s="61" t="n"/>
      <c r="P1964" s="61" t="n"/>
      <c r="Q1964" s="62" t="n"/>
      <c r="R1964" s="61" t="n"/>
    </row>
    <row r="1965" ht="15.75" customHeight="1" s="38">
      <c r="A1965" s="66" t="inlineStr">
        <is>
          <t>Termomin Ltda.</t>
        </is>
      </c>
      <c r="B1965" s="66" t="inlineStr">
        <is>
          <t>Revestimientos Cerámicos</t>
        </is>
      </c>
      <c r="C1965" s="66" t="inlineStr">
        <is>
          <t>Santiago</t>
        </is>
      </c>
      <c r="D1965" s="66" t="inlineStr">
        <is>
          <t>contacto@termomin.cl</t>
        </is>
      </c>
      <c r="E1965" s="66" t="inlineStr">
        <is>
          <t>(56) 2 2413 5100</t>
        </is>
      </c>
      <c r="F1965" s="66" t="n"/>
      <c r="G1965" s="66" t="n"/>
      <c r="H1965" s="66" t="n"/>
      <c r="I1965" s="66" t="inlineStr">
        <is>
          <t>86.667.200-8</t>
        </is>
      </c>
      <c r="J1965" s="66" t="n"/>
      <c r="K1965" s="66" t="inlineStr">
        <is>
          <t>Ventas: GRANDE 3 (600.000 - 1.000.000 UF) | Empleados: 175</t>
        </is>
      </c>
      <c r="L1965" s="61" t="n"/>
      <c r="M1965" s="61" t="n"/>
      <c r="N1965" s="61" t="n"/>
      <c r="O1965" s="61" t="n"/>
      <c r="P1965" s="61" t="n"/>
      <c r="Q1965" s="62" t="n"/>
      <c r="R1965" s="61" t="n"/>
    </row>
    <row r="1966" ht="15.75" customHeight="1" s="38">
      <c r="A1966" s="66" t="inlineStr">
        <is>
          <t>Termopro SpA</t>
        </is>
      </c>
      <c r="B1966" s="66" t="inlineStr">
        <is>
          <t>Válvulas de HDPE</t>
        </is>
      </c>
      <c r="C1966" s="66" t="inlineStr">
        <is>
          <t>Santiago</t>
        </is>
      </c>
      <c r="D1966" s="66" t="inlineStr">
        <is>
          <t>ventas@termopro.cl</t>
        </is>
      </c>
      <c r="E1966" s="66" t="inlineStr">
        <is>
          <t>(56) 2 2738 7340</t>
        </is>
      </c>
      <c r="F1966" s="66" t="n"/>
      <c r="G1966" s="66" t="n"/>
      <c r="H1966" s="66" t="n"/>
      <c r="I1966" s="66" t="inlineStr">
        <is>
          <t>76.069.132-1</t>
        </is>
      </c>
      <c r="J1966" s="66" t="n"/>
      <c r="K1966" s="66" t="inlineStr">
        <is>
          <t>Ventas: MEDIANA 2 (50.000 - 100.000 UF) | Empleados: 23</t>
        </is>
      </c>
      <c r="L1966" s="61" t="n"/>
      <c r="M1966" s="61" t="n"/>
      <c r="N1966" s="61" t="n"/>
      <c r="O1966" s="61" t="n"/>
      <c r="P1966" s="61" t="n"/>
      <c r="Q1966" s="62" t="n"/>
      <c r="R1966" s="61" t="n"/>
    </row>
    <row r="1967" ht="15.75" customHeight="1" s="38">
      <c r="A1967" s="66" t="inlineStr">
        <is>
          <t>Termovent Ltda.</t>
        </is>
      </c>
      <c r="B1967" s="66" t="inlineStr">
        <is>
          <t>Aspiradores de Alto Vacío</t>
        </is>
      </c>
      <c r="C1967" s="66" t="inlineStr">
        <is>
          <t>Santiago</t>
        </is>
      </c>
      <c r="D1967" s="66" t="inlineStr">
        <is>
          <t>ventas@termovent.cl</t>
        </is>
      </c>
      <c r="E1967" s="66" t="inlineStr">
        <is>
          <t>(56) 9 6898 4258</t>
        </is>
      </c>
      <c r="F1967" s="66" t="n"/>
      <c r="G1967" s="66" t="n"/>
      <c r="H1967" s="66" t="n"/>
      <c r="I1967" s="66" t="inlineStr">
        <is>
          <t>78.976.570-7</t>
        </is>
      </c>
      <c r="J1967" s="66" t="n"/>
      <c r="K1967" s="66" t="inlineStr">
        <is>
          <t>Ventas: PEQUEÑA 2 (5.000 - 10.000 UF) | Empleados: 3</t>
        </is>
      </c>
      <c r="L1967" s="61" t="n"/>
      <c r="M1967" s="61" t="n"/>
      <c r="N1967" s="61" t="n"/>
      <c r="O1967" s="61" t="n"/>
      <c r="P1967" s="61" t="n"/>
      <c r="Q1967" s="62" t="n"/>
      <c r="R1967" s="61" t="n"/>
    </row>
    <row r="1968" ht="15.75" customHeight="1" s="38">
      <c r="A1968" s="66" t="inlineStr">
        <is>
          <t>Terquim</t>
        </is>
      </c>
      <c r="B1968" s="66" t="inlineStr">
        <is>
          <t>Almacenamiento de Graneles Líquidos (químicos), Recepción de Graneles Líquidos (químicos)</t>
        </is>
      </c>
      <c r="C1968" s="66" t="inlineStr">
        <is>
          <t>San Antonio</t>
        </is>
      </c>
      <c r="D1968" s="66" t="inlineStr">
        <is>
          <t>terquim@odfjellterminals.cl</t>
        </is>
      </c>
      <c r="E1968" s="66" t="inlineStr">
        <is>
          <t>(56) 35 221 1050</t>
        </is>
      </c>
      <c r="F1968" s="66" t="n"/>
      <c r="G1968" s="66" t="n"/>
      <c r="H1968" s="66" t="inlineStr">
        <is>
          <t>http://www.terquim.cl</t>
        </is>
      </c>
      <c r="I1968" s="66" t="inlineStr">
        <is>
          <t>83.355.700-9</t>
        </is>
      </c>
      <c r="J1968" s="66" t="n"/>
      <c r="K1968" s="66" t="inlineStr">
        <is>
          <t>Ventas: GRANDE 3 (600.000 - 1.000.000 UF) | Empleados: 130</t>
        </is>
      </c>
      <c r="L1968" s="61" t="n"/>
      <c r="M1968" s="61" t="n"/>
      <c r="N1968" s="61" t="n"/>
      <c r="O1968" s="61" t="n"/>
      <c r="P1968" s="61" t="n"/>
      <c r="Q1968" s="62" t="n"/>
      <c r="R1968" s="61" t="n"/>
    </row>
    <row r="1969" ht="15.75" customHeight="1" s="38">
      <c r="A1969" s="59" t="inlineStr">
        <is>
          <t>Terraservice S.A.</t>
        </is>
      </c>
      <c r="B1969" s="59" t="inlineStr">
        <is>
          <t>Construcción de Chimeneas y Piques, Sondajes</t>
        </is>
      </c>
      <c r="C1969" s="59" t="inlineStr">
        <is>
          <t>Santiago</t>
        </is>
      </c>
      <c r="D1969" s="59" t="inlineStr">
        <is>
          <t>gerencia@terraservice.cl</t>
        </is>
      </c>
      <c r="E1969" s="59" t="inlineStr">
        <is>
          <t>(56) 2 2714 2100</t>
        </is>
      </c>
      <c r="F1969" s="59" t="inlineStr">
        <is>
          <t>Juan Carlos Morales (Jefe de TI)</t>
        </is>
      </c>
      <c r="G1969" s="59" t="inlineStr">
        <is>
          <t>j.morales@terraservice.cl</t>
        </is>
      </c>
      <c r="H1969" s="59" t="n"/>
      <c r="I1969" s="59" t="inlineStr">
        <is>
          <t>96.755.590-8</t>
        </is>
      </c>
      <c r="J1969" s="59" t="inlineStr">
        <is>
          <t>Investigación en Proceso</t>
        </is>
      </c>
      <c r="K1969" s="59" t="inlineStr">
        <is>
          <t>Ventas: GRANDE 3 (600.000 - 1.000.000 UF) | Empleados: 256</t>
        </is>
      </c>
      <c r="L1969" s="61" t="n"/>
      <c r="M1969" s="61" t="n"/>
      <c r="N1969" s="61" t="n"/>
      <c r="O1969" s="61" t="n"/>
      <c r="P1969" s="61" t="n"/>
      <c r="Q1969" s="62" t="n"/>
      <c r="R1969" s="61" t="n"/>
    </row>
    <row r="1970" ht="15.75" customHeight="1" s="38">
      <c r="A1970" s="59" t="inlineStr">
        <is>
          <t>Tesa Tape Chile S.A.</t>
        </is>
      </c>
      <c r="B1970" s="59" t="inlineStr">
        <is>
          <t>Adhesivos, Cintas Adhesivas</t>
        </is>
      </c>
      <c r="C1970" s="59" t="inlineStr">
        <is>
          <t>Santiago</t>
        </is>
      </c>
      <c r="D1970" s="59" t="n"/>
      <c r="E1970" s="59" t="inlineStr">
        <is>
          <t>(56) 2 2369 3600</t>
        </is>
      </c>
      <c r="F1970" s="59" t="inlineStr">
        <is>
          <t>Marcelo Rojas (IT Manager Chile)</t>
        </is>
      </c>
      <c r="G1970" s="59" t="inlineStr">
        <is>
          <t>m.rojas@tesa.com</t>
        </is>
      </c>
      <c r="H1970" s="59" t="n"/>
      <c r="I1970" s="59" t="inlineStr">
        <is>
          <t>96.996.330-2</t>
        </is>
      </c>
      <c r="J1970" s="59" t="inlineStr">
        <is>
          <t>Investigación en Proceso</t>
        </is>
      </c>
      <c r="K1970" s="59" t="inlineStr">
        <is>
          <t>Ventas: GRANDE 3 (600.000 - 1.000.000 UF) | Empleados: 35</t>
        </is>
      </c>
      <c r="L1970" s="61" t="n"/>
      <c r="M1970" s="61" t="n"/>
      <c r="N1970" s="61" t="n"/>
      <c r="O1970" s="61" t="n"/>
      <c r="P1970" s="61" t="n"/>
      <c r="Q1970" s="62" t="n"/>
      <c r="R1970" s="61" t="n"/>
    </row>
    <row r="1971" ht="15.75" customHeight="1" s="38">
      <c r="A1971" s="59" t="inlineStr">
        <is>
          <t>Tesacom</t>
        </is>
      </c>
      <c r="B1971" s="59" t="inlineStr">
        <is>
          <t>Servicios de Telecomunicaciones</t>
        </is>
      </c>
      <c r="C1971" s="59" t="inlineStr">
        <is>
          <t>Santiago</t>
        </is>
      </c>
      <c r="D1971" s="59" t="inlineStr">
        <is>
          <t>info@tesacom.net</t>
        </is>
      </c>
      <c r="E1971" s="59" t="inlineStr">
        <is>
          <t>(56) 2 2211 2667</t>
        </is>
      </c>
      <c r="F1971" s="59" t="inlineStr">
        <is>
          <t>Álvaro Stierling (Gerente Ingeniería/TI)</t>
        </is>
      </c>
      <c r="G1971" s="59" t="n"/>
      <c r="H1971" s="59" t="n"/>
      <c r="I1971" s="59" t="inlineStr">
        <is>
          <t>96.880.440-5</t>
        </is>
      </c>
      <c r="J1971" s="59" t="inlineStr">
        <is>
          <t>Conectividad Satelital &amp; IIoT</t>
        </is>
      </c>
      <c r="K1971" s="59" t="inlineStr">
        <is>
          <t>Ventas: GRANDE 2 (200.000 - 600.000 UF) | Empleados: 20</t>
        </is>
      </c>
      <c r="L1971" s="61" t="n"/>
      <c r="M1971" s="61" t="n"/>
      <c r="N1971" s="61" t="n"/>
      <c r="O1971" s="61" t="n"/>
      <c r="P1971" s="61" t="n"/>
      <c r="Q1971" s="62" t="n"/>
      <c r="R1971" s="61" t="n"/>
    </row>
    <row r="1972" ht="15.75" customHeight="1" s="38">
      <c r="A1972" s="66" t="inlineStr">
        <is>
          <t>Texora</t>
        </is>
      </c>
      <c r="B1972" s="66" t="inlineStr">
        <is>
          <t>Ropa para Seguridad, Ropa para Trabajo</t>
        </is>
      </c>
      <c r="C1972" s="66" t="inlineStr">
        <is>
          <t>Santiago</t>
        </is>
      </c>
      <c r="D1972" s="66" t="inlineStr">
        <is>
          <t>contacto@texora.cl</t>
        </is>
      </c>
      <c r="E1972" s="66" t="inlineStr">
        <is>
          <t>(56) 2 2352 4000</t>
        </is>
      </c>
      <c r="F1972" s="66" t="inlineStr">
        <is>
          <t>Gerente de TI / CIO (Director de Tecnología)</t>
        </is>
      </c>
      <c r="G1972" s="66" t="n"/>
      <c r="H1972" s="66" t="n"/>
      <c r="I1972" s="66" t="inlineStr">
        <is>
          <t>76.435.650-0</t>
        </is>
      </c>
      <c r="J1972" s="66" t="n"/>
      <c r="K1972" s="66" t="inlineStr">
        <is>
          <t>Ventas: GRANDE 4 (Mas de 1.000.000 UF) | Empleados: 52</t>
        </is>
      </c>
      <c r="L1972" s="61" t="n"/>
      <c r="M1972" s="61" t="n"/>
      <c r="N1972" s="61" t="n"/>
      <c r="O1972" s="61" t="n"/>
      <c r="P1972" s="61" t="n"/>
      <c r="Q1972" s="62" t="n"/>
      <c r="R1972" s="61" t="n"/>
    </row>
    <row r="1973" ht="15.75" customHeight="1" s="38">
      <c r="A1973" s="66" t="inlineStr">
        <is>
          <t>Texpro S.A.</t>
        </is>
      </c>
      <c r="B1973" s="66" t="inlineStr">
        <is>
          <t>Desengrasantes, Detergentes</t>
        </is>
      </c>
      <c r="C1973" s="66" t="inlineStr">
        <is>
          <t>Santiago</t>
        </is>
      </c>
      <c r="D1973" s="66" t="inlineStr">
        <is>
          <t>informaciones@texpro.cl</t>
        </is>
      </c>
      <c r="E1973" s="66" t="inlineStr">
        <is>
          <t>(56) 2 2384 9000</t>
        </is>
      </c>
      <c r="F1973" s="66" t="n"/>
      <c r="G1973" s="66" t="n"/>
      <c r="H1973" s="66" t="n"/>
      <c r="I1973" s="66" t="inlineStr">
        <is>
          <t>96.833.680-0</t>
        </is>
      </c>
      <c r="J1973" s="66" t="n"/>
      <c r="K1973" s="66" t="inlineStr">
        <is>
          <t>Ventas: GRANDE 2 (200.000 - 600.000 UF) | Empleados: 62</t>
        </is>
      </c>
      <c r="L1973" s="61" t="n"/>
      <c r="M1973" s="61" t="n"/>
      <c r="N1973" s="61" t="n"/>
      <c r="O1973" s="61" t="n"/>
      <c r="P1973" s="61" t="n"/>
      <c r="Q1973" s="62" t="n"/>
      <c r="R1973" s="61" t="n"/>
    </row>
    <row r="1974" ht="15.75" customHeight="1" s="38">
      <c r="A1974" s="66" t="inlineStr">
        <is>
          <t>Tezman Chile SpA</t>
        </is>
      </c>
      <c r="B1974" s="66" t="inlineStr">
        <is>
          <t>Equipos para Perforación de Rocas, Repuestos para Perforadoras</t>
        </is>
      </c>
      <c r="C1974" s="66" t="inlineStr">
        <is>
          <t>Santiago</t>
        </is>
      </c>
      <c r="D1974" s="66" t="inlineStr">
        <is>
          <t>ventas@tezman.cl</t>
        </is>
      </c>
      <c r="E1974" s="66" t="inlineStr">
        <is>
          <t>(56) 9 4761 7602</t>
        </is>
      </c>
      <c r="F1974" s="66" t="n"/>
      <c r="G1974" s="66" t="n"/>
      <c r="H1974" s="66" t="n"/>
      <c r="I1974" s="66" t="inlineStr">
        <is>
          <t>76863132-8</t>
        </is>
      </c>
      <c r="J1974" s="66" t="n"/>
      <c r="K1974" s="66" t="inlineStr">
        <is>
          <t>Ventas: MEDIANA 1 (25.000 - 50.000 UF) | Empleados: 3</t>
        </is>
      </c>
      <c r="L1974" s="61" t="n"/>
      <c r="M1974" s="61" t="n"/>
      <c r="N1974" s="61" t="n"/>
      <c r="O1974" s="61" t="n"/>
      <c r="P1974" s="61" t="n"/>
      <c r="Q1974" s="62" t="n"/>
      <c r="R1974" s="61" t="n"/>
    </row>
    <row r="1975" ht="15.75" customHeight="1" s="38">
      <c r="A1975" s="66" t="inlineStr">
        <is>
          <t>TGN, Terminal Graneles del Norte S.A.</t>
        </is>
      </c>
      <c r="B1975" s="66" t="inlineStr">
        <is>
          <t>Almacenamiento de Carga, Puertos</t>
        </is>
      </c>
      <c r="C1975" s="66" t="inlineStr">
        <is>
          <t>Mejillones</t>
        </is>
      </c>
      <c r="D1975" s="66" t="n"/>
      <c r="E1975" s="66" t="inlineStr">
        <is>
          <t>(56) 55 288 3700</t>
        </is>
      </c>
      <c r="F1975" s="66" t="n"/>
      <c r="G1975" s="66" t="n"/>
      <c r="H1975" s="66" t="n"/>
      <c r="I1975" s="66" t="inlineStr">
        <is>
          <t>76.015.905-0</t>
        </is>
      </c>
      <c r="J1975" s="66" t="n"/>
      <c r="K1975" s="66" t="inlineStr">
        <is>
          <t>Ventas: PEQUEÑA (Estimado por Empleados) | Empleados: 30</t>
        </is>
      </c>
      <c r="L1975" s="61" t="n"/>
      <c r="M1975" s="61" t="n"/>
      <c r="N1975" s="61" t="n"/>
      <c r="O1975" s="61" t="n"/>
      <c r="P1975" s="61" t="n"/>
      <c r="Q1975" s="62" t="n"/>
      <c r="R1975" s="61" t="n"/>
    </row>
    <row r="1976" ht="15.75" customHeight="1" s="38">
      <c r="A1976" s="59" t="inlineStr">
        <is>
          <t>THC Chile S.A.</t>
        </is>
      </c>
      <c r="B1976" s="59" t="inlineStr">
        <is>
          <t>Tuberías PPR y HDPE</t>
        </is>
      </c>
      <c r="C1976" s="59" t="inlineStr">
        <is>
          <t>Santiago</t>
        </is>
      </c>
      <c r="D1976" s="59" t="inlineStr">
        <is>
          <t>ventas@thc.cl</t>
        </is>
      </c>
      <c r="E1976" s="59" t="inlineStr">
        <is>
          <t>(56) 2 2889 4811</t>
        </is>
      </c>
      <c r="F1976" s="59" t="inlineStr">
        <is>
          <t>Tech Lead (Tech Lead)</t>
        </is>
      </c>
      <c r="G1976" s="59" t="inlineStr">
        <is>
          <t>sistemas@thcchile.cl</t>
        </is>
      </c>
      <c r="H1976" s="59" t="n"/>
      <c r="I1976" s="59" t="inlineStr">
        <is>
          <t>96502050-0</t>
        </is>
      </c>
      <c r="J1976" s="59" t="inlineStr">
        <is>
          <t>Investigación en Proceso</t>
        </is>
      </c>
      <c r="K1976" s="59" t="inlineStr">
        <is>
          <t>Ventas: GRANDE 3 (600.000 - 1.000.000 UF) | Empleados: 131</t>
        </is>
      </c>
      <c r="L1976" s="61" t="n"/>
      <c r="M1976" s="61" t="n"/>
      <c r="N1976" s="61" t="n"/>
      <c r="O1976" s="61" t="n"/>
      <c r="P1976" s="61" t="n"/>
      <c r="Q1976" s="62" t="n"/>
      <c r="R1976" s="61" t="n"/>
    </row>
    <row r="1977" ht="15.75" customHeight="1" s="38">
      <c r="A1977" s="66" t="inlineStr">
        <is>
          <t>The Robbins Company</t>
        </is>
      </c>
      <c r="B1977" s="66" t="inlineStr">
        <is>
          <t>Correas Transportadoras, Tuneladoras</t>
        </is>
      </c>
      <c r="C1977" s="66" t="inlineStr">
        <is>
          <t>Santiago</t>
        </is>
      </c>
      <c r="D1977" s="66" t="n"/>
      <c r="E1977" s="66" t="inlineStr">
        <is>
          <t>(56) 2 2688 7115</t>
        </is>
      </c>
      <c r="F1977" s="66" t="n"/>
      <c r="G1977" s="66" t="n"/>
      <c r="H1977" s="66" t="n"/>
      <c r="I1977" s="66" t="inlineStr">
        <is>
          <t>76.459.324-3</t>
        </is>
      </c>
      <c r="J1977" s="66" t="n"/>
      <c r="K1977" s="66" t="inlineStr">
        <is>
          <t>Ventas: PEQUEÑA 1 (2.400 - 5.000 UF) | Empleados: 0</t>
        </is>
      </c>
      <c r="L1977" s="61" t="n"/>
      <c r="M1977" s="61" t="n"/>
      <c r="N1977" s="61" t="n"/>
      <c r="O1977" s="61" t="n"/>
      <c r="P1977" s="61" t="n"/>
      <c r="Q1977" s="62" t="n"/>
      <c r="R1977" s="61" t="n"/>
    </row>
    <row r="1978" ht="15.75" customHeight="1" s="38">
      <c r="A1978" s="66" t="inlineStr">
        <is>
          <t>Thejo</t>
        </is>
      </c>
      <c r="B1978" s="66" t="inlineStr">
        <is>
          <t>Raspadores para Correas Transportadoras, Reparación de Correas Transportadoras</t>
        </is>
      </c>
      <c r="C1978" s="66" t="inlineStr">
        <is>
          <t>Santiago</t>
        </is>
      </c>
      <c r="D1978" s="66" t="inlineStr">
        <is>
          <t>alejandro.canedo@thejo-cl.com</t>
        </is>
      </c>
      <c r="E1978" s="66" t="inlineStr">
        <is>
          <t>(56) 9 6677 8289</t>
        </is>
      </c>
      <c r="F1978" s="66" t="n"/>
      <c r="G1978" s="66" t="n"/>
      <c r="H1978" s="66" t="n"/>
      <c r="I1978" s="66" t="inlineStr">
        <is>
          <t>76.427.784-8</t>
        </is>
      </c>
      <c r="J1978" s="66" t="n"/>
      <c r="K1978" s="66" t="inlineStr">
        <is>
          <t>Ventas: MEDIANA 2 (50.000 - 100.000 UF) | Empleados: 11</t>
        </is>
      </c>
      <c r="L1978" s="61" t="n"/>
      <c r="M1978" s="61" t="n"/>
      <c r="N1978" s="61" t="n"/>
      <c r="O1978" s="61" t="n"/>
      <c r="P1978" s="61" t="n"/>
      <c r="Q1978" s="62" t="n"/>
      <c r="R1978" s="61" t="n"/>
    </row>
    <row r="1979" ht="15.75" customHeight="1" s="38">
      <c r="A1979" s="59" t="inlineStr">
        <is>
          <t>Thermal Engineering Ltda.</t>
        </is>
      </c>
      <c r="B1979" s="59" t="inlineStr">
        <is>
          <t>Calderas</t>
        </is>
      </c>
      <c r="C1979" s="59" t="inlineStr">
        <is>
          <t>Santiago</t>
        </is>
      </c>
      <c r="D1979" s="59" t="inlineStr">
        <is>
          <t>info@thermal.cl</t>
        </is>
      </c>
      <c r="E1979" s="59" t="inlineStr">
        <is>
          <t>(56) 2 2623 2852</t>
        </is>
      </c>
      <c r="F1979" s="59" t="inlineStr">
        <is>
          <t>Technical Lead (Technical Lead)</t>
        </is>
      </c>
      <c r="G1979" s="59" t="inlineStr">
        <is>
          <t>sistemas@thermal.cl</t>
        </is>
      </c>
      <c r="H1979" s="59" t="n"/>
      <c r="I1979" s="59" t="inlineStr">
        <is>
          <t>77.091.780-8</t>
        </is>
      </c>
      <c r="J1979" s="59" t="inlineStr">
        <is>
          <t>Investigación en Proceso</t>
        </is>
      </c>
      <c r="K1979" s="59" t="inlineStr">
        <is>
          <t>Ventas: GRANDE 3 (600.000 - 1.000.000 UF) | Empleados: 62</t>
        </is>
      </c>
      <c r="L1979" s="61" t="n"/>
      <c r="M1979" s="61" t="n"/>
      <c r="N1979" s="61" t="n"/>
      <c r="O1979" s="61" t="n"/>
      <c r="P1979" s="61" t="n"/>
      <c r="Q1979" s="62" t="n"/>
      <c r="R1979" s="61" t="n"/>
    </row>
    <row r="1980" ht="15.75" customHeight="1" s="38">
      <c r="A1980" s="59" t="inlineStr">
        <is>
          <t>Thermo Fisher Scientific</t>
        </is>
      </c>
      <c r="B1980" s="59" t="inlineStr">
        <is>
          <t>Análisis de Laboratorio, Equipos para Análisis Químico</t>
        </is>
      </c>
      <c r="C1980" s="59" t="inlineStr">
        <is>
          <t>Santiago</t>
        </is>
      </c>
      <c r="D1980" s="59" t="n"/>
      <c r="E1980" s="59" t="inlineStr">
        <is>
          <t>(56) 2 2378 5080</t>
        </is>
      </c>
      <c r="F1980" s="59" t="inlineStr">
        <is>
          <t>Joaquin Daniel Araya Adasme (Lead Desktop Support Analyst)</t>
        </is>
      </c>
      <c r="G1980" s="59" t="inlineStr">
        <is>
          <t>j.araya@thermofisher.com</t>
        </is>
      </c>
      <c r="H1980" s="59" t="n"/>
      <c r="I1980" s="59" t="inlineStr">
        <is>
          <t>96.834.950-3</t>
        </is>
      </c>
      <c r="J1980" s="59" t="inlineStr">
        <is>
          <t>Investigación en Proceso</t>
        </is>
      </c>
      <c r="K1980" s="59" t="inlineStr">
        <is>
          <t>Ventas: GRANDE 3 (600.000 - 1.000.000 UF) | Empleados: 23</t>
        </is>
      </c>
      <c r="L1980" s="61" t="n"/>
      <c r="M1980" s="61" t="n"/>
      <c r="N1980" s="61" t="n"/>
      <c r="O1980" s="61" t="n"/>
      <c r="P1980" s="61" t="n"/>
      <c r="Q1980" s="62" t="n"/>
      <c r="R1980" s="61" t="n"/>
    </row>
    <row r="1981" ht="15.75" customHeight="1" s="38">
      <c r="A1981" s="66" t="inlineStr">
        <is>
          <t>Thiess Chile</t>
        </is>
      </c>
      <c r="B1981" s="66" t="inlineStr">
        <is>
          <t>Administración y Mantención de Plantas y Equipos Mineros, Servicios de Carga y Transporte, Servicios de Ingeniería, Servicios de Perforación y Voladura</t>
        </is>
      </c>
      <c r="C1981" s="66" t="inlineStr">
        <is>
          <t>Santiago</t>
        </is>
      </c>
      <c r="D1981" s="66" t="n"/>
      <c r="E1981" s="66" t="inlineStr">
        <is>
          <t>(56) 2 3220 1000</t>
        </is>
      </c>
      <c r="F1981" s="66" t="n"/>
      <c r="G1981" s="66" t="n"/>
      <c r="H1981" s="66" t="inlineStr">
        <is>
          <t>http://www.thiess.com</t>
        </is>
      </c>
      <c r="I1981" s="66" t="inlineStr">
        <is>
          <t>76.459.756-7</t>
        </is>
      </c>
      <c r="J1981" s="66" t="n"/>
      <c r="K1981" s="66" t="inlineStr">
        <is>
          <t>Ventas: GRANDE (Estimado por Empleados) | Empleados: 904</t>
        </is>
      </c>
      <c r="L1981" s="61" t="n"/>
      <c r="M1981" s="61" t="n"/>
      <c r="N1981" s="61" t="n"/>
      <c r="O1981" s="61" t="n"/>
      <c r="P1981" s="61" t="n"/>
      <c r="Q1981" s="62" t="n"/>
      <c r="R1981" s="61" t="n"/>
    </row>
    <row r="1982" ht="15.75" customHeight="1" s="38">
      <c r="A1982" s="66" t="inlineStr">
        <is>
          <t>Thyssenkrupp Industrial Solutions (Chile)</t>
        </is>
      </c>
      <c r="B1982" s="66" t="inlineStr">
        <is>
          <t>Alimentadores para Correas Transportadoras</t>
        </is>
      </c>
      <c r="C1982" s="66" t="inlineStr">
        <is>
          <t>Santiago</t>
        </is>
      </c>
      <c r="D1982" s="66" t="n"/>
      <c r="E1982" s="66" t="inlineStr">
        <is>
          <t>(56) 2 2998 9800</t>
        </is>
      </c>
      <c r="F1982" s="66" t="n"/>
      <c r="G1982" s="66" t="n"/>
      <c r="H1982" s="66" t="n"/>
      <c r="I1982" s="66" t="inlineStr">
        <is>
          <t>77.471.030-2</t>
        </is>
      </c>
      <c r="J1982" s="66" t="n"/>
      <c r="K1982" s="66" t="inlineStr">
        <is>
          <t>Ventas: MICRO 1 (0.01 - 200 UF) | Empleados: 0</t>
        </is>
      </c>
      <c r="L1982" s="61" t="n"/>
      <c r="M1982" s="61" t="n"/>
      <c r="N1982" s="61" t="n"/>
      <c r="O1982" s="61" t="n"/>
      <c r="P1982" s="61" t="n"/>
      <c r="Q1982" s="62" t="n"/>
      <c r="R1982" s="61" t="n"/>
    </row>
    <row r="1983" ht="15.75" customHeight="1" s="38">
      <c r="A1983" s="59" t="inlineStr">
        <is>
          <t>Tiar Ltda.</t>
        </is>
      </c>
      <c r="B1983" s="59" t="inlineStr">
        <is>
          <t>Equipos para Análisis de Vibraciones</t>
        </is>
      </c>
      <c r="C1983" s="59" t="inlineStr">
        <is>
          <t>Santiago</t>
        </is>
      </c>
      <c r="D1983" s="59" t="inlineStr">
        <is>
          <t>tiar@tiar.cl</t>
        </is>
      </c>
      <c r="E1983" s="59" t="inlineStr">
        <is>
          <t>(56) 2 2233 7232</t>
        </is>
      </c>
      <c r="F1983" s="59" t="inlineStr">
        <is>
          <t>Jose Antonio Sanchez (Gerente General)</t>
        </is>
      </c>
      <c r="G1983" s="59" t="n"/>
      <c r="H1983" s="59" t="n"/>
      <c r="I1983" s="59" t="inlineStr">
        <is>
          <t>78.183.900-0</t>
        </is>
      </c>
      <c r="J1983" s="59" t="inlineStr">
        <is>
          <t>Gestión Alimentación Automatizada Sitios</t>
        </is>
      </c>
      <c r="K1983" s="59" t="inlineStr">
        <is>
          <t>Ventas: GRANDE 2 (200.000 - 600.000 UF) | Empleados: 37</t>
        </is>
      </c>
      <c r="L1983" s="61" t="n"/>
      <c r="M1983" s="61" t="n"/>
      <c r="N1983" s="61" t="n"/>
      <c r="O1983" s="61" t="n"/>
      <c r="P1983" s="61" t="n"/>
      <c r="Q1983" s="62" t="n"/>
      <c r="R1983" s="61" t="n"/>
    </row>
    <row r="1984" ht="15.75" customHeight="1" s="38">
      <c r="A1984" s="66" t="inlineStr">
        <is>
          <t>Tierra Reforzada Chile S.A.</t>
        </is>
      </c>
      <c r="B1984" s="66" t="inlineStr">
        <is>
          <t>Servicios de Inspección Técnica</t>
        </is>
      </c>
      <c r="C1984" s="66" t="inlineStr">
        <is>
          <t>Santiago</t>
        </is>
      </c>
      <c r="D1984" s="66" t="inlineStr">
        <is>
          <t>tierrareforzada@tierrareforzada.cl</t>
        </is>
      </c>
      <c r="E1984" s="66" t="inlineStr">
        <is>
          <t>(56) 2 2206 1400</t>
        </is>
      </c>
      <c r="F1984" s="66" t="n"/>
      <c r="G1984" s="66" t="n"/>
      <c r="H1984" s="66" t="n"/>
      <c r="I1984" s="66" t="inlineStr">
        <is>
          <t>78.347.770-K</t>
        </is>
      </c>
      <c r="J1984" s="66" t="n"/>
      <c r="K1984" s="66" t="inlineStr">
        <is>
          <t>Ventas: GRANDE 1 (100.000 - 200.000 UF) | Empleados: 19</t>
        </is>
      </c>
      <c r="L1984" s="61" t="n"/>
      <c r="M1984" s="61" t="n"/>
      <c r="N1984" s="61" t="n"/>
      <c r="O1984" s="61" t="n"/>
      <c r="P1984" s="61" t="n"/>
      <c r="Q1984" s="62" t="n"/>
      <c r="R1984" s="61" t="n"/>
    </row>
    <row r="1985" ht="15.75" customHeight="1" s="38">
      <c r="A1985" s="66" t="inlineStr">
        <is>
          <t>Tiex</t>
        </is>
      </c>
      <c r="B1985" s="66" t="inlineStr">
        <is>
          <t>Transporte de Carga Pesada, Transporte Terrestre</t>
        </is>
      </c>
      <c r="C1985" s="66" t="inlineStr">
        <is>
          <t>Santiago</t>
        </is>
      </c>
      <c r="D1985" s="66" t="inlineStr">
        <is>
          <t>contacto@tiex.cl</t>
        </is>
      </c>
      <c r="E1985" s="66" t="inlineStr">
        <is>
          <t>(56) 2 3328 8250</t>
        </is>
      </c>
      <c r="F1985" s="66" t="inlineStr">
        <is>
          <t>Gerente de TI / CIO (Director de Tecnología)</t>
        </is>
      </c>
      <c r="G1985" s="66" t="n"/>
      <c r="H1985" s="66" t="n"/>
      <c r="I1985" s="66" t="inlineStr">
        <is>
          <t>78.771.490-0</t>
        </is>
      </c>
      <c r="J1985" s="66" t="n"/>
      <c r="K1985" s="66" t="inlineStr">
        <is>
          <t>Ventas: GRANDE 3 (600.000 - 1.000.000 UF) | Empleados: 174</t>
        </is>
      </c>
      <c r="L1985" s="61" t="n"/>
      <c r="M1985" s="61" t="n"/>
      <c r="N1985" s="61" t="n"/>
      <c r="O1985" s="61" t="n"/>
      <c r="P1985" s="61" t="n"/>
      <c r="Q1985" s="62" t="n"/>
      <c r="R1985" s="61" t="n"/>
    </row>
    <row r="1986" ht="15.75" customHeight="1" s="38">
      <c r="A1986" s="66" t="inlineStr">
        <is>
          <t>Tigre ADS de Chile Ltda.</t>
        </is>
      </c>
      <c r="B1986" s="66" t="inlineStr">
        <is>
          <t>Tubos Corrugados de HDPE</t>
        </is>
      </c>
      <c r="C1986" s="66" t="inlineStr">
        <is>
          <t>Santiago</t>
        </is>
      </c>
      <c r="D1986" s="66" t="inlineStr">
        <is>
          <t>tigreadschile@adstigre.com</t>
        </is>
      </c>
      <c r="E1986" s="66" t="inlineStr">
        <is>
          <t>(56) 9 7846 5190</t>
        </is>
      </c>
      <c r="F1986" s="66" t="inlineStr">
        <is>
          <t>Gerente de TI / CIO (Director de Tecnología)</t>
        </is>
      </c>
      <c r="G1986" s="66" t="n"/>
      <c r="H1986" s="66" t="n"/>
      <c r="I1986" s="66" t="inlineStr">
        <is>
          <t>76.063.753-K</t>
        </is>
      </c>
      <c r="J1986" s="66" t="n"/>
      <c r="K1986" s="66" t="inlineStr">
        <is>
          <t>Ventas: GRANDE 4 (Mas de 1.000.000 UF) | Empleados: 123</t>
        </is>
      </c>
      <c r="L1986" s="61" t="n"/>
      <c r="M1986" s="61" t="n"/>
      <c r="N1986" s="61" t="n"/>
      <c r="O1986" s="61" t="n"/>
      <c r="P1986" s="61" t="n"/>
      <c r="Q1986" s="62" t="n"/>
      <c r="R1986" s="61" t="n"/>
    </row>
    <row r="1987" ht="15.75" customHeight="1" s="38">
      <c r="A1987" s="59" t="inlineStr">
        <is>
          <t>Tigre Chile S.A.</t>
        </is>
      </c>
      <c r="B1987" s="59" t="inlineStr">
        <is>
          <t>Tubos de Polietileno de Alta Densidad (HDPE), Tubos de PVC y CPVC, Válvulas Termoplásticas</t>
        </is>
      </c>
      <c r="C1987" s="59" t="inlineStr">
        <is>
          <t>Santiago</t>
        </is>
      </c>
      <c r="D1987" s="59" t="n"/>
      <c r="E1987" s="59" t="inlineStr">
        <is>
          <t>(56) 2 6465 5973</t>
        </is>
      </c>
      <c r="F1987" s="59" t="inlineStr">
        <is>
          <t>Rodrigo Tapia (IT &amp; Systems Manager Chile)</t>
        </is>
      </c>
      <c r="G1987" s="59" t="inlineStr">
        <is>
          <t>rtapia@tigre.com</t>
        </is>
      </c>
      <c r="H1987" s="59" t="n"/>
      <c r="I1987" s="59" t="inlineStr">
        <is>
          <t>77.032.200-6</t>
        </is>
      </c>
      <c r="J1987" s="59" t="inlineStr">
        <is>
          <t>Investigación en Proceso</t>
        </is>
      </c>
      <c r="K1987" s="59" t="inlineStr">
        <is>
          <t>Ventas: GRANDE 3 (600.000 - 1.000.000 UF) | Empleados: 120</t>
        </is>
      </c>
      <c r="L1987" s="61" t="n"/>
      <c r="M1987" s="61" t="n"/>
      <c r="N1987" s="61" t="n"/>
      <c r="O1987" s="61" t="n"/>
      <c r="P1987" s="61" t="n"/>
      <c r="Q1987" s="62" t="n"/>
      <c r="R1987" s="61" t="n"/>
    </row>
    <row r="1988" ht="15.75" customHeight="1" s="38">
      <c r="A1988" s="59" t="inlineStr">
        <is>
          <t>TIMining</t>
        </is>
      </c>
      <c r="B1988" s="59" t="inlineStr">
        <is>
          <t>Digitalización de Minas, Software que Transforma Datos en Información</t>
        </is>
      </c>
      <c r="C1988" s="59" t="inlineStr">
        <is>
          <t>Santiago</t>
        </is>
      </c>
      <c r="D1988" s="59" t="inlineStr">
        <is>
          <t>contacto@timining.com</t>
        </is>
      </c>
      <c r="E1988" s="59" t="inlineStr">
        <is>
          <t>(56) 2 2953 9522</t>
        </is>
      </c>
      <c r="F1988" s="59" t="inlineStr">
        <is>
          <t>Carlo Calderón Becerra (CTO)</t>
        </is>
      </c>
      <c r="G1988" s="59" t="n"/>
      <c r="H1988" s="59" t="n"/>
      <c r="I1988" s="59" t="inlineStr">
        <is>
          <t>76.144.006-3</t>
        </is>
      </c>
      <c r="J1988" s="59" t="inlineStr">
        <is>
          <t>Tecnología Digital Twin &amp; Monitoreo Operacional</t>
        </is>
      </c>
      <c r="K1988" s="59" t="inlineStr">
        <is>
          <t>Ventas: GRANDE 2 (200.000 - 600.000 UF) | Empleados: 78</t>
        </is>
      </c>
      <c r="L1988" s="61" t="n"/>
      <c r="M1988" s="61" t="n"/>
      <c r="N1988" s="61" t="n"/>
      <c r="O1988" s="61" t="n"/>
      <c r="P1988" s="61" t="n"/>
      <c r="Q1988" s="62" t="n"/>
      <c r="R1988" s="61" t="n"/>
    </row>
    <row r="1989" ht="15.75" customHeight="1" s="38">
      <c r="A1989" s="66" t="inlineStr">
        <is>
          <t>TKE Elevator</t>
        </is>
      </c>
      <c r="B1989" s="66" t="inlineStr">
        <is>
          <t>Ascensores</t>
        </is>
      </c>
      <c r="C1989" s="66" t="inlineStr">
        <is>
          <t>Santiago</t>
        </is>
      </c>
      <c r="D1989" s="66" t="n"/>
      <c r="E1989" s="66" t="inlineStr">
        <is>
          <t>600 300 2244</t>
        </is>
      </c>
      <c r="F1989" s="66" t="inlineStr">
        <is>
          <t>Gerente de TI / CIO (Director de Tecnología)</t>
        </is>
      </c>
      <c r="G1989" s="66" t="n"/>
      <c r="H1989" s="66" t="n"/>
      <c r="I1989" s="66" t="inlineStr">
        <is>
          <t>96.726.480-6</t>
        </is>
      </c>
      <c r="J1989" s="66" t="n"/>
      <c r="K1989" s="66" t="inlineStr">
        <is>
          <t>Ventas: GRANDE 4 (Mas de 1.000.000 UF) | Empleados: 352</t>
        </is>
      </c>
      <c r="L1989" s="61" t="n"/>
      <c r="M1989" s="61" t="n"/>
      <c r="N1989" s="61" t="n"/>
      <c r="O1989" s="61" t="n"/>
      <c r="P1989" s="61" t="n"/>
      <c r="Q1989" s="62" t="n"/>
      <c r="R1989" s="61" t="n"/>
    </row>
    <row r="1990" ht="15.75" customHeight="1" s="38">
      <c r="A1990" s="66" t="inlineStr">
        <is>
          <t>TMD Ltda.</t>
        </is>
      </c>
      <c r="B1990" s="66" t="inlineStr">
        <is>
          <t>Alzaprimas, Andamios</t>
        </is>
      </c>
      <c r="C1990" s="66" t="inlineStr">
        <is>
          <t>Santiago</t>
        </is>
      </c>
      <c r="D1990" s="66" t="inlineStr">
        <is>
          <t>info@tmd.cl</t>
        </is>
      </c>
      <c r="E1990" s="66" t="inlineStr">
        <is>
          <t>(56) 2 2747 1965</t>
        </is>
      </c>
      <c r="F1990" s="66" t="n"/>
      <c r="G1990" s="66" t="n"/>
      <c r="H1990" s="66" t="n"/>
      <c r="I1990" s="66" t="inlineStr">
        <is>
          <t>76.525.380-4</t>
        </is>
      </c>
      <c r="J1990" s="66" t="n"/>
      <c r="K1990" s="66" t="inlineStr">
        <is>
          <t>Ventas: PEQUEÑA 1 (2.400 - 5.000 UF) | Empleados: 2</t>
        </is>
      </c>
      <c r="L1990" s="61" t="n"/>
      <c r="M1990" s="61" t="n"/>
      <c r="N1990" s="61" t="n"/>
      <c r="O1990" s="61" t="n"/>
      <c r="P1990" s="61" t="n"/>
      <c r="Q1990" s="62" t="n"/>
      <c r="R1990" s="61" t="n"/>
    </row>
    <row r="1991" ht="15.75" customHeight="1" s="38">
      <c r="A1991" s="59" t="inlineStr">
        <is>
          <t>Todo Izaje</t>
        </is>
      </c>
      <c r="B1991" s="59" t="inlineStr">
        <is>
          <t>Cadenas, Polipastos</t>
        </is>
      </c>
      <c r="C1991" s="59" t="inlineStr">
        <is>
          <t>Iquique</t>
        </is>
      </c>
      <c r="D1991" s="59" t="inlineStr">
        <is>
          <t>info@todoizaje.cl</t>
        </is>
      </c>
      <c r="E1991" s="59" t="inlineStr">
        <is>
          <t>600 3600 488</t>
        </is>
      </c>
      <c r="F1991" s="59" t="inlineStr">
        <is>
          <t>Gonzalo Lopez (Gerente Operaciones)</t>
        </is>
      </c>
      <c r="G1991" s="59" t="n"/>
      <c r="H1991" s="59" t="n"/>
      <c r="I1991" s="59" t="inlineStr">
        <is>
          <t>76192151-7</t>
        </is>
      </c>
      <c r="J1991" s="59" t="inlineStr">
        <is>
          <t>Digitalización Seguridad Izaje Pesado</t>
        </is>
      </c>
      <c r="K1991" s="59" t="inlineStr">
        <is>
          <t>Ventas: GRANDE 2 (200.000 - 600.000 UF) | Empleados: 66</t>
        </is>
      </c>
      <c r="L1991" s="61" t="n"/>
      <c r="M1991" s="61" t="n"/>
      <c r="N1991" s="61" t="n"/>
      <c r="O1991" s="61" t="n"/>
      <c r="P1991" s="61" t="n"/>
      <c r="Q1991" s="62" t="n"/>
      <c r="R1991" s="61" t="n"/>
    </row>
    <row r="1992" ht="15.75" customHeight="1" s="38">
      <c r="A1992" s="66" t="inlineStr">
        <is>
          <t>Top Seal</t>
        </is>
      </c>
      <c r="B1992" s="66" t="inlineStr">
        <is>
          <t>Productos para Control de Polvo</t>
        </is>
      </c>
      <c r="C1992" s="66" t="inlineStr">
        <is>
          <t>Santiago</t>
        </is>
      </c>
      <c r="D1992" s="66" t="inlineStr">
        <is>
          <t>info@topsealchile.cl</t>
        </is>
      </c>
      <c r="E1992" s="66" t="inlineStr">
        <is>
          <t>(56) 2 2737 8172</t>
        </is>
      </c>
      <c r="F1992" s="66" t="n"/>
      <c r="G1992" s="66" t="n"/>
      <c r="H1992" s="66" t="n"/>
      <c r="I1992" s="66" t="inlineStr">
        <is>
          <t>76363889-8</t>
        </is>
      </c>
      <c r="J1992" s="66" t="n"/>
      <c r="K1992" s="66" t="inlineStr">
        <is>
          <t>Ventas: MICRO 1 (0.01 - 200 UF) | Empleados: 0</t>
        </is>
      </c>
      <c r="L1992" s="61" t="n"/>
      <c r="M1992" s="61" t="n"/>
      <c r="N1992" s="61" t="n"/>
      <c r="O1992" s="61" t="n"/>
      <c r="P1992" s="61" t="n"/>
      <c r="Q1992" s="62" t="n"/>
      <c r="R1992" s="61" t="n"/>
    </row>
    <row r="1993" ht="15.75" customHeight="1" s="38">
      <c r="A1993" s="66" t="inlineStr">
        <is>
          <t>Toptent</t>
        </is>
      </c>
      <c r="B1993" s="66" t="inlineStr">
        <is>
          <t>Bodegas Temporales, Servicios Logísticos y de Almacenamiento</t>
        </is>
      </c>
      <c r="C1993" s="66" t="inlineStr">
        <is>
          <t>santiago</t>
        </is>
      </c>
      <c r="D1993" s="66" t="inlineStr">
        <is>
          <t>contacto@toptent.cl</t>
        </is>
      </c>
      <c r="E1993" s="66" t="inlineStr">
        <is>
          <t>(56) 2 3239 3064</t>
        </is>
      </c>
      <c r="F1993" s="66" t="n"/>
      <c r="G1993" s="66" t="n"/>
      <c r="H1993" s="66" t="n"/>
      <c r="I1993" s="66" t="inlineStr">
        <is>
          <t>76.255.959-5</t>
        </is>
      </c>
      <c r="J1993" s="66" t="n"/>
      <c r="K1993" s="66" t="inlineStr">
        <is>
          <t>Ventas: MEDIANA 2 (50.000 - 100.000 UF) | Empleados: 2</t>
        </is>
      </c>
      <c r="L1993" s="61" t="n"/>
      <c r="M1993" s="61" t="n"/>
      <c r="N1993" s="61" t="n"/>
      <c r="O1993" s="61" t="n"/>
      <c r="P1993" s="61" t="n"/>
      <c r="Q1993" s="62" t="n"/>
      <c r="R1993" s="61" t="n"/>
    </row>
    <row r="1994" ht="15.75" customHeight="1" s="38">
      <c r="A1994" s="66" t="inlineStr">
        <is>
          <t>Tormetal Ltda.</t>
        </is>
      </c>
      <c r="B1994" s="66" t="inlineStr">
        <is>
          <t>Reparación de Maquinaria para la Minería</t>
        </is>
      </c>
      <c r="C1994" s="66" t="inlineStr">
        <is>
          <t>Antofagasta</t>
        </is>
      </c>
      <c r="D1994" s="66" t="inlineStr">
        <is>
          <t>contacto@tormetal.cl</t>
        </is>
      </c>
      <c r="E1994" s="66" t="inlineStr">
        <is>
          <t>(56) 55 268 9700</t>
        </is>
      </c>
      <c r="F1994" s="66" t="inlineStr">
        <is>
          <t>Gerente de TI / CIO (Director de Tecnología)</t>
        </is>
      </c>
      <c r="G1994" s="66" t="n"/>
      <c r="H1994" s="66" t="n"/>
      <c r="I1994" s="66" t="inlineStr">
        <is>
          <t>78.991.830-9</t>
        </is>
      </c>
      <c r="J1994" s="66" t="n"/>
      <c r="K1994" s="66" t="inlineStr">
        <is>
          <t>Ventas: GRANDE 3 (600.000 - 1.000.000 UF) | Empleados: 351</t>
        </is>
      </c>
      <c r="L1994" s="61" t="n"/>
      <c r="M1994" s="61" t="n"/>
      <c r="N1994" s="61" t="n"/>
      <c r="O1994" s="61" t="n"/>
      <c r="P1994" s="61" t="n"/>
      <c r="Q1994" s="62" t="n"/>
      <c r="R1994" s="61" t="n"/>
    </row>
    <row r="1995" ht="15.75" customHeight="1" s="38">
      <c r="A1995" s="66" t="inlineStr">
        <is>
          <t>Toscanini Telecomunicaciones S.A.</t>
        </is>
      </c>
      <c r="B1995" s="66" t="inlineStr">
        <is>
          <t>Radiocomunicaciones, Telecomunicaciones</t>
        </is>
      </c>
      <c r="C1995" s="66" t="inlineStr">
        <is>
          <t>Santiago</t>
        </is>
      </c>
      <c r="D1995" s="66" t="inlineStr">
        <is>
          <t>ingenieria@toscanini.cl</t>
        </is>
      </c>
      <c r="E1995" s="66" t="inlineStr">
        <is>
          <t>(56) 2 2336 1100</t>
        </is>
      </c>
      <c r="F1995" s="66" t="n"/>
      <c r="G1995" s="66" t="n"/>
      <c r="H1995" s="66" t="n"/>
      <c r="I1995" s="66" t="inlineStr">
        <is>
          <t>78.201.660-1</t>
        </is>
      </c>
      <c r="J1995" s="66" t="n"/>
      <c r="K1995" s="66" t="inlineStr">
        <is>
          <t>Ventas: MEDIANA 1 (25.000 - 50.000 UF) | Empleados: 9</t>
        </is>
      </c>
      <c r="L1995" s="61" t="n"/>
      <c r="M1995" s="61" t="n"/>
      <c r="N1995" s="61" t="n"/>
      <c r="O1995" s="61" t="n"/>
      <c r="P1995" s="61" t="n"/>
      <c r="Q1995" s="62" t="n"/>
      <c r="R1995" s="61" t="n"/>
    </row>
    <row r="1996" ht="15.75" customHeight="1" s="38">
      <c r="A1996" s="66" t="inlineStr">
        <is>
          <t>TotalEnergies</t>
        </is>
      </c>
      <c r="B1996" s="66" t="inlineStr">
        <is>
          <t>Aceites, Análisis de Aceites, Refrigerantes</t>
        </is>
      </c>
      <c r="C1996" s="66" t="inlineStr">
        <is>
          <t>Santiago</t>
        </is>
      </c>
      <c r="D1996" s="66" t="n"/>
      <c r="E1996" s="66" t="inlineStr">
        <is>
          <t>(56) 2 2519 7800</t>
        </is>
      </c>
      <c r="F1996" s="66" t="n"/>
      <c r="G1996" s="66" t="n"/>
      <c r="H1996" s="66" t="inlineStr">
        <is>
          <t>http://www.totalenergies.cl</t>
        </is>
      </c>
      <c r="I1996" s="66" t="inlineStr">
        <is>
          <t>95.861.000-9</t>
        </is>
      </c>
      <c r="J1996" s="66" t="n"/>
      <c r="K1996" s="66" t="inlineStr">
        <is>
          <t>Ventas: MEDIANA (Estimado por Empleados) | Empleados: 134</t>
        </is>
      </c>
      <c r="L1996" s="61" t="n"/>
      <c r="M1996" s="61" t="n"/>
      <c r="N1996" s="61" t="n"/>
      <c r="O1996" s="61" t="n"/>
      <c r="P1996" s="61" t="n"/>
      <c r="Q1996" s="62" t="n"/>
      <c r="R1996" s="61" t="n"/>
    </row>
    <row r="1997" ht="15.75" customHeight="1" s="38">
      <c r="A1997" s="66" t="inlineStr">
        <is>
          <t>Totalmatrix E.I.R.L.</t>
        </is>
      </c>
      <c r="B1997" s="66" t="inlineStr">
        <is>
          <t>Resortes Normalizados</t>
        </is>
      </c>
      <c r="C1997" s="66" t="inlineStr">
        <is>
          <t>Santiago</t>
        </is>
      </c>
      <c r="D1997" s="66" t="inlineStr">
        <is>
          <t>contacto@totalmatrix.com</t>
        </is>
      </c>
      <c r="E1997" s="66" t="inlineStr">
        <is>
          <t>(56) 2 2671 8439</t>
        </is>
      </c>
      <c r="F1997" s="66" t="n"/>
      <c r="G1997" s="66" t="n"/>
      <c r="H1997" s="66" t="n"/>
      <c r="I1997" s="66" t="inlineStr">
        <is>
          <t>52.003.806-K</t>
        </is>
      </c>
      <c r="J1997" s="66" t="n"/>
      <c r="K1997" s="66" t="inlineStr">
        <is>
          <t>Ventas: PEQUEÑA 3 (10.000 - 25.000 UF) | Empleados: 3</t>
        </is>
      </c>
      <c r="L1997" s="61" t="n"/>
      <c r="M1997" s="61" t="n"/>
      <c r="N1997" s="61" t="n"/>
      <c r="O1997" s="61" t="n"/>
      <c r="P1997" s="61" t="n"/>
      <c r="Q1997" s="62" t="n"/>
      <c r="R1997" s="61" t="n"/>
    </row>
    <row r="1998" ht="15.75" customHeight="1" s="38">
      <c r="A1998" s="66" t="inlineStr">
        <is>
          <t>Toyota Chile</t>
        </is>
      </c>
      <c r="B1998" s="66" t="inlineStr">
        <is>
          <t>Camionetas</t>
        </is>
      </c>
      <c r="C1998" s="66" t="inlineStr">
        <is>
          <t>Santiago</t>
        </is>
      </c>
      <c r="D1998" s="66" t="n"/>
      <c r="E1998" s="66" t="inlineStr">
        <is>
          <t>(56) 2 2694 4800</t>
        </is>
      </c>
      <c r="F1998" s="66" t="n"/>
      <c r="G1998" s="66" t="n"/>
      <c r="H1998" s="66" t="n"/>
      <c r="I1998" s="66" t="inlineStr">
        <is>
          <t>86.740.500-3</t>
        </is>
      </c>
      <c r="J1998" s="66" t="n"/>
      <c r="K1998" s="66" t="inlineStr">
        <is>
          <t>Ventas: MEDIANA (Estimado por Empleados) | Empleados: 182</t>
        </is>
      </c>
      <c r="L1998" s="61" t="n"/>
      <c r="M1998" s="61" t="n"/>
      <c r="N1998" s="61" t="n"/>
      <c r="O1998" s="61" t="n"/>
      <c r="P1998" s="61" t="n"/>
      <c r="Q1998" s="62" t="n"/>
      <c r="R1998" s="61" t="n"/>
    </row>
    <row r="1999" ht="15.75" customHeight="1" s="38">
      <c r="A1999" s="66" t="inlineStr">
        <is>
          <t>TPI Chile S.A.</t>
        </is>
      </c>
      <c r="B1999" s="66" t="inlineStr">
        <is>
          <t>Spools de Acero Inoxidable</t>
        </is>
      </c>
      <c r="C1999" s="66" t="inlineStr">
        <is>
          <t>Santiago</t>
        </is>
      </c>
      <c r="D1999" s="66" t="inlineStr">
        <is>
          <t>tpichile@tpi.cl</t>
        </is>
      </c>
      <c r="E1999" s="66" t="inlineStr">
        <is>
          <t>(56) 2 2463 8000</t>
        </is>
      </c>
      <c r="F1999" s="66" t="n"/>
      <c r="G1999" s="66" t="n"/>
      <c r="H1999" s="66" t="n"/>
      <c r="I1999" s="66" t="inlineStr">
        <is>
          <t>96.895.560-8</t>
        </is>
      </c>
      <c r="J1999" s="66" t="n"/>
      <c r="K1999" s="66" t="inlineStr">
        <is>
          <t>Ventas: MICRO 1 (0.01 - 200 UF) | Empleados: 0</t>
        </is>
      </c>
      <c r="L1999" s="61" t="n"/>
      <c r="M1999" s="61" t="n"/>
      <c r="N1999" s="61" t="n"/>
      <c r="O1999" s="61" t="n"/>
      <c r="P1999" s="61" t="n"/>
      <c r="Q1999" s="62" t="n"/>
      <c r="R1999" s="61" t="n"/>
    </row>
    <row r="2000" ht="15.75" customHeight="1" s="38">
      <c r="A2000" s="66" t="inlineStr">
        <is>
          <t>Track Rail SpA</t>
        </is>
      </c>
      <c r="B2000" s="66" t="inlineStr">
        <is>
          <t>Construcción de Vías Férreas</t>
        </is>
      </c>
      <c r="C2000" s="66" t="inlineStr">
        <is>
          <t>Antofagasta</t>
        </is>
      </c>
      <c r="D2000" s="66" t="inlineStr">
        <is>
          <t>contacto@trackrail.cl</t>
        </is>
      </c>
      <c r="E2000" s="66" t="inlineStr">
        <is>
          <t>(56) 55 254 7203</t>
        </is>
      </c>
      <c r="F2000" s="66" t="n"/>
      <c r="G2000" s="66" t="n"/>
      <c r="H2000" s="66" t="n"/>
      <c r="I2000" s="66" t="inlineStr">
        <is>
          <t>76816351-0</t>
        </is>
      </c>
      <c r="J2000" s="66" t="n"/>
      <c r="K2000" s="66" t="inlineStr">
        <is>
          <t>Ventas: GRANDE 1 (100.000 - 200.000 UF) | Empleados: 171</t>
        </is>
      </c>
      <c r="L2000" s="61" t="n"/>
      <c r="M2000" s="61" t="n"/>
      <c r="N2000" s="61" t="n"/>
      <c r="O2000" s="61" t="n"/>
      <c r="P2000" s="61" t="n"/>
      <c r="Q2000" s="62" t="n"/>
      <c r="R2000" s="61" t="n"/>
    </row>
    <row r="2001" ht="15.75" customHeight="1" s="38">
      <c r="A2001" s="59" t="inlineStr">
        <is>
          <t>Tracktec Ltda.</t>
        </is>
      </c>
      <c r="B2001" s="59" t="inlineStr">
        <is>
          <t>Servicios de Telemetría, Sistemas para Control de Flotas</t>
        </is>
      </c>
      <c r="C2001" s="59" t="inlineStr">
        <is>
          <t>Santiago</t>
        </is>
      </c>
      <c r="D2001" s="59" t="inlineStr">
        <is>
          <t>contacto@tracktec.cl</t>
        </is>
      </c>
      <c r="E2001" s="59" t="inlineStr">
        <is>
          <t>(56) 2 2706 0500</t>
        </is>
      </c>
      <c r="F2001" s="59" t="inlineStr">
        <is>
          <t>Renato Ramírez Iglesias (CEO | Transformación Digital)</t>
        </is>
      </c>
      <c r="G2001" s="59" t="n"/>
      <c r="H2001" s="59" t="n"/>
      <c r="I2001" s="59" t="inlineStr">
        <is>
          <t>76.032.475-2</t>
        </is>
      </c>
      <c r="J2001" s="59" t="inlineStr">
        <is>
          <t>Innovación IoT &amp; Telemática Transporte</t>
        </is>
      </c>
      <c r="K2001" s="59" t="inlineStr">
        <is>
          <t>Ventas: GRANDE 2 (200.000 - 600.000 UF) | Empleados: 99</t>
        </is>
      </c>
      <c r="L2001" s="61" t="n"/>
      <c r="M2001" s="61" t="n"/>
      <c r="N2001" s="61" t="n"/>
      <c r="O2001" s="61" t="n"/>
      <c r="P2001" s="61" t="n"/>
      <c r="Q2001" s="62" t="n"/>
      <c r="R2001" s="61" t="n"/>
    </row>
    <row r="2002" ht="15.75" customHeight="1" s="38">
      <c r="A2002" s="59" t="inlineStr">
        <is>
          <t>Tradecor S.A.</t>
        </is>
      </c>
      <c r="B2002" s="59" t="inlineStr">
        <is>
          <t>Sacos</t>
        </is>
      </c>
      <c r="C2002" s="59" t="inlineStr">
        <is>
          <t>Santiago</t>
        </is>
      </c>
      <c r="D2002" s="59" t="inlineStr">
        <is>
          <t>info@tradecor.cl</t>
        </is>
      </c>
      <c r="E2002" s="59" t="inlineStr">
        <is>
          <t>(56) 9 9841 9283</t>
        </is>
      </c>
      <c r="F2002" s="59" t="inlineStr">
        <is>
          <t>Carolina Rivero Mujica (Key Account Manager)</t>
        </is>
      </c>
      <c r="G2002" s="59" t="n"/>
      <c r="H2002" s="59" t="n"/>
      <c r="I2002" s="59" t="inlineStr">
        <is>
          <t>76082255-8</t>
        </is>
      </c>
      <c r="J2002" s="59" t="inlineStr">
        <is>
          <t>Optimización Supply Chain Minera</t>
        </is>
      </c>
      <c r="K2002" s="59" t="inlineStr">
        <is>
          <t>Ventas: GRANDE 2 (200.000 - 600.000 UF) | Empleados: 5</t>
        </is>
      </c>
      <c r="L2002" s="61" t="n"/>
      <c r="M2002" s="61" t="n"/>
      <c r="N2002" s="61" t="n"/>
      <c r="O2002" s="61" t="n"/>
      <c r="P2002" s="61" t="n"/>
      <c r="Q2002" s="62" t="n"/>
      <c r="R2002" s="61" t="n"/>
    </row>
    <row r="2003" ht="15.75" customHeight="1" s="38">
      <c r="A2003" s="66" t="inlineStr">
        <is>
          <t>Trafigura (Chile) Ltda.</t>
        </is>
      </c>
      <c r="B2003" s="66" t="inlineStr">
        <is>
          <t>Transporte de Metales y Minerales, Transporte de Petróleo y Gas</t>
        </is>
      </c>
      <c r="C2003" s="66" t="inlineStr">
        <is>
          <t>Santiago</t>
        </is>
      </c>
      <c r="D2003" s="66" t="n"/>
      <c r="E2003" s="66" t="inlineStr">
        <is>
          <t>(56) 2 2756 3800</t>
        </is>
      </c>
      <c r="F2003" s="66" t="n"/>
      <c r="G2003" s="66" t="n"/>
      <c r="H2003" s="66" t="n"/>
      <c r="I2003" s="66" t="inlineStr">
        <is>
          <t>77.251.130-2</t>
        </is>
      </c>
      <c r="J2003" s="66" t="n"/>
      <c r="K2003" s="66" t="inlineStr">
        <is>
          <t>Ventas: PEQUEÑA (Estimado por Empleados) | Empleados: 11</t>
        </is>
      </c>
      <c r="L2003" s="61" t="n"/>
      <c r="M2003" s="61" t="n"/>
      <c r="N2003" s="61" t="n"/>
      <c r="O2003" s="61" t="n"/>
      <c r="P2003" s="61" t="n"/>
      <c r="Q2003" s="62" t="n"/>
      <c r="R2003" s="61" t="n"/>
    </row>
    <row r="2004" ht="15.75" customHeight="1" s="38">
      <c r="A2004" s="66" t="inlineStr">
        <is>
          <t>Trafo Energy S.A.</t>
        </is>
      </c>
      <c r="B2004" s="66" t="inlineStr">
        <is>
          <t>Reparación y Mantenimiento de Transformadores, Transformadores de Poder</t>
        </is>
      </c>
      <c r="C2004" s="66" t="inlineStr">
        <is>
          <t>Santiago</t>
        </is>
      </c>
      <c r="D2004" s="66" t="inlineStr">
        <is>
          <t>info@trafoenergy.cl</t>
        </is>
      </c>
      <c r="E2004" s="66" t="inlineStr">
        <is>
          <t>(56) 2 3213 9907</t>
        </is>
      </c>
      <c r="F2004" s="66" t="n"/>
      <c r="G2004" s="66" t="n"/>
      <c r="H2004" s="66" t="n"/>
      <c r="I2004" s="66" t="inlineStr">
        <is>
          <t>76.430.417-9</t>
        </is>
      </c>
      <c r="J2004" s="66" t="n"/>
      <c r="K2004" s="66" t="inlineStr">
        <is>
          <t>Ventas: MEDIANA 2 (50.000 - 100.000 UF) | Empleados: 12</t>
        </is>
      </c>
      <c r="L2004" s="61" t="n"/>
      <c r="M2004" s="61" t="n"/>
      <c r="N2004" s="61" t="n"/>
      <c r="O2004" s="61" t="n"/>
      <c r="P2004" s="61" t="n"/>
      <c r="Q2004" s="62" t="n"/>
      <c r="R2004" s="61" t="n"/>
    </row>
    <row r="2005" ht="15.75" customHeight="1" s="38">
      <c r="A2005" s="59" t="inlineStr">
        <is>
          <t>Trane de Chile S.A.</t>
        </is>
      </c>
      <c r="B2005" s="59" t="inlineStr">
        <is>
          <t>Aire Acondicionado, Arriendo de Equipos de Aire Acondicionado, Automatización y Sistemas de Control, Climatización, Enfriadores, Refrigeración Industrial, Repuestos de Aire Acondicionado, Torres de Enfriamiento</t>
        </is>
      </c>
      <c r="C2005" s="59" t="inlineStr">
        <is>
          <t>Santiago</t>
        </is>
      </c>
      <c r="D2005" s="59" t="inlineStr">
        <is>
          <t>ventas.chile@trane.com</t>
        </is>
      </c>
      <c r="E2005" s="59" t="inlineStr">
        <is>
          <t>(56) 2 2498 0100</t>
        </is>
      </c>
      <c r="F2005" s="59" t="inlineStr">
        <is>
          <t>Gonzalo Gonzalez (IT Manager Chile)</t>
        </is>
      </c>
      <c r="G2005" s="59" t="inlineStr">
        <is>
          <t>gonzalo.gonzalez@trane.com</t>
        </is>
      </c>
      <c r="H2005" s="59" t="inlineStr">
        <is>
          <t>http://www.trane.com</t>
        </is>
      </c>
      <c r="I2005" s="59" t="inlineStr">
        <is>
          <t>96.836.580-0</t>
        </is>
      </c>
      <c r="J2005" s="59" t="inlineStr">
        <is>
          <t>Investigación en Proceso</t>
        </is>
      </c>
      <c r="K2005" s="59" t="inlineStr">
        <is>
          <t>Ventas: GRANDE 3 (600.000 - 1.000.000 UF) | Empleados: 140</t>
        </is>
      </c>
      <c r="L2005" s="61" t="n"/>
      <c r="M2005" s="61" t="n"/>
      <c r="N2005" s="61" t="n"/>
      <c r="O2005" s="61" t="n"/>
      <c r="P2005" s="61" t="n"/>
      <c r="Q2005" s="62" t="n"/>
      <c r="R2005" s="61" t="n"/>
    </row>
    <row r="2006" ht="15.75" customHeight="1" s="38">
      <c r="A2006" s="66" t="inlineStr">
        <is>
          <t>Tranex Ltda.</t>
        </is>
      </c>
      <c r="B2006" s="66" t="inlineStr">
        <is>
          <t>Transporte</t>
        </is>
      </c>
      <c r="C2006" s="66" t="inlineStr">
        <is>
          <t>Santiago</t>
        </is>
      </c>
      <c r="D2006" s="66" t="inlineStr">
        <is>
          <t>contacto@tranex.cl</t>
        </is>
      </c>
      <c r="E2006" s="66" t="inlineStr">
        <is>
          <t>(56) 2 2472 6900</t>
        </is>
      </c>
      <c r="F2006" s="66" t="inlineStr">
        <is>
          <t>Gerente de TI / CIO (Director de Tecnología)</t>
        </is>
      </c>
      <c r="G2006" s="66" t="n"/>
      <c r="H2006" s="66" t="n"/>
      <c r="I2006" s="66" t="inlineStr">
        <is>
          <t>79.971.430-2</t>
        </is>
      </c>
      <c r="J2006" s="66" t="n"/>
      <c r="K2006" s="66" t="inlineStr">
        <is>
          <t>Ventas: GRANDE 4 (Mas de 1.000.000 UF) | Empleados: 372</t>
        </is>
      </c>
      <c r="L2006" s="61" t="n"/>
      <c r="M2006" s="61" t="n"/>
      <c r="N2006" s="61" t="n"/>
      <c r="O2006" s="61" t="n"/>
      <c r="P2006" s="61" t="n"/>
      <c r="Q2006" s="62" t="n"/>
      <c r="R2006" s="61" t="n"/>
    </row>
    <row r="2007" ht="15.75" customHeight="1" s="38">
      <c r="A2007" s="59" t="inlineStr">
        <is>
          <t>Transagro S.A.</t>
        </is>
      </c>
      <c r="B2007" s="59" t="inlineStr">
        <is>
          <t>Repuestos para Camiones, Repuestos para Maquinaria Pesada</t>
        </is>
      </c>
      <c r="C2007" s="59" t="inlineStr">
        <is>
          <t>Santiago</t>
        </is>
      </c>
      <c r="D2007" s="59" t="inlineStr">
        <is>
          <t>ventas@transagro.cl</t>
        </is>
      </c>
      <c r="E2007" s="59" t="inlineStr">
        <is>
          <t>(56) 2 2928 5800</t>
        </is>
      </c>
      <c r="F2007" s="59" t="inlineStr">
        <is>
          <t>Carlos Labbé (Gerente Operaciones)</t>
        </is>
      </c>
      <c r="G2007" s="59" t="n"/>
      <c r="H2007" s="59" t="n"/>
      <c r="I2007" s="59" t="inlineStr">
        <is>
          <t>96.882.280-2</t>
        </is>
      </c>
      <c r="J2007" s="59" t="inlineStr">
        <is>
          <t>Modernización Envases Industriales</t>
        </is>
      </c>
      <c r="K2007" s="59" t="inlineStr">
        <is>
          <t>Ventas: GRANDE 2 (200.000 - 600.000 UF) | Empleados: 84</t>
        </is>
      </c>
      <c r="L2007" s="61" t="n"/>
      <c r="M2007" s="61" t="n"/>
      <c r="N2007" s="61" t="n"/>
      <c r="O2007" s="61" t="n"/>
      <c r="P2007" s="61" t="n"/>
      <c r="Q2007" s="62" t="n"/>
      <c r="R2007" s="61" t="n"/>
    </row>
    <row r="2008" ht="15.75" customHeight="1" s="38">
      <c r="A2008" s="59" t="inlineStr">
        <is>
          <t>Transap S.A.</t>
        </is>
      </c>
      <c r="B2008" s="59" t="inlineStr">
        <is>
          <t>Transporte Ferroviario</t>
        </is>
      </c>
      <c r="C2008" s="59" t="inlineStr">
        <is>
          <t>Santiago</t>
        </is>
      </c>
      <c r="D2008" s="59" t="inlineStr">
        <is>
          <t>contacto@transap.cl</t>
        </is>
      </c>
      <c r="E2008" s="59" t="inlineStr">
        <is>
          <t>(56) 2 2570 2690</t>
        </is>
      </c>
      <c r="F2008" s="59" t="inlineStr">
        <is>
          <t>Jorge Ignacio Muñoz (Jefe de TI)</t>
        </is>
      </c>
      <c r="G2008" s="59" t="inlineStr">
        <is>
          <t>jmunoz@transap.cl</t>
        </is>
      </c>
      <c r="H2008" s="59" t="n"/>
      <c r="I2008" s="59" t="inlineStr">
        <is>
          <t>96.913.600-7</t>
        </is>
      </c>
      <c r="J2008" s="59" t="inlineStr">
        <is>
          <t>Modernización de Flota (Locomotoras Chinas 2025) &amp; Eficiencia Operacional</t>
        </is>
      </c>
      <c r="K2008" s="59" t="inlineStr">
        <is>
          <t>Ventas: GRANDE 4 (Mas de 1.000.000 UF) | Empleados: 191</t>
        </is>
      </c>
      <c r="L2008" s="61" t="n"/>
      <c r="M2008" s="61" t="n"/>
      <c r="N2008" s="61" t="n"/>
      <c r="O2008" s="61" t="n"/>
      <c r="P2008" s="61" t="n"/>
      <c r="Q2008" s="62" t="n"/>
      <c r="R2008" s="61" t="n"/>
    </row>
    <row r="2009" ht="15.75" customHeight="1" s="38">
      <c r="A2009" s="59" t="inlineStr">
        <is>
          <t>Transelec S.A.</t>
        </is>
      </c>
      <c r="B2009" s="59" t="inlineStr">
        <is>
          <t>Transmisión de Energía Eléctrica</t>
        </is>
      </c>
      <c r="C2009" s="59" t="inlineStr">
        <is>
          <t>Santiago</t>
        </is>
      </c>
      <c r="D2009" s="59" t="inlineStr">
        <is>
          <t>transelec@transelec.cl</t>
        </is>
      </c>
      <c r="E2009" s="59" t="inlineStr">
        <is>
          <t>(56) 2 2467 7000</t>
        </is>
      </c>
      <c r="F2009" s="59" t="inlineStr">
        <is>
          <t>Alejandro Rehbein (VP Innovación)</t>
        </is>
      </c>
      <c r="G2009" s="59" t="n"/>
      <c r="H2009" s="59" t="n"/>
      <c r="I2009" s="59" t="inlineStr">
        <is>
          <t>76.555.400-4</t>
        </is>
      </c>
      <c r="J2009" s="59" t="inlineStr">
        <is>
          <t>Red Eléctrica Digital</t>
        </is>
      </c>
      <c r="K2009" s="59" t="inlineStr">
        <is>
          <t>Ventas: GRANDE (Estimado por Empleados) | Empleados: 694</t>
        </is>
      </c>
      <c r="L2009" s="61" t="n"/>
      <c r="M2009" s="61" t="n"/>
      <c r="N2009" s="61" t="n"/>
      <c r="O2009" s="61" t="n"/>
      <c r="P2009" s="61" t="n"/>
      <c r="Q2009" s="62" t="n"/>
      <c r="R2009" s="61" t="n"/>
    </row>
    <row r="2010" ht="15.75" customHeight="1" s="38">
      <c r="A2010" s="59" t="inlineStr">
        <is>
          <t>Transformadores CH S.A.</t>
        </is>
      </c>
      <c r="B2010" s="59" t="inlineStr">
        <is>
          <t>Subestaciones Eléctricas, Transformadores para Distribución</t>
        </is>
      </c>
      <c r="C2010" s="59" t="inlineStr">
        <is>
          <t>Santiago</t>
        </is>
      </c>
      <c r="D2010" s="59" t="inlineStr">
        <is>
          <t>ventas@transformadores.cl</t>
        </is>
      </c>
      <c r="E2010" s="59" t="inlineStr">
        <is>
          <t>(56) 2 2899 4400</t>
        </is>
      </c>
      <c r="F2010" s="59" t="inlineStr">
        <is>
          <t>Rodrigo Harrison (Gerente Operaciones)</t>
        </is>
      </c>
      <c r="G2010" s="59" t="n"/>
      <c r="H2010" s="59" t="n"/>
      <c r="I2010" s="59" t="inlineStr">
        <is>
          <t>96.943.670-1</t>
        </is>
      </c>
      <c r="J2010" s="59" t="inlineStr">
        <is>
          <t>Modernización Sostenible Plantas</t>
        </is>
      </c>
      <c r="K2010" s="59" t="inlineStr">
        <is>
          <t>Ventas: GRANDE 2 (200.000 - 600.000 UF) | Empleados: 116</t>
        </is>
      </c>
      <c r="L2010" s="61" t="n"/>
      <c r="M2010" s="61" t="n"/>
      <c r="N2010" s="61" t="n"/>
      <c r="O2010" s="61" t="n"/>
      <c r="P2010" s="61" t="n"/>
      <c r="Q2010" s="62" t="n"/>
      <c r="R2010" s="61" t="n"/>
    </row>
    <row r="2011" ht="15.75" customHeight="1" s="38">
      <c r="A2011" s="66" t="inlineStr">
        <is>
          <t>Transformadores MCD Ltda.</t>
        </is>
      </c>
      <c r="B2011" s="66" t="inlineStr">
        <is>
          <t>Transformadores Eléctricos, Transformadores para Distribución</t>
        </is>
      </c>
      <c r="C2011" s="66" t="inlineStr">
        <is>
          <t>Paine</t>
        </is>
      </c>
      <c r="D2011" s="66" t="inlineStr">
        <is>
          <t>recepcion1.mcd@gmail.com</t>
        </is>
      </c>
      <c r="E2011" s="66" t="inlineStr">
        <is>
          <t>(56) 2 2824 1455</t>
        </is>
      </c>
      <c r="F2011" s="66" t="n"/>
      <c r="G2011" s="66" t="n"/>
      <c r="H2011" s="66" t="n"/>
      <c r="I2011" s="66" t="inlineStr">
        <is>
          <t>76.038.209-4</t>
        </is>
      </c>
      <c r="J2011" s="66" t="n"/>
      <c r="K2011" s="66" t="inlineStr">
        <is>
          <t>Ventas: GRANDE 1 (100.000 - 200.000 UF) | Empleados: 19</t>
        </is>
      </c>
      <c r="L2011" s="61" t="n"/>
      <c r="M2011" s="61" t="n"/>
      <c r="N2011" s="61" t="n"/>
      <c r="O2011" s="61" t="n"/>
      <c r="P2011" s="61" t="n"/>
      <c r="Q2011" s="62" t="n"/>
      <c r="R2011" s="61" t="n"/>
    </row>
    <row r="2012" ht="15.75" customHeight="1" s="38">
      <c r="A2012" s="66" t="inlineStr">
        <is>
          <t>Transformadores Mora S.A.</t>
        </is>
      </c>
      <c r="B2012" s="66" t="inlineStr">
        <is>
          <t>Transformadores Eléctricos</t>
        </is>
      </c>
      <c r="C2012" s="66" t="inlineStr">
        <is>
          <t>Santiago</t>
        </is>
      </c>
      <c r="D2012" s="66" t="inlineStr">
        <is>
          <t>ventas@transformadoresmora.cl</t>
        </is>
      </c>
      <c r="E2012" s="66" t="inlineStr">
        <is>
          <t>(56) 2 2912 1000</t>
        </is>
      </c>
      <c r="F2012" s="66" t="n"/>
      <c r="G2012" s="66" t="n"/>
      <c r="H2012" s="66" t="n"/>
      <c r="I2012" s="66" t="inlineStr">
        <is>
          <t>79.839.670-6</t>
        </is>
      </c>
      <c r="J2012" s="66" t="n"/>
      <c r="K2012" s="66" t="inlineStr">
        <is>
          <t>Ventas: PEQUEÑA 3 (10.000 - 25.000 UF) | Empleados: 6</t>
        </is>
      </c>
      <c r="L2012" s="61" t="n"/>
      <c r="M2012" s="61" t="n"/>
      <c r="N2012" s="61" t="n"/>
      <c r="O2012" s="61" t="n"/>
      <c r="P2012" s="61" t="n"/>
      <c r="Q2012" s="62" t="n"/>
      <c r="R2012" s="61" t="n"/>
    </row>
    <row r="2013" ht="15.75" customHeight="1" s="38">
      <c r="A2013" s="66" t="inlineStr">
        <is>
          <t>Transformadores Reggio</t>
        </is>
      </c>
      <c r="B2013" s="66" t="inlineStr">
        <is>
          <t>Subestaciones Eléctricas, Transformadores Eléctricos</t>
        </is>
      </c>
      <c r="C2013" s="66" t="inlineStr">
        <is>
          <t>Santiago</t>
        </is>
      </c>
      <c r="D2013" s="66" t="inlineStr">
        <is>
          <t>ventas@reggio.cl</t>
        </is>
      </c>
      <c r="E2013" s="66" t="inlineStr">
        <is>
          <t>(56) 9 2026 7709</t>
        </is>
      </c>
      <c r="F2013" s="66" t="n"/>
      <c r="G2013" s="66" t="n"/>
      <c r="H2013" s="66" t="n"/>
      <c r="I2013" s="66" t="inlineStr">
        <is>
          <t>5.081.096-8</t>
        </is>
      </c>
      <c r="J2013" s="66" t="n"/>
      <c r="K2013" s="66" t="inlineStr">
        <is>
          <t>Ventas: No en base SII | Empleados: S/I</t>
        </is>
      </c>
      <c r="L2013" s="61" t="n"/>
      <c r="M2013" s="61" t="n"/>
      <c r="N2013" s="61" t="n"/>
      <c r="O2013" s="61" t="n"/>
      <c r="P2013" s="61" t="n"/>
      <c r="Q2013" s="62" t="n"/>
      <c r="R2013" s="61" t="n"/>
    </row>
    <row r="2014" ht="15.75" customHeight="1" s="38">
      <c r="A2014" s="66" t="inlineStr">
        <is>
          <t>Transformadores Tterra</t>
        </is>
      </c>
      <c r="B2014" s="66" t="inlineStr">
        <is>
          <t>Equipos Compactos de Medida (ECM), Transformadores de Distribución y E.C.M. para Empresas Distribuidoras de Energía, Transformadores Distribución y E.C.M. para Cooperadoras Eléctricas, Transformadores Eléctricos y E.C.M. para Clientes Tarifa Libre, Transformadores Monofásicos de Distribución, Transformadores Zigzag, Reactores y E.C.M. para Empresas Generadoras de Energía, Transformadores Zigzag, Tipo PM, Seu, Elevadores, y Tipo Seco para la Minería</t>
        </is>
      </c>
      <c r="C2014" s="66" t="inlineStr">
        <is>
          <t>Santiago</t>
        </is>
      </c>
      <c r="D2014" s="66" t="inlineStr">
        <is>
          <t>info@tterra.cl</t>
        </is>
      </c>
      <c r="E2014" s="66" t="inlineStr">
        <is>
          <t>(56) 9 6387 3341</t>
        </is>
      </c>
      <c r="F2014" s="66" t="n"/>
      <c r="G2014" s="66" t="n"/>
      <c r="H2014" s="66" t="n"/>
      <c r="I2014" s="66" t="inlineStr">
        <is>
          <t>76.995.263-2</t>
        </is>
      </c>
      <c r="J2014" s="66" t="n"/>
      <c r="K2014" s="66" t="inlineStr">
        <is>
          <t>Ventas: PEQUEÑA 3 (10.000 - 25.000 UF) | Empleados: 0</t>
        </is>
      </c>
      <c r="L2014" s="61" t="n"/>
      <c r="M2014" s="61" t="n"/>
      <c r="N2014" s="61" t="n"/>
      <c r="O2014" s="61" t="n"/>
      <c r="P2014" s="61" t="n"/>
      <c r="Q2014" s="62" t="n"/>
      <c r="R2014" s="61" t="n"/>
    </row>
    <row r="2015" ht="15.75" customHeight="1" s="38">
      <c r="A2015" s="66" t="inlineStr">
        <is>
          <t>Transitmar Ltda.</t>
        </is>
      </c>
      <c r="B2015" s="66" t="inlineStr">
        <is>
          <t>Servicios de Almacenamiento y Depósito, Servicios de Carguío</t>
        </is>
      </c>
      <c r="C2015" s="66" t="inlineStr">
        <is>
          <t>Arica</t>
        </is>
      </c>
      <c r="D2015" s="66" t="inlineStr">
        <is>
          <t>tr.mar@ctcinternet.cl</t>
        </is>
      </c>
      <c r="E2015" s="66" t="inlineStr">
        <is>
          <t>(56) 58 225 6338</t>
        </is>
      </c>
      <c r="F2015" s="66" t="inlineStr">
        <is>
          <t>Gerente de TI / CIO (Director de Tecnología)</t>
        </is>
      </c>
      <c r="G2015" s="66" t="n"/>
      <c r="H2015" s="66" t="n"/>
      <c r="I2015" s="66" t="inlineStr">
        <is>
          <t>89.566.300-K</t>
        </is>
      </c>
      <c r="J2015" s="66" t="n"/>
      <c r="K2015" s="66" t="inlineStr">
        <is>
          <t>Ventas: GRANDE 3 (600.000 - 1.000.000 UF) | Empleados: 21</t>
        </is>
      </c>
      <c r="L2015" s="61" t="n"/>
      <c r="M2015" s="61" t="n"/>
      <c r="N2015" s="61" t="n"/>
      <c r="O2015" s="61" t="n"/>
      <c r="P2015" s="61" t="n"/>
      <c r="Q2015" s="62" t="n"/>
      <c r="R2015" s="61" t="n"/>
    </row>
    <row r="2016" ht="15.75" customHeight="1" s="38">
      <c r="A2016" s="66" t="inlineStr">
        <is>
          <t>Transmin South America SpA</t>
        </is>
      </c>
      <c r="B2016" s="66" t="inlineStr">
        <is>
          <t>Cargadores de Bolas, Sistemas para Transporte de Materiales</t>
        </is>
      </c>
      <c r="C2016" s="66" t="inlineStr">
        <is>
          <t>Santiago</t>
        </is>
      </c>
      <c r="D2016" s="66" t="inlineStr">
        <is>
          <t>ventas@transmin.com.au</t>
        </is>
      </c>
      <c r="E2016" s="66" t="inlineStr">
        <is>
          <t>(56) 2 2234 5623</t>
        </is>
      </c>
      <c r="F2016" s="66" t="n"/>
      <c r="G2016" s="66" t="n"/>
      <c r="H2016" s="66" t="n"/>
      <c r="I2016" s="66" t="inlineStr">
        <is>
          <t>76.001.824-4</t>
        </is>
      </c>
      <c r="J2016" s="66" t="n"/>
      <c r="K2016" s="66" t="inlineStr">
        <is>
          <t>Ventas: PEQUEÑA 1 (2.400 - 5.000 UF) | Empleados: 1</t>
        </is>
      </c>
      <c r="L2016" s="61" t="n"/>
      <c r="M2016" s="61" t="n"/>
      <c r="N2016" s="61" t="n"/>
      <c r="O2016" s="61" t="n"/>
      <c r="P2016" s="61" t="n"/>
      <c r="Q2016" s="62" t="n"/>
      <c r="R2016" s="61" t="n"/>
    </row>
    <row r="2017" ht="15.75" customHeight="1" s="38">
      <c r="A2017" s="66" t="inlineStr">
        <is>
          <t>Transporte Redvan</t>
        </is>
      </c>
      <c r="B2017" s="66" t="inlineStr">
        <is>
          <t>Transporte de Pasajeros, Transporte de Pasajeros en Buses Interurbanos, Transporte de Personal, Transporte de Personas</t>
        </is>
      </c>
      <c r="C2017" s="66" t="inlineStr">
        <is>
          <t>Santiago</t>
        </is>
      </c>
      <c r="D2017" s="66" t="inlineStr">
        <is>
          <t>administrativo@redvan.cl</t>
        </is>
      </c>
      <c r="E2017" s="66" t="inlineStr">
        <is>
          <t>(56) 9 3422 0003</t>
        </is>
      </c>
      <c r="F2017" s="66" t="inlineStr">
        <is>
          <t>Gerente de TI / CIO (Director de Tecnología)</t>
        </is>
      </c>
      <c r="G2017" s="66" t="n"/>
      <c r="H2017" s="66" t="n"/>
      <c r="I2017" s="66" t="inlineStr">
        <is>
          <t>76.815.813-4</t>
        </is>
      </c>
      <c r="J2017" s="66" t="n"/>
      <c r="K2017" s="66" t="inlineStr">
        <is>
          <t>Ventas: GRANDE 3 (600.000 - 1.000.000 UF) | Empleados: 97</t>
        </is>
      </c>
      <c r="L2017" s="61" t="n"/>
      <c r="M2017" s="61" t="n"/>
      <c r="N2017" s="61" t="n"/>
      <c r="O2017" s="61" t="n"/>
      <c r="P2017" s="61" t="n"/>
      <c r="Q2017" s="62" t="n"/>
      <c r="R2017" s="61" t="n"/>
    </row>
    <row r="2018" ht="15.75" customHeight="1" s="38">
      <c r="A2018" s="66" t="inlineStr">
        <is>
          <t>Transportes Artisa</t>
        </is>
      </c>
      <c r="B2018" s="66" t="inlineStr">
        <is>
          <t>Transporte Terrestre</t>
        </is>
      </c>
      <c r="C2018" s="66" t="inlineStr">
        <is>
          <t>Viña del Mar</t>
        </is>
      </c>
      <c r="D2018" s="66" t="inlineStr">
        <is>
          <t>info@transportesartisa.cl</t>
        </is>
      </c>
      <c r="E2018" s="66" t="inlineStr">
        <is>
          <t>(56) 9 7741 4760</t>
        </is>
      </c>
      <c r="F2018" s="66" t="inlineStr">
        <is>
          <t>Gerente de TI / CIO (Director de Tecnología)</t>
        </is>
      </c>
      <c r="G2018" s="66" t="n"/>
      <c r="H2018" s="66" t="n"/>
      <c r="I2018" s="66" t="inlineStr">
        <is>
          <t>78161690-7</t>
        </is>
      </c>
      <c r="J2018" s="66" t="n"/>
      <c r="K2018" s="66" t="inlineStr">
        <is>
          <t>Ventas: GRANDE 4 (Mas de 1.000.000 UF) | Empleados: 270</t>
        </is>
      </c>
      <c r="L2018" s="61" t="n"/>
      <c r="M2018" s="61" t="n"/>
      <c r="N2018" s="61" t="n"/>
      <c r="O2018" s="61" t="n"/>
      <c r="P2018" s="61" t="n"/>
      <c r="Q2018" s="62" t="n"/>
      <c r="R2018" s="61" t="n"/>
    </row>
    <row r="2019" ht="15.75" customHeight="1" s="38">
      <c r="A2019" s="66" t="inlineStr">
        <is>
          <t>Transportes Bello</t>
        </is>
      </c>
      <c r="B2019" s="66" t="inlineStr">
        <is>
          <t>Transporte de Carga Pesada, Transporte de Cargas Especiales</t>
        </is>
      </c>
      <c r="C2019" s="66" t="inlineStr">
        <is>
          <t>Santiago</t>
        </is>
      </c>
      <c r="D2019" s="66" t="inlineStr">
        <is>
          <t>info@transportesbello.com</t>
        </is>
      </c>
      <c r="E2019" s="66" t="inlineStr">
        <is>
          <t>(56) 2 2738 6285</t>
        </is>
      </c>
      <c r="F2019" s="66" t="n"/>
      <c r="G2019" s="66" t="n"/>
      <c r="H2019" s="66" t="n"/>
      <c r="I2019" s="66" t="inlineStr">
        <is>
          <t>88.397.100-0</t>
        </is>
      </c>
      <c r="J2019" s="66" t="n"/>
      <c r="K2019" s="66" t="inlineStr">
        <is>
          <t>Ventas: GRANDE (Estimado por Empleados) | Empleados: 445</t>
        </is>
      </c>
      <c r="L2019" s="61" t="n"/>
      <c r="M2019" s="61" t="n"/>
      <c r="N2019" s="61" t="n"/>
      <c r="O2019" s="61" t="n"/>
      <c r="P2019" s="61" t="n"/>
      <c r="Q2019" s="62" t="n"/>
      <c r="R2019" s="61" t="n"/>
    </row>
    <row r="2020" ht="15.75" customHeight="1" s="38">
      <c r="A2020" s="59" t="inlineStr">
        <is>
          <t>Transportes CVU</t>
        </is>
      </c>
      <c r="B2020" s="59" t="inlineStr">
        <is>
          <t>Transporte de Personal</t>
        </is>
      </c>
      <c r="C2020" s="59" t="inlineStr">
        <is>
          <t>Quillota</t>
        </is>
      </c>
      <c r="D2020" s="59" t="inlineStr">
        <is>
          <t>recepcion@busescvu.cl</t>
        </is>
      </c>
      <c r="E2020" s="59" t="inlineStr">
        <is>
          <t>(56) 33 233 3522</t>
        </is>
      </c>
      <c r="F2020" s="59" t="inlineStr">
        <is>
          <t>Victor Rubilar (Gerente de Proyectos (IT Decision Maker))</t>
        </is>
      </c>
      <c r="G2020" s="59" t="inlineStr">
        <is>
          <t>victor.rubilar@cvu.cl</t>
        </is>
      </c>
      <c r="H2020" s="59" t="n"/>
      <c r="I2020" s="59" t="inlineStr">
        <is>
          <t>76.031.431-5</t>
        </is>
      </c>
      <c r="J2020" s="59" t="inlineStr">
        <is>
          <t>Investigación en Proceso</t>
        </is>
      </c>
      <c r="K2020" s="59" t="inlineStr">
        <is>
          <t>Ventas: GRANDE 3 (600.000 - 1.000.000 UF) | Empleados: 145</t>
        </is>
      </c>
      <c r="L2020" s="61" t="n"/>
      <c r="M2020" s="61" t="n"/>
      <c r="N2020" s="61" t="n"/>
      <c r="O2020" s="61" t="n"/>
      <c r="P2020" s="61" t="n"/>
      <c r="Q2020" s="62" t="n"/>
      <c r="R2020" s="61" t="n"/>
    </row>
    <row r="2021" ht="15.75" customHeight="1" s="38">
      <c r="A2021" s="66" t="inlineStr">
        <is>
          <t>Transportes Ilzauspe</t>
        </is>
      </c>
      <c r="B2021" s="66" t="inlineStr">
        <is>
          <t>Transporte de Acido Sulfúrico, Transporte de Cargas Especiales</t>
        </is>
      </c>
      <c r="C2021" s="66" t="inlineStr">
        <is>
          <t>Rancagua</t>
        </is>
      </c>
      <c r="D2021" s="66" t="inlineStr">
        <is>
          <t>contacto@ilzauspe.cl</t>
        </is>
      </c>
      <c r="E2021" s="66" t="inlineStr">
        <is>
          <t>(56) 72 223 1966</t>
        </is>
      </c>
      <c r="F2021" s="66" t="n"/>
      <c r="G2021" s="66" t="n"/>
      <c r="H2021" s="66" t="n"/>
      <c r="I2021" s="66" t="inlineStr">
        <is>
          <t>78.782.700-4</t>
        </is>
      </c>
      <c r="J2021" s="66" t="n"/>
      <c r="K2021" s="66" t="inlineStr">
        <is>
          <t>Ventas: GRANDE (Estimado por Empleados) | Empleados: 770</t>
        </is>
      </c>
      <c r="L2021" s="61" t="n"/>
      <c r="M2021" s="61" t="n"/>
      <c r="N2021" s="61" t="n"/>
      <c r="O2021" s="61" t="n"/>
      <c r="P2021" s="61" t="n"/>
      <c r="Q2021" s="62" t="n"/>
      <c r="R2021" s="61" t="n"/>
    </row>
    <row r="2022" ht="15.75" customHeight="1" s="38">
      <c r="A2022" s="66" t="inlineStr">
        <is>
          <t>Transportes Nazar</t>
        </is>
      </c>
      <c r="B2022" s="66" t="inlineStr">
        <is>
          <t>Transporte Terrestre</t>
        </is>
      </c>
      <c r="C2022" s="66" t="inlineStr">
        <is>
          <t>Santiago</t>
        </is>
      </c>
      <c r="D2022" s="66" t="inlineStr">
        <is>
          <t>comunicaciones@nazar.cl</t>
        </is>
      </c>
      <c r="E2022" s="66" t="inlineStr">
        <is>
          <t>(56) 9 8500 4050</t>
        </is>
      </c>
      <c r="F2022" s="66" t="n"/>
      <c r="G2022" s="66" t="n"/>
      <c r="H2022" s="66" t="n"/>
      <c r="I2022" s="66" t="inlineStr">
        <is>
          <t>79.592.220-8</t>
        </is>
      </c>
      <c r="J2022" s="66" t="n"/>
      <c r="K2022" s="66" t="inlineStr">
        <is>
          <t>Ventas: No en base SII | Empleados: S/I</t>
        </is>
      </c>
      <c r="L2022" s="61" t="n"/>
      <c r="M2022" s="61" t="n"/>
      <c r="N2022" s="61" t="n"/>
      <c r="O2022" s="61" t="n"/>
      <c r="P2022" s="61" t="n"/>
      <c r="Q2022" s="62" t="n"/>
      <c r="R2022" s="61" t="n"/>
    </row>
    <row r="2023" ht="15.75" customHeight="1" s="38">
      <c r="A2023" s="66" t="inlineStr">
        <is>
          <t>Transportes Solución SpA</t>
        </is>
      </c>
      <c r="B2023" s="66" t="inlineStr">
        <is>
          <t>Radiotaxis, Servicios de Transporte, Transporte de Pasajeros</t>
        </is>
      </c>
      <c r="C2023" s="66" t="inlineStr">
        <is>
          <t>Santiago</t>
        </is>
      </c>
      <c r="D2023" s="66" t="inlineStr">
        <is>
          <t>comercial@gruposolucion.cl</t>
        </is>
      </c>
      <c r="E2023" s="66" t="inlineStr">
        <is>
          <t>(56) 2 2633 0101</t>
        </is>
      </c>
      <c r="F2023" s="66" t="inlineStr">
        <is>
          <t>Gerente de TI / CIO (Director de Tecnología)</t>
        </is>
      </c>
      <c r="G2023" s="66" t="n"/>
      <c r="H2023" s="66" t="n"/>
      <c r="I2023" s="66" t="inlineStr">
        <is>
          <t>76.264.093-7</t>
        </is>
      </c>
      <c r="J2023" s="66" t="n"/>
      <c r="K2023" s="66" t="inlineStr">
        <is>
          <t>Ventas: GRANDE 3 (600.000 - 1.000.000 UF) | Empleados: 19</t>
        </is>
      </c>
      <c r="L2023" s="61" t="n"/>
      <c r="M2023" s="61" t="n"/>
      <c r="N2023" s="61" t="n"/>
      <c r="O2023" s="61" t="n"/>
      <c r="P2023" s="61" t="n"/>
      <c r="Q2023" s="62" t="n"/>
      <c r="R2023" s="61" t="n"/>
    </row>
    <row r="2024" ht="15.75" customHeight="1" s="38">
      <c r="A2024" s="66" t="inlineStr">
        <is>
          <t>Transportes Taim</t>
        </is>
      </c>
      <c r="B2024" s="66" t="inlineStr">
        <is>
          <t>Transporte Terrestre</t>
        </is>
      </c>
      <c r="C2024" s="66" t="inlineStr">
        <is>
          <t>Santiago</t>
        </is>
      </c>
      <c r="D2024" s="66" t="inlineStr">
        <is>
          <t>contacto@taim.cl</t>
        </is>
      </c>
      <c r="E2024" s="66" t="inlineStr">
        <is>
          <t>(56) 9 7912 1286</t>
        </is>
      </c>
      <c r="F2024" s="66" t="n"/>
      <c r="G2024" s="66" t="n"/>
      <c r="H2024" s="66" t="n"/>
      <c r="I2024" s="66" t="inlineStr">
        <is>
          <t>76.485.225-7</t>
        </is>
      </c>
      <c r="J2024" s="66" t="n"/>
      <c r="K2024" s="66" t="inlineStr">
        <is>
          <t>Ventas: PEQUEÑA 3 (10.000 - 25.000 UF) | Empleados: 3</t>
        </is>
      </c>
      <c r="L2024" s="61" t="n"/>
      <c r="M2024" s="61" t="n"/>
      <c r="N2024" s="61" t="n"/>
      <c r="O2024" s="61" t="n"/>
      <c r="P2024" s="61" t="n"/>
      <c r="Q2024" s="62" t="n"/>
      <c r="R2024" s="61" t="n"/>
    </row>
    <row r="2025" ht="15.75" customHeight="1" s="38">
      <c r="A2025" s="66" t="inlineStr">
        <is>
          <t>Transportes Verasay</t>
        </is>
      </c>
      <c r="B2025" s="66" t="inlineStr">
        <is>
          <t>Transporte de Cargas Especiales, Transporte de Minerales</t>
        </is>
      </c>
      <c r="C2025" s="66" t="inlineStr">
        <is>
          <t>Copiapó</t>
        </is>
      </c>
      <c r="D2025" s="66" t="inlineStr">
        <is>
          <t>info@verasay.cl</t>
        </is>
      </c>
      <c r="E2025" s="66" t="inlineStr">
        <is>
          <t>(56) 52 225 6900</t>
        </is>
      </c>
      <c r="F2025" s="66" t="inlineStr">
        <is>
          <t>Gerente de TI / CIO (Director de Tecnología)</t>
        </is>
      </c>
      <c r="G2025" s="66" t="n"/>
      <c r="H2025" s="66" t="n"/>
      <c r="I2025" s="66" t="inlineStr">
        <is>
          <t>76.303.840-8</t>
        </is>
      </c>
      <c r="J2025" s="66" t="n"/>
      <c r="K2025" s="66" t="inlineStr">
        <is>
          <t>Ventas: GRANDE 4 (Mas de 1.000.000 UF) | Empleados: 439</t>
        </is>
      </c>
      <c r="L2025" s="61" t="n"/>
      <c r="M2025" s="61" t="n"/>
      <c r="N2025" s="61" t="n"/>
      <c r="O2025" s="61" t="n"/>
      <c r="P2025" s="61" t="n"/>
      <c r="Q2025" s="62" t="n"/>
      <c r="R2025" s="61" t="n"/>
    </row>
    <row r="2026" ht="15.75" customHeight="1" s="38">
      <c r="A2026" s="66" t="inlineStr">
        <is>
          <t>Transtechnique Chile Ltda.</t>
        </is>
      </c>
      <c r="B2026" s="66" t="inlineStr">
        <is>
          <t>Cadenas para Transmisión de Potencia, Rodamientos</t>
        </is>
      </c>
      <c r="C2026" s="66" t="inlineStr">
        <is>
          <t>Santiago</t>
        </is>
      </c>
      <c r="D2026" s="66" t="inlineStr">
        <is>
          <t>info@transtechnique.cl</t>
        </is>
      </c>
      <c r="E2026" s="66" t="inlineStr">
        <is>
          <t>(56) 2 2551 0660</t>
        </is>
      </c>
      <c r="F2026" s="66" t="n"/>
      <c r="G2026" s="66" t="n"/>
      <c r="H2026" s="66" t="n"/>
      <c r="I2026" s="66" t="inlineStr">
        <is>
          <t>76.022.006-K</t>
        </is>
      </c>
      <c r="J2026" s="66" t="n"/>
      <c r="K2026" s="66" t="inlineStr">
        <is>
          <t>Ventas: MEDIANA 1 (25.000 - 50.000 UF) | Empleados: 5</t>
        </is>
      </c>
      <c r="L2026" s="61" t="n"/>
      <c r="M2026" s="61" t="n"/>
      <c r="N2026" s="61" t="n"/>
      <c r="O2026" s="61" t="n"/>
      <c r="P2026" s="61" t="n"/>
      <c r="Q2026" s="62" t="n"/>
      <c r="R2026" s="61" t="n"/>
    </row>
    <row r="2027" ht="15.75" customHeight="1" s="38">
      <c r="A2027" s="66" t="inlineStr">
        <is>
          <t>Transupport Ergonomía en Salud Ocupacional</t>
        </is>
      </c>
      <c r="B2027" s="66" t="inlineStr">
        <is>
          <t>Cubiertas para Correas Transportadoras</t>
        </is>
      </c>
      <c r="C2027" s="66" t="inlineStr">
        <is>
          <t>El Monte</t>
        </is>
      </c>
      <c r="D2027" s="66" t="n"/>
      <c r="E2027" s="66" t="inlineStr">
        <is>
          <t>(56) 2 2532 9235</t>
        </is>
      </c>
      <c r="F2027" s="66" t="n"/>
      <c r="G2027" s="66" t="n"/>
      <c r="H2027" s="66" t="n"/>
      <c r="I2027" s="66" t="inlineStr">
        <is>
          <t>76.485.816-6</t>
        </is>
      </c>
      <c r="J2027" s="66" t="n"/>
      <c r="K2027" s="66" t="inlineStr">
        <is>
          <t>Ventas: PEQUEÑA 2 (5.000 - 10.000 UF) | Empleados: 9</t>
        </is>
      </c>
      <c r="L2027" s="61" t="n"/>
      <c r="M2027" s="61" t="n"/>
      <c r="N2027" s="61" t="n"/>
      <c r="O2027" s="61" t="n"/>
      <c r="P2027" s="61" t="n"/>
      <c r="Q2027" s="62" t="n"/>
      <c r="R2027" s="61" t="n"/>
    </row>
    <row r="2028" ht="15.75" customHeight="1" s="38">
      <c r="A2028" s="66" t="inlineStr">
        <is>
          <t>Transviba</t>
        </is>
      </c>
      <c r="B2028" s="66" t="inlineStr">
        <is>
          <t>Servicios de Transportes</t>
        </is>
      </c>
      <c r="C2028" s="66" t="inlineStr">
        <is>
          <t>Antofagasta</t>
        </is>
      </c>
      <c r="D2028" s="66" t="inlineStr">
        <is>
          <t>contacto@transviba.cl</t>
        </is>
      </c>
      <c r="E2028" s="66" t="inlineStr">
        <is>
          <t>(56) 9 6668 5150</t>
        </is>
      </c>
      <c r="F2028" s="66" t="n"/>
      <c r="G2028" s="66" t="n"/>
      <c r="H2028" s="66" t="n"/>
      <c r="I2028" s="66" t="inlineStr">
        <is>
          <t>76622338-9</t>
        </is>
      </c>
      <c r="J2028" s="66" t="n"/>
      <c r="K2028" s="66" t="inlineStr">
        <is>
          <t>Ventas: PEQUEÑA 3 (10.000 - 25.000 UF) | Empleados: 3</t>
        </is>
      </c>
      <c r="L2028" s="61" t="n"/>
      <c r="M2028" s="61" t="n"/>
      <c r="N2028" s="61" t="n"/>
      <c r="O2028" s="61" t="n"/>
      <c r="P2028" s="61" t="n"/>
      <c r="Q2028" s="62" t="n"/>
      <c r="R2028" s="61" t="n"/>
    </row>
    <row r="2029" ht="15.75" customHeight="1" s="38">
      <c r="A2029" s="66" t="inlineStr">
        <is>
          <t>Transvidal</t>
        </is>
      </c>
      <c r="B2029" s="66" t="inlineStr">
        <is>
          <t>Transporte de Carga Pesada, Transporte Internacional</t>
        </is>
      </c>
      <c r="C2029" s="66" t="inlineStr">
        <is>
          <t>Valparaíso</t>
        </is>
      </c>
      <c r="D2029" s="66" t="inlineStr">
        <is>
          <t>hvidal@transvidal.cl</t>
        </is>
      </c>
      <c r="E2029" s="66" t="inlineStr">
        <is>
          <t>(56) 32 229 2579</t>
        </is>
      </c>
      <c r="F2029" s="66" t="n"/>
      <c r="G2029" s="66" t="n"/>
      <c r="H2029" s="66" t="n"/>
      <c r="I2029" s="66" t="inlineStr">
        <is>
          <t>77.480.740-3</t>
        </is>
      </c>
      <c r="J2029" s="66" t="n"/>
      <c r="K2029" s="66" t="inlineStr">
        <is>
          <t>Ventas: GRANDE 1 (100.000 - 200.000 UF) | Empleados: 42</t>
        </is>
      </c>
      <c r="L2029" s="61" t="n"/>
      <c r="M2029" s="61" t="n"/>
      <c r="N2029" s="61" t="n"/>
      <c r="O2029" s="61" t="n"/>
      <c r="P2029" s="61" t="n"/>
      <c r="Q2029" s="62" t="n"/>
      <c r="R2029" s="61" t="n"/>
    </row>
    <row r="2030" ht="15.75" customHeight="1" s="38">
      <c r="A2030" s="66" t="inlineStr">
        <is>
          <t>Transvip</t>
        </is>
      </c>
      <c r="B2030" s="66" t="inlineStr">
        <is>
          <t>Radiotaxis, Transporte de Pasajeros, Transporte de Valijas</t>
        </is>
      </c>
      <c r="C2030" s="66" t="inlineStr">
        <is>
          <t>Santiago</t>
        </is>
      </c>
      <c r="D2030" s="66" t="inlineStr">
        <is>
          <t>andrea.velasquez@transvip.cl</t>
        </is>
      </c>
      <c r="E2030" s="66" t="inlineStr">
        <is>
          <t>(56) 2 2677 3000</t>
        </is>
      </c>
      <c r="F2030" s="66" t="n"/>
      <c r="G2030" s="66" t="n"/>
      <c r="H2030" s="66" t="n"/>
      <c r="I2030" s="66" t="inlineStr">
        <is>
          <t>76.102.176-1</t>
        </is>
      </c>
      <c r="J2030" s="66" t="n"/>
      <c r="K2030" s="66" t="inlineStr">
        <is>
          <t>Ventas: GRANDE (Estimado por Empleados) | Empleados: 462</t>
        </is>
      </c>
      <c r="L2030" s="61" t="n"/>
      <c r="M2030" s="61" t="n"/>
      <c r="N2030" s="61" t="n"/>
      <c r="O2030" s="61" t="n"/>
      <c r="P2030" s="61" t="n"/>
      <c r="Q2030" s="62" t="n"/>
      <c r="R2030" s="61" t="n"/>
    </row>
    <row r="2031" ht="15.75" customHeight="1" s="38">
      <c r="A2031" s="59" t="inlineStr">
        <is>
          <t>Transworld Chile</t>
        </is>
      </c>
      <c r="B2031" s="59" t="inlineStr">
        <is>
          <t>Cableado Estructurado, Redes de Comunicación</t>
        </is>
      </c>
      <c r="C2031" s="59" t="inlineStr">
        <is>
          <t>Santiago</t>
        </is>
      </c>
      <c r="D2031" s="59" t="inlineStr">
        <is>
          <t>hsanchez@transworld.cl</t>
        </is>
      </c>
      <c r="E2031" s="59" t="inlineStr">
        <is>
          <t>(56) 2 2760 4100</t>
        </is>
      </c>
      <c r="F2031" s="59" t="inlineStr">
        <is>
          <t>Williams Araya (Gerente de Tecnología)</t>
        </is>
      </c>
      <c r="G2031" s="59" t="inlineStr">
        <is>
          <t>williams.araya@transworld.cl</t>
        </is>
      </c>
      <c r="H2031" s="59" t="n"/>
      <c r="I2031" s="59" t="inlineStr">
        <is>
          <t>96.755.110-4</t>
        </is>
      </c>
      <c r="J2031" s="59" t="inlineStr">
        <is>
          <t>Investigación en Proceso</t>
        </is>
      </c>
      <c r="K2031" s="59" t="inlineStr">
        <is>
          <t>Ventas: GRANDE 3 (600.000 - 1.000.000 UF) | Empleados: 62</t>
        </is>
      </c>
      <c r="L2031" s="61" t="n"/>
      <c r="M2031" s="61" t="n"/>
      <c r="N2031" s="61" t="n"/>
      <c r="O2031" s="61" t="n"/>
      <c r="P2031" s="61" t="n"/>
      <c r="Q2031" s="62" t="n"/>
      <c r="R2031" s="61" t="n"/>
    </row>
    <row r="2032" ht="15.75" customHeight="1" s="38">
      <c r="A2032" s="66" t="inlineStr">
        <is>
          <t>Travel Norte SpA</t>
        </is>
      </c>
      <c r="B2032" s="66" t="inlineStr">
        <is>
          <t>Servicios de Transporte para Trabajadores, Transporte de Pasajeros en Buses Interurbanos, Transporte de Personal, Transporte para la Minería</t>
        </is>
      </c>
      <c r="C2032" s="66" t="inlineStr">
        <is>
          <t>Santiago</t>
        </is>
      </c>
      <c r="D2032" s="66" t="inlineStr">
        <is>
          <t>travelnortespa@gmail.com</t>
        </is>
      </c>
      <c r="E2032" s="66" t="inlineStr">
        <is>
          <t>(56) 9 7766 3738</t>
        </is>
      </c>
      <c r="F2032" s="66" t="n"/>
      <c r="G2032" s="66" t="n"/>
      <c r="H2032" s="66" t="inlineStr">
        <is>
          <t>http://www.travelnorte.cl</t>
        </is>
      </c>
      <c r="I2032" s="66" t="inlineStr">
        <is>
          <t>77.523.516-0</t>
        </is>
      </c>
      <c r="J2032" s="66" t="n"/>
      <c r="K2032" s="66" t="inlineStr">
        <is>
          <t>Ventas: MEDIANA 1 (25.000 - 50.000 UF) | Empleados: 11</t>
        </is>
      </c>
      <c r="L2032" s="61" t="n"/>
      <c r="M2032" s="61" t="n"/>
      <c r="N2032" s="61" t="n"/>
      <c r="O2032" s="61" t="n"/>
      <c r="P2032" s="61" t="n"/>
      <c r="Q2032" s="62" t="n"/>
      <c r="R2032" s="61" t="n"/>
    </row>
    <row r="2033" ht="15.75" customHeight="1" s="38">
      <c r="A2033" s="66" t="inlineStr">
        <is>
          <t>Trazado Nuclear</t>
        </is>
      </c>
      <c r="B2033" s="66" t="inlineStr">
        <is>
          <t>Caracterización de Soluciones en Procesos de Lixiviación, Contrastación de Caudal en Ductos Cerrados, Determinación de la Distribución de Tiempos de Residencia (DTR), Determinación del Comportamiento Hidrodinámico de Celdas de Flotación, Distribución de Flujos en Circuitos de Molienda, Distribución de Tiempos de Residencia de Sólidos, Líquidos y Gases</t>
        </is>
      </c>
      <c r="C2033" s="66" t="n"/>
      <c r="D2033" s="66" t="inlineStr">
        <is>
          <t>fdiaz@trazadonuclear.cl</t>
        </is>
      </c>
      <c r="E2033" s="66" t="inlineStr">
        <is>
          <t>(56) 9 9490 4395</t>
        </is>
      </c>
      <c r="F2033" s="66" t="n"/>
      <c r="G2033" s="66" t="n"/>
      <c r="H2033" s="66" t="n"/>
      <c r="I2033" s="66" t="inlineStr">
        <is>
          <t>76.233.587-5</t>
        </is>
      </c>
      <c r="J2033" s="66" t="n"/>
      <c r="K2033" s="66" t="inlineStr">
        <is>
          <t>Ventas: MEDIANA 1 (25.000 - 50.000 UF) | Empleados: 11</t>
        </is>
      </c>
      <c r="L2033" s="61" t="n"/>
      <c r="M2033" s="61" t="n"/>
      <c r="N2033" s="61" t="n"/>
      <c r="O2033" s="61" t="n"/>
      <c r="P2033" s="61" t="n"/>
      <c r="Q2033" s="62" t="n"/>
      <c r="R2033" s="61" t="n"/>
    </row>
    <row r="2034" ht="15.75" customHeight="1" s="38">
      <c r="A2034" s="66" t="inlineStr">
        <is>
          <t>Treck S.A.</t>
        </is>
      </c>
      <c r="B2034" s="66" t="inlineStr">
        <is>
          <t>Artículos para Seguridad, Botas de Goma para Seguridad</t>
        </is>
      </c>
      <c r="C2034" s="66" t="inlineStr">
        <is>
          <t>Santiago</t>
        </is>
      </c>
      <c r="D2034" s="66" t="inlineStr">
        <is>
          <t>compraenlinea@treck.cl</t>
        </is>
      </c>
      <c r="E2034" s="66" t="inlineStr">
        <is>
          <t>(56) 2 2490 9910</t>
        </is>
      </c>
      <c r="F2034" s="66" t="n"/>
      <c r="G2034" s="66" t="n"/>
      <c r="H2034" s="66" t="n"/>
      <c r="I2034" s="66" t="inlineStr">
        <is>
          <t>96.542.490-3</t>
        </is>
      </c>
      <c r="J2034" s="66" t="n"/>
      <c r="K2034" s="66" t="inlineStr">
        <is>
          <t>Ventas: GRANDE (Estimado por Empleados) | Empleados: 639</t>
        </is>
      </c>
      <c r="L2034" s="61" t="n"/>
      <c r="M2034" s="61" t="n"/>
      <c r="N2034" s="61" t="n"/>
      <c r="O2034" s="61" t="n"/>
      <c r="P2034" s="61" t="n"/>
      <c r="Q2034" s="62" t="n"/>
      <c r="R2034" s="61" t="n"/>
    </row>
    <row r="2035" ht="15.75" customHeight="1" s="38">
      <c r="A2035" s="66" t="inlineStr">
        <is>
          <t>Trefilación Cabañas Ltda.</t>
        </is>
      </c>
      <c r="B2035" s="66" t="inlineStr">
        <is>
          <t>Alambres, Trefilado de Alambres</t>
        </is>
      </c>
      <c r="C2035" s="66" t="inlineStr">
        <is>
          <t>Santiago</t>
        </is>
      </c>
      <c r="D2035" s="66" t="inlineStr">
        <is>
          <t>contacto@trefilacion.cl</t>
        </is>
      </c>
      <c r="E2035" s="66" t="inlineStr">
        <is>
          <t>(56) 2 2521 4598</t>
        </is>
      </c>
      <c r="F2035" s="66" t="n"/>
      <c r="G2035" s="66" t="n"/>
      <c r="H2035" s="66" t="n"/>
      <c r="I2035" s="66" t="inlineStr">
        <is>
          <t>83.875.500-3</t>
        </is>
      </c>
      <c r="J2035" s="66" t="n"/>
      <c r="K2035" s="66" t="inlineStr">
        <is>
          <t>Ventas: MICRO 1 (0.01 - 200 UF) | Empleados: 6</t>
        </is>
      </c>
      <c r="L2035" s="61" t="n"/>
      <c r="M2035" s="61" t="n"/>
      <c r="N2035" s="61" t="n"/>
      <c r="O2035" s="61" t="n"/>
      <c r="P2035" s="61" t="n"/>
      <c r="Q2035" s="62" t="n"/>
      <c r="R2035" s="61" t="n"/>
    </row>
    <row r="2036" ht="15.75" customHeight="1" s="38">
      <c r="A2036" s="59" t="inlineStr">
        <is>
          <t>Trefimet S.A.</t>
        </is>
      </c>
      <c r="B2036" s="59" t="inlineStr">
        <is>
          <t>Tubos de Acero</t>
        </is>
      </c>
      <c r="C2036" s="59" t="inlineStr">
        <is>
          <t>Santiago</t>
        </is>
      </c>
      <c r="D2036" s="59" t="inlineStr">
        <is>
          <t>contacto@trefimet.cl</t>
        </is>
      </c>
      <c r="E2036" s="59" t="inlineStr">
        <is>
          <t>(56) 9 8195 2015</t>
        </is>
      </c>
      <c r="F2036" s="59" t="inlineStr">
        <is>
          <t>Sergio Ormeño Muñoz (Subgerente Mejora Continua y TI)</t>
        </is>
      </c>
      <c r="G2036" s="59" t="n"/>
      <c r="H2036" s="59" t="n"/>
      <c r="I2036" s="59" t="inlineStr">
        <is>
          <t>79.536.120-0</t>
        </is>
      </c>
      <c r="J2036" s="59" t="inlineStr">
        <is>
          <t>Digitalización Procesos Operacionales</t>
        </is>
      </c>
      <c r="K2036" s="59" t="inlineStr">
        <is>
          <t>Ventas: GRANDE 2 (200.000 - 600.000 UF) | Empleados: 36</t>
        </is>
      </c>
      <c r="L2036" s="61" t="n"/>
      <c r="M2036" s="61" t="n"/>
      <c r="N2036" s="61" t="n"/>
      <c r="O2036" s="61" t="n"/>
      <c r="P2036" s="61" t="n"/>
      <c r="Q2036" s="62" t="n"/>
      <c r="R2036" s="61" t="n"/>
    </row>
    <row r="2037" ht="15.75" customHeight="1" s="38">
      <c r="A2037" s="66" t="inlineStr">
        <is>
          <t>Trek Rental</t>
        </is>
      </c>
      <c r="B2037" s="66" t="inlineStr">
        <is>
          <t>Arriendo de Camiones</t>
        </is>
      </c>
      <c r="C2037" s="66" t="inlineStr">
        <is>
          <t>Santiago</t>
        </is>
      </c>
      <c r="D2037" s="66" t="inlineStr">
        <is>
          <t>proveedores@trekrental.cl</t>
        </is>
      </c>
      <c r="E2037" s="66" t="inlineStr">
        <is>
          <t>(56) 2 3203 5240</t>
        </is>
      </c>
      <c r="F2037" s="66" t="n"/>
      <c r="G2037" s="66" t="n"/>
      <c r="H2037" s="66" t="n"/>
      <c r="I2037" s="66" t="inlineStr">
        <is>
          <t>77.545.580-2</t>
        </is>
      </c>
      <c r="J2037" s="66" t="n"/>
      <c r="K2037" s="66" t="inlineStr">
        <is>
          <t>Ventas: GRANDE (Estimado por Empleados) | Empleados: 624</t>
        </is>
      </c>
      <c r="L2037" s="61" t="n"/>
      <c r="M2037" s="61" t="n"/>
      <c r="N2037" s="61" t="n"/>
      <c r="O2037" s="61" t="n"/>
      <c r="P2037" s="61" t="n"/>
      <c r="Q2037" s="62" t="n"/>
      <c r="R2037" s="61" t="n"/>
    </row>
    <row r="2038" ht="15.75" customHeight="1" s="38">
      <c r="A2038" s="66" t="inlineStr">
        <is>
          <t>Tremac</t>
        </is>
      </c>
      <c r="B2038" s="66" t="inlineStr">
        <is>
          <t>Remolques y Semiremolques, Tolvas</t>
        </is>
      </c>
      <c r="C2038" s="66" t="inlineStr">
        <is>
          <t>Santiago</t>
        </is>
      </c>
      <c r="D2038" s="66" t="inlineStr">
        <is>
          <t>asistenteventas@tremac.cl</t>
        </is>
      </c>
      <c r="E2038" s="66" t="inlineStr">
        <is>
          <t>(56) 2 2591 7000</t>
        </is>
      </c>
      <c r="F2038" s="66" t="n"/>
      <c r="G2038" s="66" t="n"/>
      <c r="H2038" s="66" t="n"/>
      <c r="I2038" s="66" t="inlineStr">
        <is>
          <t>96.863.260-4</t>
        </is>
      </c>
      <c r="J2038" s="66" t="n"/>
      <c r="K2038" s="66" t="inlineStr">
        <is>
          <t>Ventas: GRANDE (Estimado por Empleados) | Empleados: 405</t>
        </is>
      </c>
      <c r="L2038" s="61" t="n"/>
      <c r="M2038" s="61" t="n"/>
      <c r="N2038" s="61" t="n"/>
      <c r="O2038" s="61" t="n"/>
      <c r="P2038" s="61" t="n"/>
      <c r="Q2038" s="62" t="n"/>
      <c r="R2038" s="61" t="n"/>
    </row>
    <row r="2039" ht="15.75" customHeight="1" s="38">
      <c r="A2039" s="66" t="inlineStr">
        <is>
          <t>Trent</t>
        </is>
      </c>
      <c r="B2039" s="66" t="inlineStr">
        <is>
          <t>Aislantes Eléctricos, Productos Eléctricos</t>
        </is>
      </c>
      <c r="C2039" s="66" t="inlineStr">
        <is>
          <t>Santiago</t>
        </is>
      </c>
      <c r="D2039" s="66" t="inlineStr">
        <is>
          <t>contacto@trent.cl</t>
        </is>
      </c>
      <c r="E2039" s="66" t="inlineStr">
        <is>
          <t>(56) 2 2775 0700</t>
        </is>
      </c>
      <c r="F2039" s="66" t="n"/>
      <c r="G2039" s="66" t="n"/>
      <c r="H2039" s="66" t="n"/>
      <c r="I2039" s="66" t="inlineStr">
        <is>
          <t>77.124.800-4</t>
        </is>
      </c>
      <c r="J2039" s="66" t="n"/>
      <c r="K2039" s="66" t="inlineStr">
        <is>
          <t>Ventas: GRANDE 2 (200.000 - 600.000 UF) | Empleados: 48</t>
        </is>
      </c>
      <c r="L2039" s="61" t="n"/>
      <c r="M2039" s="61" t="n"/>
      <c r="N2039" s="61" t="n"/>
      <c r="O2039" s="61" t="n"/>
      <c r="P2039" s="61" t="n"/>
      <c r="Q2039" s="62" t="n"/>
      <c r="R2039" s="61" t="n"/>
    </row>
    <row r="2040" ht="15.75" customHeight="1" s="38">
      <c r="A2040" s="66" t="inlineStr">
        <is>
          <t>Tres60</t>
        </is>
      </c>
      <c r="B2040" s="66" t="inlineStr">
        <is>
          <t>Servicios de Continuidad Operacional, Soporte Tecnologías de Flota</t>
        </is>
      </c>
      <c r="C2040" s="66" t="inlineStr">
        <is>
          <t>Santiago</t>
        </is>
      </c>
      <c r="D2040" s="66" t="inlineStr">
        <is>
          <t>info@tres60.cl</t>
        </is>
      </c>
      <c r="E2040" s="66" t="inlineStr">
        <is>
          <t>(56) 2 3262 6506</t>
        </is>
      </c>
      <c r="F2040" s="66" t="n"/>
      <c r="G2040" s="66" t="n"/>
      <c r="H2040" s="66" t="n"/>
      <c r="I2040" s="66" t="inlineStr">
        <is>
          <t>76909874-7</t>
        </is>
      </c>
      <c r="J2040" s="66" t="n"/>
      <c r="K2040" s="66" t="inlineStr">
        <is>
          <t>Ventas: MICRO 1 (0.01 - 200 UF) | Empleados: 0</t>
        </is>
      </c>
      <c r="L2040" s="61" t="n"/>
      <c r="M2040" s="61" t="n"/>
      <c r="N2040" s="61" t="n"/>
      <c r="O2040" s="61" t="n"/>
      <c r="P2040" s="61" t="n"/>
      <c r="Q2040" s="62" t="n"/>
      <c r="R2040" s="61" t="n"/>
    </row>
    <row r="2041" ht="15.75" customHeight="1" s="38">
      <c r="A2041" s="66" t="inlineStr">
        <is>
          <t>Treulen y Cía. Ltda.</t>
        </is>
      </c>
      <c r="B2041" s="66" t="inlineStr">
        <is>
          <t>Productos para Procesos Mineros, Repuestos para Maquinaria Minera</t>
        </is>
      </c>
      <c r="C2041" s="66" t="inlineStr">
        <is>
          <t>Santiago</t>
        </is>
      </c>
      <c r="D2041" s="66" t="inlineStr">
        <is>
          <t>ftreulen@treulen.cl</t>
        </is>
      </c>
      <c r="E2041" s="66" t="inlineStr">
        <is>
          <t>(56) 2 2778 8300</t>
        </is>
      </c>
      <c r="F2041" s="66" t="n"/>
      <c r="G2041" s="66" t="n"/>
      <c r="H2041" s="66" t="n"/>
      <c r="I2041" s="66" t="inlineStr">
        <is>
          <t>77.779.660-7</t>
        </is>
      </c>
      <c r="J2041" s="66" t="n"/>
      <c r="K2041" s="66" t="inlineStr">
        <is>
          <t>Ventas: MEDIANA 2 (50.000 - 100.000 UF) | Empleados: 21</t>
        </is>
      </c>
      <c r="L2041" s="61" t="n"/>
      <c r="M2041" s="61" t="n"/>
      <c r="N2041" s="61" t="n"/>
      <c r="O2041" s="61" t="n"/>
      <c r="P2041" s="61" t="n"/>
      <c r="Q2041" s="62" t="n"/>
      <c r="R2041" s="61" t="n"/>
    </row>
    <row r="2042" ht="15.75" customHeight="1" s="38">
      <c r="A2042" s="66" t="inlineStr">
        <is>
          <t>Triconos Mineros</t>
        </is>
      </c>
      <c r="B2042" s="66" t="inlineStr">
        <is>
          <t>Equipos para Perforación</t>
        </is>
      </c>
      <c r="C2042" s="66" t="inlineStr">
        <is>
          <t>Santiago</t>
        </is>
      </c>
      <c r="D2042" s="66" t="inlineStr">
        <is>
          <t>contacto@triconosmineros.cl</t>
        </is>
      </c>
      <c r="E2042" s="66" t="inlineStr">
        <is>
          <t>(56) 2 2321 2066</t>
        </is>
      </c>
      <c r="F2042" s="66" t="n"/>
      <c r="G2042" s="66" t="n"/>
      <c r="H2042" s="66" t="n"/>
      <c r="I2042" s="66" t="inlineStr">
        <is>
          <t>93.663.000-6</t>
        </is>
      </c>
      <c r="J2042" s="66" t="n"/>
      <c r="K2042" s="66" t="inlineStr">
        <is>
          <t>Ventas: No en base SII | Empleados: S/I</t>
        </is>
      </c>
      <c r="L2042" s="61" t="n"/>
      <c r="M2042" s="61" t="n"/>
      <c r="N2042" s="61" t="n"/>
      <c r="O2042" s="61" t="n"/>
      <c r="P2042" s="61" t="n"/>
      <c r="Q2042" s="62" t="n"/>
      <c r="R2042" s="61" t="n"/>
    </row>
    <row r="2043" ht="15.75" customHeight="1" s="38">
      <c r="A2043" s="66" t="inlineStr">
        <is>
          <t>Trile</t>
        </is>
      </c>
      <c r="B2043" s="66" t="inlineStr">
        <is>
          <t>Bombas, Válvulas</t>
        </is>
      </c>
      <c r="C2043" s="66" t="inlineStr">
        <is>
          <t>Antofagasta</t>
        </is>
      </c>
      <c r="D2043" s="66" t="n"/>
      <c r="E2043" s="66" t="inlineStr">
        <is>
          <t>(56) 55 289 2090</t>
        </is>
      </c>
      <c r="F2043" s="66" t="n"/>
      <c r="G2043" s="66" t="n"/>
      <c r="H2043" s="66" t="n"/>
      <c r="I2043" s="66" t="inlineStr">
        <is>
          <t>76995600-K</t>
        </is>
      </c>
      <c r="J2043" s="66" t="n"/>
      <c r="K2043" s="66" t="inlineStr">
        <is>
          <t>Ventas: MICRO 1 (0.01 - 200 UF) | Empleados: 0</t>
        </is>
      </c>
      <c r="L2043" s="61" t="n"/>
      <c r="M2043" s="61" t="n"/>
      <c r="N2043" s="61" t="n"/>
      <c r="O2043" s="61" t="n"/>
      <c r="P2043" s="61" t="n"/>
      <c r="Q2043" s="62" t="n"/>
      <c r="R2043" s="61" t="n"/>
    </row>
    <row r="2044" ht="15.75" customHeight="1" s="38">
      <c r="A2044" s="66" t="inlineStr">
        <is>
          <t>Trina Solar Chile</t>
        </is>
      </c>
      <c r="B2044" s="66" t="inlineStr">
        <is>
          <t>Equipos Fotovoltaicos</t>
        </is>
      </c>
      <c r="C2044" s="66" t="inlineStr">
        <is>
          <t>Santiago</t>
        </is>
      </c>
      <c r="D2044" s="66" t="inlineStr">
        <is>
          <t>mkt@trinasolar.com</t>
        </is>
      </c>
      <c r="E2044" s="66" t="inlineStr">
        <is>
          <t>(56) 2 2594 7586</t>
        </is>
      </c>
      <c r="F2044" s="66" t="n"/>
      <c r="G2044" s="66" t="n"/>
      <c r="H2044" s="66" t="n"/>
      <c r="I2044" s="66" t="inlineStr">
        <is>
          <t>76238435-3</t>
        </is>
      </c>
      <c r="J2044" s="66" t="n"/>
      <c r="K2044" s="66" t="inlineStr">
        <is>
          <t>Ventas: GRANDE 1 (100.000 - 200.000 UF) | Empleados: 27</t>
        </is>
      </c>
      <c r="L2044" s="61" t="n"/>
      <c r="M2044" s="61" t="n"/>
      <c r="N2044" s="61" t="n"/>
      <c r="O2044" s="61" t="n"/>
      <c r="P2044" s="61" t="n"/>
      <c r="Q2044" s="62" t="n"/>
      <c r="R2044" s="61" t="n"/>
    </row>
    <row r="2045" ht="15.75" customHeight="1" s="38">
      <c r="A2045" s="66" t="inlineStr">
        <is>
          <t>Triple C International Suppliers</t>
        </is>
      </c>
      <c r="B2045" s="66" t="inlineStr">
        <is>
          <t>Suministro de Repuestos y Componentes OEM</t>
        </is>
      </c>
      <c r="C2045" s="66" t="inlineStr">
        <is>
          <t>Santiago</t>
        </is>
      </c>
      <c r="D2045" s="66" t="inlineStr">
        <is>
          <t>sfritz@triplecinternational.com</t>
        </is>
      </c>
      <c r="E2045" s="66" t="inlineStr">
        <is>
          <t>(56) 9 8999 8287</t>
        </is>
      </c>
      <c r="F2045" s="66" t="inlineStr">
        <is>
          <t>Gerente de TI / CIO (Director de Tecnología)</t>
        </is>
      </c>
      <c r="G2045" s="66" t="n"/>
      <c r="H2045" s="66" t="n"/>
      <c r="I2045" s="66" t="inlineStr">
        <is>
          <t>76.009.782-9</t>
        </is>
      </c>
      <c r="J2045" s="66" t="n"/>
      <c r="K2045" s="66" t="inlineStr">
        <is>
          <t>Ventas: GRANDE 3 (600.000 - 1.000.000 UF) | Empleados: 12</t>
        </is>
      </c>
      <c r="L2045" s="61" t="n"/>
      <c r="M2045" s="61" t="n"/>
      <c r="N2045" s="61" t="n"/>
      <c r="O2045" s="61" t="n"/>
      <c r="P2045" s="61" t="n"/>
      <c r="Q2045" s="62" t="n"/>
      <c r="R2045" s="61" t="n"/>
    </row>
    <row r="2046" ht="15.75" customHeight="1" s="38">
      <c r="A2046" s="66" t="inlineStr">
        <is>
          <t>Tripontis Ltda.</t>
        </is>
      </c>
      <c r="B2046" s="66" t="inlineStr">
        <is>
          <t>Consultoría en Gestión Empresarial</t>
        </is>
      </c>
      <c r="C2046" s="66" t="inlineStr">
        <is>
          <t>Santiago</t>
        </is>
      </c>
      <c r="D2046" s="66" t="inlineStr">
        <is>
          <t>info@tripontis.com</t>
        </is>
      </c>
      <c r="E2046" s="66" t="inlineStr">
        <is>
          <t>(56) 2 2426 8515</t>
        </is>
      </c>
      <c r="F2046" s="66" t="n"/>
      <c r="G2046" s="66" t="n"/>
      <c r="H2046" s="66" t="n"/>
      <c r="I2046" s="66" t="inlineStr">
        <is>
          <t>76.088.988-1</t>
        </is>
      </c>
      <c r="J2046" s="66" t="n"/>
      <c r="K2046" s="66" t="inlineStr">
        <is>
          <t>Ventas: MEDIANA 2 (50.000 - 100.000 UF) | Empleados: 7</t>
        </is>
      </c>
      <c r="L2046" s="61" t="n"/>
      <c r="M2046" s="61" t="n"/>
      <c r="N2046" s="61" t="n"/>
      <c r="O2046" s="61" t="n"/>
      <c r="P2046" s="61" t="n"/>
      <c r="Q2046" s="62" t="n"/>
      <c r="R2046" s="61" t="n"/>
    </row>
    <row r="2047" ht="15.75" customHeight="1" s="38">
      <c r="A2047" s="66" t="inlineStr">
        <is>
          <t>Tritec-Intervento SpA</t>
        </is>
      </c>
      <c r="B2047" s="66" t="inlineStr">
        <is>
          <t>Desarrollo de Energía Solar Fotovoltaica</t>
        </is>
      </c>
      <c r="C2047" s="66" t="inlineStr">
        <is>
          <t>Santiago</t>
        </is>
      </c>
      <c r="D2047" s="66" t="inlineStr">
        <is>
          <t>contacto@tritec-intervento.cl</t>
        </is>
      </c>
      <c r="E2047" s="66" t="inlineStr">
        <is>
          <t>(56) 2 3202 6494</t>
        </is>
      </c>
      <c r="F2047" s="66" t="inlineStr">
        <is>
          <t>Gerente de TI / CIO (Director de Tecnología)</t>
        </is>
      </c>
      <c r="G2047" s="66" t="n"/>
      <c r="H2047" s="66" t="n"/>
      <c r="I2047" s="66" t="inlineStr">
        <is>
          <t>76188578-2</t>
        </is>
      </c>
      <c r="J2047" s="66" t="n"/>
      <c r="K2047" s="66" t="inlineStr">
        <is>
          <t>Ventas: GRANDE 4 (Mas de 1.000.000 UF) | Empleados: 157</t>
        </is>
      </c>
      <c r="L2047" s="61" t="n"/>
      <c r="M2047" s="61" t="n"/>
      <c r="N2047" s="61" t="n"/>
      <c r="O2047" s="61" t="n"/>
      <c r="P2047" s="61" t="n"/>
      <c r="Q2047" s="62" t="n"/>
      <c r="R2047" s="61" t="n"/>
    </row>
    <row r="2048" ht="15.75" customHeight="1" s="38">
      <c r="A2048" s="66" t="inlineStr">
        <is>
          <t>Trixsa</t>
        </is>
      </c>
      <c r="B2048" s="66" t="inlineStr">
        <is>
          <t>Repuestos y Servicio Técnico Grúas Hidráulicas, Venta y Arriendo de Grúas de Alto Tonelajes</t>
        </is>
      </c>
      <c r="C2048" s="66" t="inlineStr">
        <is>
          <t>Antofagasta</t>
        </is>
      </c>
      <c r="D2048" s="66" t="inlineStr">
        <is>
          <t>contacto@trixsa.cl</t>
        </is>
      </c>
      <c r="E2048" s="66" t="inlineStr">
        <is>
          <t>(56) 57 247 6002</t>
        </is>
      </c>
      <c r="F2048" s="66" t="n"/>
      <c r="G2048" s="66" t="n"/>
      <c r="H2048" s="66" t="n"/>
      <c r="I2048" s="66" t="inlineStr">
        <is>
          <t>96.677.780-K</t>
        </is>
      </c>
      <c r="J2048" s="66" t="n"/>
      <c r="K2048" s="66" t="inlineStr">
        <is>
          <t>Ventas: MEDIANA 2 (50.000 - 100.000 UF) | Empleados: 17</t>
        </is>
      </c>
      <c r="L2048" s="61" t="n"/>
      <c r="M2048" s="61" t="n"/>
      <c r="N2048" s="61" t="n"/>
      <c r="O2048" s="61" t="n"/>
      <c r="P2048" s="61" t="n"/>
      <c r="Q2048" s="62" t="n"/>
      <c r="R2048" s="61" t="n"/>
    </row>
    <row r="2049" ht="15.75" customHeight="1" s="38">
      <c r="A2049" s="66" t="inlineStr">
        <is>
          <t>Tromax S.A.</t>
        </is>
      </c>
      <c r="B2049" s="66" t="inlineStr">
        <is>
          <t>Arriendo de Equipos para Perforación</t>
        </is>
      </c>
      <c r="C2049" s="66" t="inlineStr">
        <is>
          <t>Rancagua</t>
        </is>
      </c>
      <c r="D2049" s="66" t="inlineStr">
        <is>
          <t>informacion@tromax.cl</t>
        </is>
      </c>
      <c r="E2049" s="66" t="inlineStr">
        <is>
          <t>(56) 72 275 0634</t>
        </is>
      </c>
      <c r="F2049" s="66" t="n"/>
      <c r="G2049" s="66" t="n"/>
      <c r="H2049" s="66" t="n"/>
      <c r="I2049" s="66" t="inlineStr">
        <is>
          <t>76.226.167-7</t>
        </is>
      </c>
      <c r="J2049" s="66" t="n"/>
      <c r="K2049" s="66" t="inlineStr">
        <is>
          <t>Ventas: MEDIANA 1 (25.000 - 50.000 UF) | Empleados: 5</t>
        </is>
      </c>
      <c r="L2049" s="61" t="n"/>
      <c r="M2049" s="61" t="n"/>
      <c r="N2049" s="61" t="n"/>
      <c r="O2049" s="61" t="n"/>
      <c r="P2049" s="61" t="n"/>
      <c r="Q2049" s="62" t="n"/>
      <c r="R2049" s="61" t="n"/>
    </row>
    <row r="2050" ht="15.75" customHeight="1" s="38">
      <c r="A2050" s="66" t="inlineStr">
        <is>
          <t>Trotter Industrial</t>
        </is>
      </c>
      <c r="B2050" s="66" t="inlineStr">
        <is>
          <t>Calderas</t>
        </is>
      </c>
      <c r="C2050" s="66" t="inlineStr">
        <is>
          <t>Santiago</t>
        </is>
      </c>
      <c r="D2050" s="66" t="inlineStr">
        <is>
          <t>ftrotter@trotterindustrial.com</t>
        </is>
      </c>
      <c r="E2050" s="66" t="inlineStr">
        <is>
          <t>(56) 2 2395 7600</t>
        </is>
      </c>
      <c r="F2050" s="66" t="n"/>
      <c r="G2050" s="66" t="n"/>
      <c r="H2050" s="66" t="n"/>
      <c r="I2050" s="66" t="inlineStr">
        <is>
          <t>84302700-8</t>
        </is>
      </c>
      <c r="J2050" s="66" t="n"/>
      <c r="K2050" s="66" t="inlineStr">
        <is>
          <t>Ventas: GRANDE 1 (100.000 - 200.000 UF) | Empleados: 97</t>
        </is>
      </c>
      <c r="L2050" s="61" t="n"/>
      <c r="M2050" s="61" t="n"/>
      <c r="N2050" s="61" t="n"/>
      <c r="O2050" s="61" t="n"/>
      <c r="P2050" s="61" t="n"/>
      <c r="Q2050" s="62" t="n"/>
      <c r="R2050" s="61" t="n"/>
    </row>
    <row r="2051" ht="15.75" customHeight="1" s="38">
      <c r="A2051" s="66" t="inlineStr">
        <is>
          <t>Truck Energy</t>
        </is>
      </c>
      <c r="B2051" s="66" t="inlineStr">
        <is>
          <t>Programas de Mantenimiento para Equipos Rodantes</t>
        </is>
      </c>
      <c r="C2051" s="66" t="inlineStr">
        <is>
          <t>Coronel</t>
        </is>
      </c>
      <c r="D2051" s="66" t="inlineStr">
        <is>
          <t>gerencia@truckenergy.cl</t>
        </is>
      </c>
      <c r="E2051" s="66" t="inlineStr">
        <is>
          <t>(56) 41 292 1391</t>
        </is>
      </c>
      <c r="F2051" s="66" t="n"/>
      <c r="G2051" s="66" t="n"/>
      <c r="H2051" s="66" t="n"/>
      <c r="I2051" s="66" t="inlineStr">
        <is>
          <t>76.105.253-5</t>
        </is>
      </c>
      <c r="J2051" s="66" t="n"/>
      <c r="K2051" s="66" t="inlineStr">
        <is>
          <t>Ventas: GRANDE 1 (100.000 - 200.000 UF) | Empleados: 42</t>
        </is>
      </c>
      <c r="L2051" s="61" t="n"/>
      <c r="M2051" s="61" t="n"/>
      <c r="N2051" s="61" t="n"/>
      <c r="O2051" s="61" t="n"/>
      <c r="P2051" s="61" t="n"/>
      <c r="Q2051" s="62" t="n"/>
      <c r="R2051" s="61" t="n"/>
    </row>
    <row r="2052" ht="15.75" customHeight="1" s="38">
      <c r="A2052" s="59" t="inlineStr">
        <is>
          <t>Truly Nolen Chile S.A.</t>
        </is>
      </c>
      <c r="B2052" s="59" t="inlineStr">
        <is>
          <t>Control de Plagas</t>
        </is>
      </c>
      <c r="C2052" s="59" t="inlineStr">
        <is>
          <t>Santiago</t>
        </is>
      </c>
      <c r="D2052" s="59" t="n"/>
      <c r="E2052" s="59" t="inlineStr">
        <is>
          <t>(56) 2 2784 4400</t>
        </is>
      </c>
      <c r="F2052" s="59" t="inlineStr">
        <is>
          <t>Claudio Sabelle (Gerente de Operaciones)</t>
        </is>
      </c>
      <c r="G2052" s="59" t="inlineStr">
        <is>
          <t>csabelle@trulynolen.cl</t>
        </is>
      </c>
      <c r="H2052" s="59" t="n"/>
      <c r="I2052" s="59" t="inlineStr">
        <is>
          <t>96.591.760-8</t>
        </is>
      </c>
      <c r="J2052" s="59" t="inlineStr">
        <is>
          <t>Investigación en Proceso</t>
        </is>
      </c>
      <c r="K2052" s="59" t="inlineStr">
        <is>
          <t>Ventas: GRANDE 3 (600.000 - 1.000.000 UF) | Empleados: 362</t>
        </is>
      </c>
      <c r="L2052" s="61" t="n"/>
      <c r="M2052" s="61" t="n"/>
      <c r="N2052" s="61" t="n"/>
      <c r="O2052" s="61" t="n"/>
      <c r="P2052" s="61" t="n"/>
      <c r="Q2052" s="62" t="n"/>
      <c r="R2052" s="61" t="n"/>
    </row>
    <row r="2053" ht="15.75" customHeight="1" s="38">
      <c r="A2053" s="66" t="inlineStr">
        <is>
          <t>TRX Telecom</t>
        </is>
      </c>
      <c r="B2053" s="66" t="inlineStr">
        <is>
          <t>Radiocomunicaciones</t>
        </is>
      </c>
      <c r="C2053" s="66" t="inlineStr">
        <is>
          <t>Calama</t>
        </is>
      </c>
      <c r="D2053" s="66" t="inlineStr">
        <is>
          <t>info@trxtelecom.cl</t>
        </is>
      </c>
      <c r="E2053" s="66" t="inlineStr">
        <is>
          <t>(56) 9 4072 2867</t>
        </is>
      </c>
      <c r="F2053" s="66" t="n"/>
      <c r="G2053" s="66" t="n"/>
      <c r="H2053" s="66" t="n"/>
      <c r="I2053" s="66" t="inlineStr">
        <is>
          <t>76.711.584-9</t>
        </is>
      </c>
      <c r="J2053" s="66" t="n"/>
      <c r="K2053" s="66" t="inlineStr">
        <is>
          <t>Ventas: MEDIANA 1 (25.000 - 50.000 UF) | Empleados: 14</t>
        </is>
      </c>
      <c r="L2053" s="61" t="n"/>
      <c r="M2053" s="61" t="n"/>
      <c r="N2053" s="61" t="n"/>
      <c r="O2053" s="61" t="n"/>
      <c r="P2053" s="61" t="n"/>
      <c r="Q2053" s="62" t="n"/>
      <c r="R2053" s="61" t="n"/>
    </row>
    <row r="2054" ht="15.75" customHeight="1" s="38">
      <c r="A2054" s="66" t="inlineStr">
        <is>
          <t>Tscom SpA</t>
        </is>
      </c>
      <c r="B2054" s="66" t="inlineStr">
        <is>
          <t>Sistemas de Control de Accesos, Sistemas de Control de Fatiga y Somnolencia</t>
        </is>
      </c>
      <c r="C2054" s="66" t="inlineStr">
        <is>
          <t>Santiago</t>
        </is>
      </c>
      <c r="D2054" s="66" t="inlineStr">
        <is>
          <t>consultas@tscom.cl</t>
        </is>
      </c>
      <c r="E2054" s="66" t="inlineStr">
        <is>
          <t>(56) 2 2912 7530</t>
        </is>
      </c>
      <c r="F2054" s="66" t="n"/>
      <c r="G2054" s="66" t="n"/>
      <c r="H2054" s="66" t="n"/>
      <c r="I2054" s="66" t="inlineStr">
        <is>
          <t>76.250.816-8</t>
        </is>
      </c>
      <c r="J2054" s="66" t="n"/>
      <c r="K2054" s="66" t="inlineStr">
        <is>
          <t>Ventas: GRANDE 2 (200.000 - 600.000 UF) | Empleados: 38</t>
        </is>
      </c>
      <c r="L2054" s="61" t="n"/>
      <c r="M2054" s="61" t="n"/>
      <c r="N2054" s="61" t="n"/>
      <c r="O2054" s="61" t="n"/>
      <c r="P2054" s="61" t="n"/>
      <c r="Q2054" s="62" t="n"/>
      <c r="R2054" s="61" t="n"/>
    </row>
    <row r="2055" ht="15.75" customHeight="1" s="38">
      <c r="A2055" s="66" t="inlineStr">
        <is>
          <t>TSE, Soluciones Eléctricas</t>
        </is>
      </c>
      <c r="B2055" s="66" t="inlineStr">
        <is>
          <t>Tableros Eléctricos</t>
        </is>
      </c>
      <c r="C2055" s="66" t="inlineStr">
        <is>
          <t>Santiago</t>
        </is>
      </c>
      <c r="D2055" s="66" t="inlineStr">
        <is>
          <t>ventas@tse.tunning.cl</t>
        </is>
      </c>
      <c r="E2055" s="66" t="inlineStr">
        <is>
          <t>(56) 2 2620 1332</t>
        </is>
      </c>
      <c r="F2055" s="66" t="n"/>
      <c r="G2055" s="66" t="n"/>
      <c r="H2055" s="66" t="n"/>
      <c r="I2055" s="66" t="inlineStr">
        <is>
          <t>76.483.565-4</t>
        </is>
      </c>
      <c r="J2055" s="66" t="n"/>
      <c r="K2055" s="66" t="inlineStr">
        <is>
          <t>Ventas: MEDIANA 1 (25.000 - 50.000 UF) | Empleados: 25</t>
        </is>
      </c>
      <c r="L2055" s="61" t="n"/>
      <c r="M2055" s="61" t="n"/>
      <c r="N2055" s="61" t="n"/>
      <c r="O2055" s="61" t="n"/>
      <c r="P2055" s="61" t="n"/>
      <c r="Q2055" s="62" t="n"/>
      <c r="R2055" s="61" t="n"/>
    </row>
    <row r="2056" ht="15.75" customHeight="1" s="38">
      <c r="A2056" s="66" t="inlineStr">
        <is>
          <t>TTM Chile</t>
        </is>
      </c>
      <c r="B2056" s="66" t="inlineStr">
        <is>
          <t>Accesorios para Correas Transportadoras, Sistemas para Transporte de Minerales</t>
        </is>
      </c>
      <c r="C2056" s="66" t="inlineStr">
        <is>
          <t>Santiago</t>
        </is>
      </c>
      <c r="D2056" s="66" t="inlineStr">
        <is>
          <t>secretaria@ttmchile.cl</t>
        </is>
      </c>
      <c r="E2056" s="66" t="inlineStr">
        <is>
          <t>(56) 9 3377 9104</t>
        </is>
      </c>
      <c r="F2056" s="66" t="n"/>
      <c r="G2056" s="66" t="n"/>
      <c r="H2056" s="66" t="n"/>
      <c r="I2056" s="66" t="inlineStr">
        <is>
          <t>89.026.600-2</t>
        </is>
      </c>
      <c r="J2056" s="66" t="n"/>
      <c r="K2056" s="66" t="inlineStr">
        <is>
          <t>Ventas: GRANDE (Estimado por Empleados) | Empleados: 406</t>
        </is>
      </c>
      <c r="L2056" s="61" t="n"/>
      <c r="M2056" s="61" t="n"/>
      <c r="N2056" s="61" t="n"/>
      <c r="O2056" s="61" t="n"/>
      <c r="P2056" s="61" t="n"/>
      <c r="Q2056" s="62" t="n"/>
      <c r="R2056" s="61" t="n"/>
    </row>
    <row r="2057" ht="15.75" customHeight="1" s="38">
      <c r="A2057" s="66" t="inlineStr">
        <is>
          <t>TTR El Totoral</t>
        </is>
      </c>
      <c r="B2057" s="66" t="inlineStr">
        <is>
          <t>Automatización y Control de Combustible, Válvulas Control Flujo de Combustible</t>
        </is>
      </c>
      <c r="C2057" s="66" t="inlineStr">
        <is>
          <t>Santiago</t>
        </is>
      </c>
      <c r="D2057" s="66" t="inlineStr">
        <is>
          <t>contacto@ttr.cl</t>
        </is>
      </c>
      <c r="E2057" s="66" t="inlineStr">
        <is>
          <t>(56) 9 8818 5513</t>
        </is>
      </c>
      <c r="F2057" s="66" t="n"/>
      <c r="G2057" s="66" t="n"/>
      <c r="H2057" s="66" t="n"/>
      <c r="I2057" s="66" t="inlineStr">
        <is>
          <t>76.185.954-4</t>
        </is>
      </c>
      <c r="J2057" s="66" t="n"/>
      <c r="K2057" s="66" t="inlineStr">
        <is>
          <t>Ventas: MICRO 3 (600 - 2.400 UF) | Empleados: 2</t>
        </is>
      </c>
      <c r="L2057" s="61" t="n"/>
      <c r="M2057" s="61" t="n"/>
      <c r="N2057" s="61" t="n"/>
      <c r="O2057" s="61" t="n"/>
      <c r="P2057" s="61" t="n"/>
      <c r="Q2057" s="62" t="n"/>
      <c r="R2057" s="61" t="n"/>
    </row>
    <row r="2058" ht="15.75" customHeight="1" s="38">
      <c r="A2058" s="66" t="inlineStr">
        <is>
          <t>Tubexa Industrial Ltda.</t>
        </is>
      </c>
      <c r="B2058" s="66" t="inlineStr">
        <is>
          <t>Tubos de Acero, Tubos Revestidos con HDPE</t>
        </is>
      </c>
      <c r="C2058" s="66" t="inlineStr">
        <is>
          <t>Santiago</t>
        </is>
      </c>
      <c r="D2058" s="66" t="inlineStr">
        <is>
          <t>ventas@tubexa.cl</t>
        </is>
      </c>
      <c r="E2058" s="66" t="inlineStr">
        <is>
          <t>(56) 2 3293 7800</t>
        </is>
      </c>
      <c r="F2058" s="66" t="inlineStr">
        <is>
          <t>Gerente de TI / CIO (Director de Tecnología)</t>
        </is>
      </c>
      <c r="G2058" s="66" t="n"/>
      <c r="H2058" s="66" t="n"/>
      <c r="I2058" s="66" t="inlineStr">
        <is>
          <t>76.590.720-9</t>
        </is>
      </c>
      <c r="J2058" s="66" t="n"/>
      <c r="K2058" s="66" t="inlineStr">
        <is>
          <t>Ventas: GRANDE 4 (Mas de 1.000.000 UF) | Empleados: 234</t>
        </is>
      </c>
      <c r="L2058" s="61" t="n"/>
      <c r="M2058" s="61" t="n"/>
      <c r="N2058" s="61" t="n"/>
      <c r="O2058" s="61" t="n"/>
      <c r="P2058" s="61" t="n"/>
      <c r="Q2058" s="62" t="n"/>
      <c r="R2058" s="61" t="n"/>
    </row>
    <row r="2059" ht="15.75" customHeight="1" s="38">
      <c r="A2059" s="66" t="inlineStr">
        <is>
          <t>Tuboled SpA</t>
        </is>
      </c>
      <c r="B2059" s="66" t="inlineStr">
        <is>
          <t>Soluciones de Energía Solar y Tele Gestión</t>
        </is>
      </c>
      <c r="C2059" s="66" t="inlineStr">
        <is>
          <t>Santiago</t>
        </is>
      </c>
      <c r="D2059" s="66" t="inlineStr">
        <is>
          <t>tuboled@tuboled.cl</t>
        </is>
      </c>
      <c r="E2059" s="66" t="inlineStr">
        <is>
          <t>(56) 2 2717 6817</t>
        </is>
      </c>
      <c r="F2059" s="66" t="n"/>
      <c r="G2059" s="66" t="n"/>
      <c r="H2059" s="66" t="n"/>
      <c r="I2059" s="66" t="inlineStr">
        <is>
          <t>10.566.729-9</t>
        </is>
      </c>
      <c r="J2059" s="66" t="n"/>
      <c r="K2059" s="66" t="inlineStr">
        <is>
          <t>Ventas: No en base SII | Empleados: S/I</t>
        </is>
      </c>
      <c r="L2059" s="61" t="n"/>
      <c r="M2059" s="61" t="n"/>
      <c r="N2059" s="61" t="n"/>
      <c r="O2059" s="61" t="n"/>
      <c r="P2059" s="61" t="n"/>
      <c r="Q2059" s="62" t="n"/>
      <c r="R2059" s="61" t="n"/>
    </row>
    <row r="2060" ht="15.75" customHeight="1" s="38">
      <c r="A2060" s="59" t="inlineStr">
        <is>
          <t>Tunning Ingeniería Ltda.</t>
        </is>
      </c>
      <c r="B2060" s="59" t="inlineStr">
        <is>
          <t>Automatización y Control</t>
        </is>
      </c>
      <c r="C2060" s="59" t="inlineStr">
        <is>
          <t>Santiago</t>
        </is>
      </c>
      <c r="D2060" s="59" t="inlineStr">
        <is>
          <t>ventas@tunning.cl</t>
        </is>
      </c>
      <c r="E2060" s="59" t="inlineStr">
        <is>
          <t>(56) 2 2620 1300</t>
        </is>
      </c>
      <c r="F2060" s="59" t="inlineStr">
        <is>
          <t>Claudio Jara (Gerente General)</t>
        </is>
      </c>
      <c r="G2060" s="59" t="n"/>
      <c r="H2060" s="59" t="n"/>
      <c r="I2060" s="59" t="inlineStr">
        <is>
          <t>78.554.660-1</t>
        </is>
      </c>
      <c r="J2060" s="59" t="inlineStr">
        <is>
          <t>Automatización &amp; Control Industrial Minería</t>
        </is>
      </c>
      <c r="K2060" s="59" t="inlineStr">
        <is>
          <t>Ventas: GRANDE 2 (200.000 - 600.000 UF) | Empleados: 101</t>
        </is>
      </c>
      <c r="L2060" s="61" t="n"/>
      <c r="M2060" s="61" t="n"/>
      <c r="N2060" s="61" t="n"/>
      <c r="O2060" s="61" t="n"/>
      <c r="P2060" s="61" t="n"/>
      <c r="Q2060" s="62" t="n"/>
      <c r="R2060" s="61" t="n"/>
    </row>
    <row r="2061" ht="15.75" customHeight="1" s="38">
      <c r="A2061" s="59" t="inlineStr">
        <is>
          <t>Turbodal S.A.</t>
        </is>
      </c>
      <c r="B2061" s="59" t="inlineStr">
        <is>
          <t>Turbocompresores, Turbocompresores para Vehículos</t>
        </is>
      </c>
      <c r="C2061" s="59" t="inlineStr">
        <is>
          <t>Santiago</t>
        </is>
      </c>
      <c r="D2061" s="59" t="inlineStr">
        <is>
          <t>ventas@turbodal.cl</t>
        </is>
      </c>
      <c r="E2061" s="59" t="inlineStr">
        <is>
          <t>(56) 2 2641 7070</t>
        </is>
      </c>
      <c r="F2061" s="59" t="inlineStr">
        <is>
          <t>Juan Francisco Paris (Jefe de Operaciones TI)</t>
        </is>
      </c>
      <c r="G2061" s="59" t="inlineStr">
        <is>
          <t>juan.paris@turbodal.cl</t>
        </is>
      </c>
      <c r="H2061" s="59" t="n"/>
      <c r="I2061" s="59" t="inlineStr">
        <is>
          <t>86.771.700-5</t>
        </is>
      </c>
      <c r="J2061" s="59" t="inlineStr">
        <is>
          <t>Investigación en Proceso</t>
        </is>
      </c>
      <c r="K2061" s="59" t="inlineStr">
        <is>
          <t>Ventas: GRANDE 3 (600.000 - 1.000.000 UF) | Empleados: 93</t>
        </is>
      </c>
      <c r="L2061" s="61" t="n"/>
      <c r="M2061" s="61" t="n"/>
      <c r="N2061" s="61" t="n"/>
      <c r="O2061" s="61" t="n"/>
      <c r="P2061" s="61" t="n"/>
      <c r="Q2061" s="62" t="n"/>
      <c r="R2061" s="61" t="n"/>
    </row>
    <row r="2062" ht="15.75" customHeight="1" s="38">
      <c r="A2062" s="66" t="inlineStr">
        <is>
          <t>Turbomaquinas</t>
        </is>
      </c>
      <c r="B2062" s="66" t="inlineStr">
        <is>
          <t>Control de Procesos</t>
        </is>
      </c>
      <c r="C2062" s="66" t="inlineStr">
        <is>
          <t>Santiago</t>
        </is>
      </c>
      <c r="D2062" s="66" t="inlineStr">
        <is>
          <t>contacto@turbomaquinas.cl</t>
        </is>
      </c>
      <c r="E2062" s="66" t="inlineStr">
        <is>
          <t>(56) 2 2287 2075</t>
        </is>
      </c>
      <c r="F2062" s="66" t="n"/>
      <c r="G2062" s="66" t="n"/>
      <c r="H2062" s="66" t="n"/>
      <c r="I2062" s="66" t="inlineStr">
        <is>
          <t>76858974-7</t>
        </is>
      </c>
      <c r="J2062" s="66" t="n"/>
      <c r="K2062" s="66" t="inlineStr">
        <is>
          <t>Ventas: PEQUEÑA 2 (5.000 - 10.000 UF) | Empleados: 0</t>
        </is>
      </c>
      <c r="L2062" s="61" t="n"/>
      <c r="M2062" s="61" t="n"/>
      <c r="N2062" s="61" t="n"/>
      <c r="O2062" s="61" t="n"/>
      <c r="P2062" s="61" t="n"/>
      <c r="Q2062" s="62" t="n"/>
      <c r="R2062" s="61" t="n"/>
    </row>
    <row r="2063" ht="15.75" customHeight="1" s="38">
      <c r="A2063" s="66" t="inlineStr">
        <is>
          <t>Turbomecánica Ltda.</t>
        </is>
      </c>
      <c r="B2063" s="66" t="inlineStr">
        <is>
          <t>Asesorías en Mecánica, Servicios de Análisis de Vibraciones</t>
        </is>
      </c>
      <c r="C2063" s="66" t="inlineStr">
        <is>
          <t>Talcahuano</t>
        </is>
      </c>
      <c r="D2063" s="66" t="inlineStr">
        <is>
          <t>turbomecanica@turbomecanica.cl</t>
        </is>
      </c>
      <c r="E2063" s="66" t="inlineStr">
        <is>
          <t>(56) 41 242 5290</t>
        </is>
      </c>
      <c r="F2063" s="66" t="n"/>
      <c r="G2063" s="66" t="n"/>
      <c r="H2063" s="66" t="n"/>
      <c r="I2063" s="66" t="inlineStr">
        <is>
          <t>83.396.100-4</t>
        </is>
      </c>
      <c r="J2063" s="66" t="n"/>
      <c r="K2063" s="66" t="inlineStr">
        <is>
          <t>Ventas: GRANDE 1 (100.000 - 200.000 UF) | Empleados: 83</t>
        </is>
      </c>
      <c r="L2063" s="61" t="n"/>
      <c r="M2063" s="61" t="n"/>
      <c r="N2063" s="61" t="n"/>
      <c r="O2063" s="61" t="n"/>
      <c r="P2063" s="61" t="n"/>
      <c r="Q2063" s="62" t="n"/>
      <c r="R2063" s="61" t="n"/>
    </row>
    <row r="2064" ht="15.75" customHeight="1" s="38">
      <c r="A2064" s="59" t="inlineStr">
        <is>
          <t>Turner &amp; Townsend Ltda.</t>
        </is>
      </c>
      <c r="B2064" s="59" t="inlineStr">
        <is>
          <t>Consultoría</t>
        </is>
      </c>
      <c r="C2064" s="59" t="inlineStr">
        <is>
          <t>Santiago</t>
        </is>
      </c>
      <c r="D2064" s="59" t="n"/>
      <c r="E2064" s="59" t="inlineStr">
        <is>
          <t>(56) 2 3245 4100</t>
        </is>
      </c>
      <c r="F2064" s="59" t="inlineStr">
        <is>
          <t>Manuel Matamala (Associate Director)</t>
        </is>
      </c>
      <c r="G2064" s="59" t="n"/>
      <c r="H2064" s="59" t="n"/>
      <c r="I2064" s="59" t="inlineStr">
        <is>
          <t>76.079.335-3</t>
        </is>
      </c>
      <c r="J2064" s="59" t="inlineStr">
        <is>
          <t>Consultoría Proyectos Infraestructura &amp; Minería</t>
        </is>
      </c>
      <c r="K2064" s="59" t="inlineStr">
        <is>
          <t>Ventas: GRANDE 2 (200.000 - 600.000 UF) | Empleados: 43</t>
        </is>
      </c>
      <c r="L2064" s="61" t="n"/>
      <c r="M2064" s="61" t="n"/>
      <c r="N2064" s="61" t="n"/>
      <c r="O2064" s="61" t="n"/>
      <c r="P2064" s="61" t="n"/>
      <c r="Q2064" s="62" t="n"/>
      <c r="R2064" s="61" t="n"/>
    </row>
    <row r="2065" ht="15.75" customHeight="1" s="38">
      <c r="A2065" s="66" t="inlineStr">
        <is>
          <t>Turno A SpA</t>
        </is>
      </c>
      <c r="B2065" s="66" t="inlineStr">
        <is>
          <t>Consultora que Forma a Personas con un Modelo de ConfiabIlidad Humana de Colaboración, Calidad y Seguridad para Desempeñarse en Industrias</t>
        </is>
      </c>
      <c r="C2065" s="66" t="inlineStr">
        <is>
          <t>Copiapó</t>
        </is>
      </c>
      <c r="D2065" s="66" t="n"/>
      <c r="E2065" s="66" t="n"/>
      <c r="F2065" s="66" t="n"/>
      <c r="G2065" s="66" t="n"/>
      <c r="H2065" s="66" t="n"/>
      <c r="I2065" s="66" t="inlineStr">
        <is>
          <t>77.105.836-1</t>
        </is>
      </c>
      <c r="J2065" s="66" t="n"/>
      <c r="K2065" s="66" t="inlineStr">
        <is>
          <t>Ventas: PEQUEÑA 1 (2.400 - 5.000 UF) | Empleados: 0</t>
        </is>
      </c>
      <c r="L2065" s="61" t="n"/>
      <c r="M2065" s="61" t="n"/>
      <c r="N2065" s="61" t="n"/>
      <c r="O2065" s="61" t="n"/>
      <c r="P2065" s="61" t="n"/>
      <c r="Q2065" s="62" t="n"/>
      <c r="R2065" s="61" t="n"/>
    </row>
    <row r="2066" ht="15.75" customHeight="1" s="38">
      <c r="A2066" s="66" t="inlineStr">
        <is>
          <t>Tusan</t>
        </is>
      </c>
      <c r="B2066" s="66" t="inlineStr">
        <is>
          <t>Transformadores</t>
        </is>
      </c>
      <c r="C2066" s="66" t="inlineStr">
        <is>
          <t>Santiago</t>
        </is>
      </c>
      <c r="D2066" s="66" t="inlineStr">
        <is>
          <t>ventas@tusan.cl</t>
        </is>
      </c>
      <c r="E2066" s="66" t="inlineStr">
        <is>
          <t>(56) 2 2899 6800</t>
        </is>
      </c>
      <c r="F2066" s="66" t="n"/>
      <c r="G2066" s="66" t="n"/>
      <c r="H2066" s="66" t="n"/>
      <c r="I2066" s="66" t="inlineStr">
        <is>
          <t>86.386.700-2</t>
        </is>
      </c>
      <c r="J2066" s="66" t="n"/>
      <c r="K2066" s="66" t="inlineStr">
        <is>
          <t>Ventas: MEDIANA (Estimado por Empleados) | Empleados: 138</t>
        </is>
      </c>
      <c r="L2066" s="61" t="n"/>
      <c r="M2066" s="61" t="n"/>
      <c r="N2066" s="61" t="n"/>
      <c r="O2066" s="61" t="n"/>
      <c r="P2066" s="61" t="n"/>
      <c r="Q2066" s="62" t="n"/>
      <c r="R2066" s="61" t="n"/>
    </row>
    <row r="2067" ht="15.75" customHeight="1" s="38">
      <c r="A2067" s="66" t="inlineStr">
        <is>
          <t>Tuxpan Software S.A.</t>
        </is>
      </c>
      <c r="B2067" s="66" t="inlineStr">
        <is>
          <t>Desarrollo de Software</t>
        </is>
      </c>
      <c r="C2067" s="66" t="inlineStr">
        <is>
          <t>Viña del Mar</t>
        </is>
      </c>
      <c r="D2067" s="66" t="inlineStr">
        <is>
          <t>tuxpan@tuxpan.com</t>
        </is>
      </c>
      <c r="E2067" s="66" t="inlineStr">
        <is>
          <t>(56) 32 268 0906</t>
        </is>
      </c>
      <c r="F2067" s="66" t="n"/>
      <c r="G2067" s="66" t="n"/>
      <c r="H2067" s="66" t="n"/>
      <c r="I2067" s="66" t="inlineStr">
        <is>
          <t>96.829.350-8</t>
        </is>
      </c>
      <c r="J2067" s="66" t="n"/>
      <c r="K2067" s="66" t="inlineStr">
        <is>
          <t>Ventas: MEDIANA 2 (50.000 - 100.000 UF) | Empleados: 26</t>
        </is>
      </c>
      <c r="L2067" s="61" t="n"/>
      <c r="M2067" s="61" t="n"/>
      <c r="N2067" s="61" t="n"/>
      <c r="O2067" s="61" t="n"/>
      <c r="P2067" s="61" t="n"/>
      <c r="Q2067" s="62" t="n"/>
      <c r="R2067" s="61" t="n"/>
    </row>
    <row r="2068" ht="15.75" customHeight="1" s="38">
      <c r="A2068" s="59" t="inlineStr">
        <is>
          <t>Tyco Fire &amp; Security</t>
        </is>
      </c>
      <c r="B2068" s="59" t="inlineStr">
        <is>
          <t>Aire Acondicionado para Maquinaria Pesada y Minera, Sistemas CCTV Industriales, Sistemas para Detección de Incendios</t>
        </is>
      </c>
      <c r="C2068" s="59" t="inlineStr">
        <is>
          <t>Santiago</t>
        </is>
      </c>
      <c r="D2068" s="59" t="inlineStr">
        <is>
          <t>cbarriga@tycoint.com</t>
        </is>
      </c>
      <c r="E2068" s="59" t="inlineStr">
        <is>
          <t>(56) 2 2472 4253</t>
        </is>
      </c>
      <c r="F2068" s="59" t="inlineStr">
        <is>
          <t>Leopoldo Falconi (Business Unit Manager)</t>
        </is>
      </c>
      <c r="G2068" s="59" t="inlineStr">
        <is>
          <t>leopoldo.falconi@jci.com</t>
        </is>
      </c>
      <c r="H2068" s="59" t="n"/>
      <c r="I2068" s="59" t="inlineStr">
        <is>
          <t>83.157.200-0</t>
        </is>
      </c>
      <c r="J2068" s="59" t="inlineStr">
        <is>
          <t>Investigación en Proceso</t>
        </is>
      </c>
      <c r="K2068" s="59" t="inlineStr">
        <is>
          <t>Ventas: GRANDE 3 (600.000 - 1.000.000 UF) | Empleados: 144</t>
        </is>
      </c>
      <c r="L2068" s="61" t="n"/>
      <c r="M2068" s="61" t="n"/>
      <c r="N2068" s="61" t="n"/>
      <c r="O2068" s="61" t="n"/>
      <c r="P2068" s="61" t="n"/>
      <c r="Q2068" s="62" t="n"/>
      <c r="R2068" s="61" t="n"/>
    </row>
    <row r="2069" ht="15.75" customHeight="1" s="38">
      <c r="A2069" s="66" t="inlineStr">
        <is>
          <t>TyG Vecchiola</t>
        </is>
      </c>
      <c r="B2069" s="66" t="inlineStr">
        <is>
          <t>Arriendo de Grúas, Servicio Personal, Reclutamiento, Outsorcing, Servicios de Transportes Sobredimencionado y Alto Tonelaje</t>
        </is>
      </c>
      <c r="C2069" s="66" t="inlineStr">
        <is>
          <t>Santiago</t>
        </is>
      </c>
      <c r="D2069" s="66" t="inlineStr">
        <is>
          <t>recepciontyg@tygvecchiola.cl</t>
        </is>
      </c>
      <c r="E2069" s="66" t="inlineStr">
        <is>
          <t>(56) 9 5363 2280</t>
        </is>
      </c>
      <c r="F2069" s="66" t="n"/>
      <c r="G2069" s="66" t="n"/>
      <c r="H2069" s="66" t="n"/>
      <c r="I2069" s="66" t="inlineStr">
        <is>
          <t>78.590.360-9</t>
        </is>
      </c>
      <c r="J2069" s="66" t="n"/>
      <c r="K2069" s="66" t="inlineStr">
        <is>
          <t>Ventas: GRANDE (Estimado por Empleados) | Empleados: 1789</t>
        </is>
      </c>
      <c r="L2069" s="61" t="n"/>
      <c r="M2069" s="61" t="n"/>
      <c r="N2069" s="61" t="n"/>
      <c r="O2069" s="61" t="n"/>
      <c r="P2069" s="61" t="n"/>
      <c r="Q2069" s="62" t="n"/>
      <c r="R2069" s="61" t="n"/>
    </row>
    <row r="2070" ht="15.75" customHeight="1" s="38">
      <c r="A2070" s="66" t="inlineStr">
        <is>
          <t>Técnica Hansa Ltda.</t>
        </is>
      </c>
      <c r="B2070" s="66" t="inlineStr">
        <is>
          <t>Equipos Industriales</t>
        </is>
      </c>
      <c r="C2070" s="66" t="inlineStr">
        <is>
          <t>Santiago</t>
        </is>
      </c>
      <c r="D2070" s="66" t="inlineStr">
        <is>
          <t>info@tecnicahansa.cl</t>
        </is>
      </c>
      <c r="E2070" s="66" t="inlineStr">
        <is>
          <t>(56) 2 2204 5348</t>
        </is>
      </c>
      <c r="F2070" s="66" t="n"/>
      <c r="G2070" s="66" t="n"/>
      <c r="H2070" s="66" t="n"/>
      <c r="I2070" s="66" t="inlineStr">
        <is>
          <t>89.329.700-6</t>
        </is>
      </c>
      <c r="J2070" s="66" t="n"/>
      <c r="K2070" s="66" t="inlineStr">
        <is>
          <t>Ventas: GRANDE 1 (100.000 - 200.000 UF) | Empleados: 29</t>
        </is>
      </c>
      <c r="L2070" s="61" t="n"/>
      <c r="M2070" s="61" t="n"/>
      <c r="N2070" s="61" t="n"/>
      <c r="O2070" s="61" t="n"/>
      <c r="P2070" s="61" t="n"/>
      <c r="Q2070" s="62" t="n"/>
      <c r="R2070" s="61" t="n"/>
    </row>
    <row r="2071" ht="15.75" customHeight="1" s="38">
      <c r="A2071" s="66" t="inlineStr">
        <is>
          <t>TÜV Rheinland Chile S.A.</t>
        </is>
      </c>
      <c r="B2071" s="66" t="inlineStr">
        <is>
          <t>Auditorías e Inspecciones</t>
        </is>
      </c>
      <c r="C2071" s="66" t="inlineStr">
        <is>
          <t>Santiago</t>
        </is>
      </c>
      <c r="D2071" s="66" t="n"/>
      <c r="E2071" s="66" t="inlineStr">
        <is>
          <t>(56) 2 2352 4200</t>
        </is>
      </c>
      <c r="F2071" s="66" t="n"/>
      <c r="G2071" s="66" t="n"/>
      <c r="H2071" s="66" t="n"/>
      <c r="I2071" s="66" t="inlineStr">
        <is>
          <t>96.684.630-5</t>
        </is>
      </c>
      <c r="J2071" s="66" t="n"/>
      <c r="K2071" s="66" t="inlineStr">
        <is>
          <t>Ventas: GRANDE 2 (200.000 - 600.000 UF) | Empleados: 85</t>
        </is>
      </c>
      <c r="L2071" s="61" t="n"/>
      <c r="M2071" s="61" t="n"/>
      <c r="N2071" s="61" t="n"/>
      <c r="O2071" s="61" t="n"/>
      <c r="P2071" s="61" t="n"/>
      <c r="Q2071" s="62" t="n"/>
      <c r="R2071" s="61" t="n"/>
    </row>
    <row r="2072" ht="15.75" customHeight="1" s="38">
      <c r="A2072" s="66" t="inlineStr">
        <is>
          <t>Uasvisión Ingeniería</t>
        </is>
      </c>
      <c r="B2072" s="66" t="inlineStr">
        <is>
          <t>Aerofotogrametría, Topografía Aérea y Terrestre</t>
        </is>
      </c>
      <c r="C2072" s="66" t="inlineStr">
        <is>
          <t>Santiago</t>
        </is>
      </c>
      <c r="D2072" s="66" t="inlineStr">
        <is>
          <t>contacto@uasvision.cl</t>
        </is>
      </c>
      <c r="E2072" s="66" t="inlineStr">
        <is>
          <t>(56) 2 2335 1176</t>
        </is>
      </c>
      <c r="F2072" s="66" t="n"/>
      <c r="G2072" s="66" t="n"/>
      <c r="H2072" s="66" t="n"/>
      <c r="I2072" s="66" t="inlineStr">
        <is>
          <t>76.308.927-4</t>
        </is>
      </c>
      <c r="J2072" s="66" t="n"/>
      <c r="K2072" s="66" t="inlineStr">
        <is>
          <t>Ventas: MEDIANA 2 (50.000 - 100.000 UF) | Empleados: 26</t>
        </is>
      </c>
      <c r="L2072" s="61" t="n"/>
      <c r="M2072" s="61" t="n"/>
      <c r="N2072" s="61" t="n"/>
      <c r="O2072" s="61" t="n"/>
      <c r="P2072" s="61" t="n"/>
      <c r="Q2072" s="62" t="n"/>
      <c r="R2072" s="61" t="n"/>
    </row>
    <row r="2073" ht="15.75" customHeight="1" s="38">
      <c r="A2073" s="66" t="inlineStr">
        <is>
          <t>UAV Latam Chile</t>
        </is>
      </c>
      <c r="B2073" s="66" t="inlineStr">
        <is>
          <t>Drones</t>
        </is>
      </c>
      <c r="C2073" s="66" t="inlineStr">
        <is>
          <t>Santiago</t>
        </is>
      </c>
      <c r="D2073" s="66" t="inlineStr">
        <is>
          <t>mbquiros@uavlatam.com</t>
        </is>
      </c>
      <c r="E2073" s="66" t="inlineStr">
        <is>
          <t>(56) 9 9222 1540</t>
        </is>
      </c>
      <c r="F2073" s="66" t="n"/>
      <c r="G2073" s="66" t="n"/>
      <c r="H2073" s="66" t="n"/>
      <c r="I2073" s="66" t="inlineStr">
        <is>
          <t>77569023-2</t>
        </is>
      </c>
      <c r="J2073" s="66" t="n"/>
      <c r="K2073" s="66" t="inlineStr">
        <is>
          <t>Ventas: MEDIANA 1 (25.000 - 50.000 UF) | Empleados: 5</t>
        </is>
      </c>
      <c r="L2073" s="61" t="n"/>
      <c r="M2073" s="61" t="n"/>
      <c r="N2073" s="61" t="n"/>
      <c r="O2073" s="61" t="n"/>
      <c r="P2073" s="61" t="n"/>
      <c r="Q2073" s="62" t="n"/>
      <c r="R2073" s="61" t="n"/>
    </row>
    <row r="2074" ht="15.75" customHeight="1" s="38">
      <c r="A2074" s="66" t="inlineStr">
        <is>
          <t>UAV Sensefly</t>
        </is>
      </c>
      <c r="B2074" s="66" t="inlineStr">
        <is>
          <t>Drones</t>
        </is>
      </c>
      <c r="C2074" s="66" t="inlineStr">
        <is>
          <t>Santiago</t>
        </is>
      </c>
      <c r="D2074" s="66" t="inlineStr">
        <is>
          <t>ventas@uavsensefly.cl</t>
        </is>
      </c>
      <c r="E2074" s="66" t="inlineStr">
        <is>
          <t>(56) 2 2235 2657</t>
        </is>
      </c>
      <c r="F2074" s="66" t="n"/>
      <c r="G2074" s="66" t="n"/>
      <c r="H2074" s="66" t="n"/>
      <c r="I2074" s="66" t="inlineStr">
        <is>
          <t>76.217.759-5</t>
        </is>
      </c>
      <c r="J2074" s="66" t="n"/>
      <c r="K2074" s="66" t="inlineStr">
        <is>
          <t>Ventas: PEQUEÑA 3 (10.000 - 25.000 UF) | Empleados: 4</t>
        </is>
      </c>
      <c r="L2074" s="61" t="n"/>
      <c r="M2074" s="61" t="n"/>
      <c r="N2074" s="61" t="n"/>
      <c r="O2074" s="61" t="n"/>
      <c r="P2074" s="61" t="n"/>
      <c r="Q2074" s="62" t="n"/>
      <c r="R2074" s="61" t="n"/>
    </row>
    <row r="2075" ht="15.75" customHeight="1" s="38">
      <c r="A2075" s="66" t="inlineStr">
        <is>
          <t>Ulma Andamios y Moldajes</t>
        </is>
      </c>
      <c r="B2075" s="66" t="inlineStr">
        <is>
          <t>Andamios, Encofrados</t>
        </is>
      </c>
      <c r="C2075" s="66" t="inlineStr">
        <is>
          <t>Santiago</t>
        </is>
      </c>
      <c r="D2075" s="66" t="inlineStr">
        <is>
          <t>ulma@ulmaconstruction.cl</t>
        </is>
      </c>
      <c r="E2075" s="66" t="inlineStr">
        <is>
          <t>(56) 2 2599 0530</t>
        </is>
      </c>
      <c r="F2075" s="66" t="inlineStr">
        <is>
          <t>Gerente de TI / CIO (Director de Tecnología)</t>
        </is>
      </c>
      <c r="G2075" s="66" t="n"/>
      <c r="H2075" s="66" t="inlineStr">
        <is>
          <t>http://www.ulmaconstruction.cl</t>
        </is>
      </c>
      <c r="I2075" s="66" t="inlineStr">
        <is>
          <t>96.777.600-9</t>
        </is>
      </c>
      <c r="J2075" s="66" t="n"/>
      <c r="K2075" s="66" t="inlineStr">
        <is>
          <t>Ventas: GRANDE 3 (600.000 - 1.000.000 UF) | Empleados: 127</t>
        </is>
      </c>
      <c r="L2075" s="61" t="n"/>
      <c r="M2075" s="61" t="n"/>
      <c r="N2075" s="61" t="n"/>
      <c r="O2075" s="61" t="n"/>
      <c r="P2075" s="61" t="n"/>
      <c r="Q2075" s="62" t="n"/>
      <c r="R2075" s="61" t="n"/>
    </row>
    <row r="2076" ht="15.75" customHeight="1" s="38">
      <c r="A2076" s="59" t="inlineStr">
        <is>
          <t>Ulog -Ultramar Logistic</t>
        </is>
      </c>
      <c r="B2076" s="59" t="inlineStr">
        <is>
          <t>Transporte Nacional</t>
        </is>
      </c>
      <c r="C2076" s="59" t="inlineStr">
        <is>
          <t>Valparaíso</t>
        </is>
      </c>
      <c r="D2076" s="59" t="inlineStr">
        <is>
          <t>soporte@ulog.cl</t>
        </is>
      </c>
      <c r="E2076" s="59" t="inlineStr">
        <is>
          <t>(56) 2 2630 1000</t>
        </is>
      </c>
      <c r="F2076" s="59" t="inlineStr">
        <is>
          <t>Francisco Javier Ramirez (Gerente TI)</t>
        </is>
      </c>
      <c r="G2076" s="59" t="n"/>
      <c r="H2076" s="59" t="n"/>
      <c r="I2076" s="59" t="inlineStr">
        <is>
          <t>80.992.000-3</t>
        </is>
      </c>
      <c r="J2076" s="59" t="inlineStr">
        <is>
          <t>Liderazgo IT Multi-puerto</t>
        </is>
      </c>
      <c r="K2076" s="59" t="inlineStr">
        <is>
          <t>Ventas: GRANDE (Estimado por Empleados) | Empleados: 374</t>
        </is>
      </c>
      <c r="L2076" s="61" t="n"/>
      <c r="M2076" s="61" t="n"/>
      <c r="N2076" s="61" t="n"/>
      <c r="O2076" s="61" t="n"/>
      <c r="P2076" s="61" t="n"/>
      <c r="Q2076" s="62" t="n"/>
      <c r="R2076" s="61" t="n"/>
    </row>
    <row r="2077" ht="15.75" customHeight="1" s="38">
      <c r="A2077" s="66" t="inlineStr">
        <is>
          <t>UltraMin SpA</t>
        </is>
      </c>
      <c r="B2077" s="66" t="inlineStr">
        <is>
          <t>Resinas Epóxicas, Revestimientos en Superficies de Caucho, Acero y Hormigón</t>
        </is>
      </c>
      <c r="C2077" s="66" t="inlineStr">
        <is>
          <t>Antofagasta</t>
        </is>
      </c>
      <c r="D2077" s="66" t="inlineStr">
        <is>
          <t>ventas@ultramin.cl</t>
        </is>
      </c>
      <c r="E2077" s="66" t="inlineStr">
        <is>
          <t>(56) 9 7870 7113</t>
        </is>
      </c>
      <c r="F2077" s="66" t="n"/>
      <c r="G2077" s="66" t="n"/>
      <c r="H2077" s="66" t="n"/>
      <c r="I2077" s="66" t="inlineStr">
        <is>
          <t>77.166.593-4</t>
        </is>
      </c>
      <c r="J2077" s="66" t="n"/>
      <c r="K2077" s="66" t="inlineStr">
        <is>
          <t>Ventas: GRANDE 1 (100.000 - 200.000 UF) | Empleados: 29</t>
        </is>
      </c>
      <c r="L2077" s="61" t="n"/>
      <c r="M2077" s="61" t="n"/>
      <c r="N2077" s="61" t="n"/>
      <c r="O2077" s="61" t="n"/>
      <c r="P2077" s="61" t="n"/>
      <c r="Q2077" s="62" t="n"/>
      <c r="R2077" s="61" t="n"/>
    </row>
    <row r="2078" ht="15.75" customHeight="1" s="38">
      <c r="A2078" s="66" t="inlineStr">
        <is>
          <t>Ultraport Ltda.</t>
        </is>
      </c>
      <c r="B2078" s="66" t="inlineStr">
        <is>
          <t>Empresas Portuarias</t>
        </is>
      </c>
      <c r="C2078" s="66" t="inlineStr">
        <is>
          <t>Valparaíso</t>
        </is>
      </c>
      <c r="D2078" s="66" t="inlineStr">
        <is>
          <t>contacto@ultraport.cl</t>
        </is>
      </c>
      <c r="E2078" s="66" t="inlineStr">
        <is>
          <t>(56) 32 220 2975</t>
        </is>
      </c>
      <c r="F2078" s="66" t="n"/>
      <c r="G2078" s="66" t="n"/>
      <c r="H2078" s="66" t="n"/>
      <c r="I2078" s="66" t="inlineStr">
        <is>
          <t>88.056.400-5</t>
        </is>
      </c>
      <c r="J2078" s="66" t="n"/>
      <c r="K2078" s="66" t="inlineStr">
        <is>
          <t>Ventas: GRANDE (Estimado por Empleados) | Empleados: 3407</t>
        </is>
      </c>
      <c r="L2078" s="61" t="n"/>
      <c r="M2078" s="61" t="n"/>
      <c r="N2078" s="61" t="n"/>
      <c r="O2078" s="61" t="n"/>
      <c r="P2078" s="61" t="n"/>
      <c r="Q2078" s="62" t="n"/>
      <c r="R2078" s="61" t="n"/>
    </row>
    <row r="2079" ht="15.75" customHeight="1" s="38">
      <c r="A2079" s="66" t="inlineStr">
        <is>
          <t>Ultraseal</t>
        </is>
      </c>
      <c r="B2079" s="66" t="inlineStr">
        <is>
          <t>Protección de Neumáticos de Pinchazos y Cortes para uso Minero</t>
        </is>
      </c>
      <c r="C2079" s="66" t="inlineStr">
        <is>
          <t>Santiago</t>
        </is>
      </c>
      <c r="D2079" s="66" t="inlineStr">
        <is>
          <t>jose.bascur@ultraseal-latam.com</t>
        </is>
      </c>
      <c r="E2079" s="66" t="inlineStr">
        <is>
          <t>(56) 9 7517 7743</t>
        </is>
      </c>
      <c r="F2079" s="66" t="n"/>
      <c r="G2079" s="66" t="n"/>
      <c r="H2079" s="66" t="n"/>
      <c r="I2079" s="66" t="inlineStr">
        <is>
          <t>76211401-1</t>
        </is>
      </c>
      <c r="J2079" s="66" t="n"/>
      <c r="K2079" s="66" t="inlineStr">
        <is>
          <t>Ventas: MICRO 1 (0.01 - 200 UF) | Empleados: 0</t>
        </is>
      </c>
      <c r="L2079" s="61" t="n"/>
      <c r="M2079" s="61" t="n"/>
      <c r="N2079" s="61" t="n"/>
      <c r="O2079" s="61" t="n"/>
      <c r="P2079" s="61" t="n"/>
      <c r="Q2079" s="62" t="n"/>
      <c r="R2079" s="61" t="n"/>
    </row>
    <row r="2080" ht="15.75" customHeight="1" s="38">
      <c r="A2080" s="66" t="inlineStr">
        <is>
          <t>Unacem Chile</t>
        </is>
      </c>
      <c r="B2080" s="66" t="inlineStr">
        <is>
          <t>Cemento</t>
        </is>
      </c>
      <c r="C2080" s="66" t="inlineStr">
        <is>
          <t>Santiago</t>
        </is>
      </c>
      <c r="D2080" s="66" t="inlineStr">
        <is>
          <t>contacto@unacem.cl</t>
        </is>
      </c>
      <c r="E2080" s="66" t="inlineStr">
        <is>
          <t>(56) 2 2938 9600</t>
        </is>
      </c>
      <c r="F2080" s="66" t="n"/>
      <c r="G2080" s="66" t="n"/>
      <c r="H2080" s="66" t="n"/>
      <c r="I2080" s="66" t="inlineStr">
        <is>
          <t>99.587.520-9</t>
        </is>
      </c>
      <c r="J2080" s="66" t="n"/>
      <c r="K2080" s="66" t="inlineStr">
        <is>
          <t>Ventas: MEDIANA (Estimado por Empleados) | Empleados: 98</t>
        </is>
      </c>
      <c r="L2080" s="61" t="n"/>
      <c r="M2080" s="61" t="n"/>
      <c r="N2080" s="61" t="n"/>
      <c r="O2080" s="61" t="n"/>
      <c r="P2080" s="61" t="n"/>
      <c r="Q2080" s="62" t="n"/>
      <c r="R2080" s="61" t="n"/>
    </row>
    <row r="2081" ht="15.75" customHeight="1" s="38">
      <c r="A2081" s="66" t="inlineStr">
        <is>
          <t>Uni International</t>
        </is>
      </c>
      <c r="B2081" s="66" t="inlineStr">
        <is>
          <t>Agencias de Carga, Consolidación y Desconsolidación de Carga, Transporte de Cargas Especiales</t>
        </is>
      </c>
      <c r="C2081" s="66" t="inlineStr">
        <is>
          <t>Santiago</t>
        </is>
      </c>
      <c r="D2081" s="66" t="inlineStr">
        <is>
          <t>chile@uniinternational.com</t>
        </is>
      </c>
      <c r="E2081" s="66" t="inlineStr">
        <is>
          <t>(56) 2 2585 6935</t>
        </is>
      </c>
      <c r="F2081" s="66" t="n"/>
      <c r="G2081" s="66" t="n"/>
      <c r="H2081" s="66" t="n"/>
      <c r="I2081" s="66" t="inlineStr">
        <is>
          <t>76.921.680-4</t>
        </is>
      </c>
      <c r="J2081" s="66" t="n"/>
      <c r="K2081" s="66" t="inlineStr">
        <is>
          <t>Ventas: MEDIANA 2 (50.000 - 100.000 UF) | Empleados: 4</t>
        </is>
      </c>
      <c r="L2081" s="61" t="n"/>
      <c r="M2081" s="61" t="n"/>
      <c r="N2081" s="61" t="n"/>
      <c r="O2081" s="61" t="n"/>
      <c r="P2081" s="61" t="n"/>
      <c r="Q2081" s="62" t="n"/>
      <c r="R2081" s="61" t="n"/>
    </row>
    <row r="2082" ht="15.75" customHeight="1" s="38">
      <c r="A2082" s="66" t="inlineStr">
        <is>
          <t>Unilink</t>
        </is>
      </c>
      <c r="B2082" s="66" t="inlineStr">
        <is>
          <t>Portal de Negocios y Abastecimiento, Sistema Electrónico B2B, Especializado en MRO (mantenimiento, reparación y operación) y Productos Industriales con uso Intensivo de Activos</t>
        </is>
      </c>
      <c r="C2082" s="66" t="inlineStr">
        <is>
          <t>Santiago</t>
        </is>
      </c>
      <c r="D2082" s="66" t="inlineStr">
        <is>
          <t>francisco.guzman@unilinkcorp.com</t>
        </is>
      </c>
      <c r="E2082" s="66" t="inlineStr">
        <is>
          <t>(56) 2 2405 3412</t>
        </is>
      </c>
      <c r="F2082" s="66" t="n"/>
      <c r="G2082" s="66" t="n"/>
      <c r="H2082" s="66" t="n"/>
      <c r="I2082" s="66" t="inlineStr">
        <is>
          <t>76.283.839-7</t>
        </is>
      </c>
      <c r="J2082" s="66" t="n"/>
      <c r="K2082" s="66" t="inlineStr">
        <is>
          <t>Ventas: GRANDE 1 (100.000 - 200.000 UF) | Empleados: 44</t>
        </is>
      </c>
      <c r="L2082" s="61" t="n"/>
      <c r="M2082" s="61" t="n"/>
      <c r="N2082" s="61" t="n"/>
      <c r="O2082" s="61" t="n"/>
      <c r="P2082" s="61" t="n"/>
      <c r="Q2082" s="62" t="n"/>
      <c r="R2082" s="61" t="n"/>
    </row>
    <row r="2083" ht="15.75" customHeight="1" s="38">
      <c r="A2083" s="66" t="inlineStr">
        <is>
          <t>Unimatic S.A.</t>
        </is>
      </c>
      <c r="B2083" s="66" t="inlineStr">
        <is>
          <t>Bombas para Pozos Profundos</t>
        </is>
      </c>
      <c r="C2083" s="66" t="inlineStr">
        <is>
          <t>Santiago</t>
        </is>
      </c>
      <c r="D2083" s="66" t="inlineStr">
        <is>
          <t>unimatic@unimatic.cl</t>
        </is>
      </c>
      <c r="E2083" s="66" t="inlineStr">
        <is>
          <t>(56) 2 2273 1848</t>
        </is>
      </c>
      <c r="F2083" s="66" t="n"/>
      <c r="G2083" s="66" t="n"/>
      <c r="H2083" s="66" t="n"/>
      <c r="I2083" s="66" t="inlineStr">
        <is>
          <t>83.862.100-7</t>
        </is>
      </c>
      <c r="J2083" s="66" t="n"/>
      <c r="K2083" s="66" t="inlineStr">
        <is>
          <t>Ventas: GRANDE 1 (100.000 - 200.000 UF) | Empleados: 44</t>
        </is>
      </c>
      <c r="L2083" s="61" t="n"/>
      <c r="M2083" s="61" t="n"/>
      <c r="N2083" s="61" t="n"/>
      <c r="O2083" s="61" t="n"/>
      <c r="P2083" s="61" t="n"/>
      <c r="Q2083" s="62" t="n"/>
      <c r="R2083" s="61" t="n"/>
    </row>
    <row r="2084" ht="15.75" customHeight="1" s="38">
      <c r="A2084" s="66" t="inlineStr">
        <is>
          <t>Unispan Chile</t>
        </is>
      </c>
      <c r="B2084" s="66" t="inlineStr">
        <is>
          <t>Andamios, Encofrados</t>
        </is>
      </c>
      <c r="C2084" s="66" t="inlineStr">
        <is>
          <t>Santiago</t>
        </is>
      </c>
      <c r="D2084" s="66" t="inlineStr">
        <is>
          <t>pbaudet@unispan.com</t>
        </is>
      </c>
      <c r="E2084" s="66" t="inlineStr">
        <is>
          <t>(56) 2 2784 9030</t>
        </is>
      </c>
      <c r="F2084" s="66" t="n"/>
      <c r="G2084" s="66" t="n"/>
      <c r="H2084" s="66" t="n"/>
      <c r="I2084" s="66" t="inlineStr">
        <is>
          <t>77.209.435-3</t>
        </is>
      </c>
      <c r="J2084" s="66" t="n"/>
      <c r="K2084" s="66" t="inlineStr">
        <is>
          <t>Ventas: GRANDE 2 (200.000 - 600.000 UF) | Empleados: 130</t>
        </is>
      </c>
      <c r="L2084" s="61" t="n"/>
      <c r="M2084" s="61" t="n"/>
      <c r="N2084" s="61" t="n"/>
      <c r="O2084" s="61" t="n"/>
      <c r="P2084" s="61" t="n"/>
      <c r="Q2084" s="62" t="n"/>
      <c r="R2084" s="61" t="n"/>
    </row>
    <row r="2085" ht="15.75" customHeight="1" s="38">
      <c r="A2085" s="66" t="inlineStr">
        <is>
          <t>United</t>
        </is>
      </c>
      <c r="B2085" s="66" t="inlineStr">
        <is>
          <t>Servicios de Pipeline</t>
        </is>
      </c>
      <c r="C2085" s="66" t="inlineStr">
        <is>
          <t>Santiago</t>
        </is>
      </c>
      <c r="D2085" s="66" t="inlineStr">
        <is>
          <t>info@unitedpipeline-sa.com</t>
        </is>
      </c>
      <c r="E2085" s="66" t="inlineStr">
        <is>
          <t>(56) 2 2207 4966</t>
        </is>
      </c>
      <c r="F2085" s="66" t="n"/>
      <c r="G2085" s="66" t="n"/>
      <c r="H2085" s="66" t="n"/>
      <c r="I2085" s="66" t="inlineStr">
        <is>
          <t>76321722-1</t>
        </is>
      </c>
      <c r="J2085" s="66" t="n"/>
      <c r="K2085" s="66" t="inlineStr">
        <is>
          <t>Ventas: MICRO 1 (0.01 - 200 UF) | Empleados: 0</t>
        </is>
      </c>
      <c r="L2085" s="61" t="n"/>
      <c r="M2085" s="61" t="n"/>
      <c r="N2085" s="61" t="n"/>
      <c r="O2085" s="61" t="n"/>
      <c r="P2085" s="61" t="n"/>
      <c r="Q2085" s="62" t="n"/>
      <c r="R2085" s="61" t="n"/>
    </row>
    <row r="2086" ht="15.75" customHeight="1" s="38">
      <c r="A2086" s="66" t="inlineStr">
        <is>
          <t>United Sistemas de Tuberías Ltda.</t>
        </is>
      </c>
      <c r="B2086" s="66" t="inlineStr">
        <is>
          <t>Tubos de Acero Inoxidable, Tubos Revestidos con HDPE</t>
        </is>
      </c>
      <c r="C2086" s="66" t="inlineStr">
        <is>
          <t>Santiago</t>
        </is>
      </c>
      <c r="D2086" s="66" t="inlineStr">
        <is>
          <t>mlopez@unitedchile.cl</t>
        </is>
      </c>
      <c r="E2086" s="66" t="inlineStr">
        <is>
          <t>(56) 2 2207 4966</t>
        </is>
      </c>
      <c r="F2086" s="66" t="n"/>
      <c r="G2086" s="66" t="n"/>
      <c r="H2086" s="66" t="n"/>
      <c r="I2086" s="66" t="inlineStr">
        <is>
          <t>78.451.050-6</t>
        </is>
      </c>
      <c r="J2086" s="66" t="n"/>
      <c r="K2086" s="66" t="inlineStr">
        <is>
          <t>Ventas: GRANDE (Estimado por Empleados) | Empleados: 1388</t>
        </is>
      </c>
      <c r="L2086" s="61" t="n"/>
      <c r="M2086" s="61" t="n"/>
      <c r="N2086" s="61" t="n"/>
      <c r="O2086" s="61" t="n"/>
      <c r="P2086" s="61" t="n"/>
      <c r="Q2086" s="62" t="n"/>
      <c r="R2086" s="61" t="n"/>
    </row>
    <row r="2087" ht="15.75" customHeight="1" s="38">
      <c r="A2087" s="66" t="inlineStr">
        <is>
          <t>Unión Técnica Automotriz S.A.</t>
        </is>
      </c>
      <c r="B2087" s="66" t="inlineStr">
        <is>
          <t>Repuestos para Camiones</t>
        </is>
      </c>
      <c r="C2087" s="66" t="inlineStr">
        <is>
          <t>Santiago</t>
        </is>
      </c>
      <c r="D2087" s="66" t="inlineStr">
        <is>
          <t>ecommerce@uniontecnica.cl</t>
        </is>
      </c>
      <c r="E2087" s="66" t="inlineStr">
        <is>
          <t>(56) 2 2437 2500</t>
        </is>
      </c>
      <c r="F2087" s="66" t="inlineStr">
        <is>
          <t>Gerente de TI / CIO (Director de Tecnología)</t>
        </is>
      </c>
      <c r="G2087" s="66" t="n"/>
      <c r="H2087" s="66" t="n"/>
      <c r="I2087" s="66" t="inlineStr">
        <is>
          <t>92.379.000-4</t>
        </is>
      </c>
      <c r="J2087" s="66" t="n"/>
      <c r="K2087" s="66" t="inlineStr">
        <is>
          <t>Ventas: GRANDE 3 (600.000 - 1.000.000 UF) | Empleados: 70</t>
        </is>
      </c>
      <c r="L2087" s="61" t="n"/>
      <c r="M2087" s="61" t="n"/>
      <c r="N2087" s="61" t="n"/>
      <c r="O2087" s="61" t="n"/>
      <c r="P2087" s="61" t="n"/>
      <c r="Q2087" s="62" t="n"/>
      <c r="R2087" s="61" t="n"/>
    </row>
    <row r="2088" ht="15.75" customHeight="1" s="38">
      <c r="A2088" s="66" t="inlineStr">
        <is>
          <t>UNTEC - Fundación para la Transferencia Tecnológica</t>
        </is>
      </c>
      <c r="B2088" s="66" t="inlineStr">
        <is>
          <t>Apoyo al Desarrollo de Prototipos y Pilotos de Innovación Tecnológica</t>
        </is>
      </c>
      <c r="C2088" s="66" t="inlineStr">
        <is>
          <t>Santiago</t>
        </is>
      </c>
      <c r="D2088" s="66" t="inlineStr">
        <is>
          <t>proyectos@untec.cl</t>
        </is>
      </c>
      <c r="E2088" s="66" t="inlineStr">
        <is>
          <t>(56) 2 2977 1260</t>
        </is>
      </c>
      <c r="F2088" s="66" t="n"/>
      <c r="G2088" s="66" t="n"/>
      <c r="H2088" s="66" t="n"/>
      <c r="I2088" s="66" t="inlineStr">
        <is>
          <t>71.645.400-2</t>
        </is>
      </c>
      <c r="J2088" s="66" t="n"/>
      <c r="K2088" s="66" t="inlineStr">
        <is>
          <t>Ventas: MEDIANA 1 (25.000 - 50.000 UF) | Empleados: 6</t>
        </is>
      </c>
      <c r="L2088" s="61" t="n"/>
      <c r="M2088" s="61" t="n"/>
      <c r="N2088" s="61" t="n"/>
      <c r="O2088" s="61" t="n"/>
      <c r="P2088" s="61" t="n"/>
      <c r="Q2088" s="62" t="n"/>
      <c r="R2088" s="61" t="n"/>
    </row>
    <row r="2089" ht="15.75" customHeight="1" s="38">
      <c r="A2089" s="66" t="inlineStr">
        <is>
          <t>UTC Overseas S.A.</t>
        </is>
      </c>
      <c r="B2089" s="66" t="inlineStr">
        <is>
          <t>Transporte Marítimo</t>
        </is>
      </c>
      <c r="C2089" s="66" t="inlineStr">
        <is>
          <t>Santiago</t>
        </is>
      </c>
      <c r="D2089" s="66" t="inlineStr">
        <is>
          <t>santiago@utcoverseas.com</t>
        </is>
      </c>
      <c r="E2089" s="66" t="inlineStr">
        <is>
          <t>(56) 2 2242 9697</t>
        </is>
      </c>
      <c r="F2089" s="66" t="n"/>
      <c r="G2089" s="66" t="n"/>
      <c r="H2089" s="66" t="n"/>
      <c r="I2089" s="66" t="inlineStr">
        <is>
          <t>99.540.780-9</t>
        </is>
      </c>
      <c r="J2089" s="66" t="n"/>
      <c r="K2089" s="66" t="inlineStr">
        <is>
          <t>Ventas: GRANDE 1 (100.000 - 200.000 UF) | Empleados: 7</t>
        </is>
      </c>
      <c r="L2089" s="61" t="n"/>
      <c r="M2089" s="61" t="n"/>
      <c r="N2089" s="61" t="n"/>
      <c r="O2089" s="61" t="n"/>
      <c r="P2089" s="61" t="n"/>
      <c r="Q2089" s="62" t="n"/>
      <c r="R2089" s="61" t="n"/>
    </row>
    <row r="2090" ht="15.75" customHeight="1" s="38">
      <c r="A2090" s="59" t="inlineStr">
        <is>
          <t>V-Max Latam</t>
        </is>
      </c>
      <c r="B2090" s="59" t="inlineStr">
        <is>
          <t>Transporte de Fluidos, Tuberías HDPE</t>
        </is>
      </c>
      <c r="C2090" s="59" t="inlineStr">
        <is>
          <t>Mejillones</t>
        </is>
      </c>
      <c r="D2090" s="59" t="inlineStr">
        <is>
          <t>comunicaciones@v-max.com</t>
        </is>
      </c>
      <c r="E2090" s="59" t="inlineStr">
        <is>
          <t>(56) 2 2862 9999</t>
        </is>
      </c>
      <c r="F2090" s="59" t="inlineStr">
        <is>
          <t>Javier Walger (Gerente General)</t>
        </is>
      </c>
      <c r="G2090" s="59" t="inlineStr">
        <is>
          <t>jwalger@v-max.cl</t>
        </is>
      </c>
      <c r="H2090" s="59" t="n"/>
      <c r="I2090" s="59" t="inlineStr">
        <is>
          <t>76.133.595-2</t>
        </is>
      </c>
      <c r="J2090" s="59" t="inlineStr">
        <is>
          <t>Investigación en Proceso</t>
        </is>
      </c>
      <c r="K2090" s="59" t="inlineStr">
        <is>
          <t>Ventas: GRANDE 3 (600.000 - 1.000.000 UF) | Empleados: 122</t>
        </is>
      </c>
      <c r="L2090" s="61" t="n"/>
      <c r="M2090" s="61" t="n"/>
      <c r="N2090" s="61" t="n"/>
      <c r="O2090" s="61" t="n"/>
      <c r="P2090" s="61" t="n"/>
      <c r="Q2090" s="62" t="n"/>
      <c r="R2090" s="61" t="n"/>
    </row>
    <row r="2091" ht="15.75" customHeight="1" s="38">
      <c r="A2091" s="66" t="inlineStr">
        <is>
          <t>VAG Chile</t>
        </is>
      </c>
      <c r="B2091" s="66" t="inlineStr">
        <is>
          <t>Tratamiento de Aguas Servidas, Válvulas</t>
        </is>
      </c>
      <c r="C2091" s="66" t="inlineStr">
        <is>
          <t>Santiago</t>
        </is>
      </c>
      <c r="D2091" s="66" t="inlineStr">
        <is>
          <t>j.bonilla@vag-group.com</t>
        </is>
      </c>
      <c r="E2091" s="66" t="inlineStr">
        <is>
          <t>(56) 2 2366 6036</t>
        </is>
      </c>
      <c r="F2091" s="66" t="n"/>
      <c r="G2091" s="66" t="n"/>
      <c r="H2091" s="66" t="n"/>
      <c r="I2091" s="66" t="inlineStr">
        <is>
          <t>76.893.010-4</t>
        </is>
      </c>
      <c r="J2091" s="66" t="n"/>
      <c r="K2091" s="66" t="inlineStr">
        <is>
          <t>Ventas: PEQUEÑA 1 (2.400 - 5.000 UF) | Empleados: 1</t>
        </is>
      </c>
      <c r="L2091" s="61" t="n"/>
      <c r="M2091" s="61" t="n"/>
      <c r="N2091" s="61" t="n"/>
      <c r="O2091" s="61" t="n"/>
      <c r="P2091" s="61" t="n"/>
      <c r="Q2091" s="62" t="n"/>
      <c r="R2091" s="61" t="n"/>
    </row>
    <row r="2092" ht="15.75" customHeight="1" s="38">
      <c r="A2092" s="66" t="inlineStr">
        <is>
          <t>Valencia S.A.</t>
        </is>
      </c>
      <c r="B2092" s="66" t="inlineStr">
        <is>
          <t>Aceros para Perforación</t>
        </is>
      </c>
      <c r="C2092" s="66" t="inlineStr">
        <is>
          <t>Santiago</t>
        </is>
      </c>
      <c r="D2092" s="66" t="inlineStr">
        <is>
          <t>ventas@valenciasa.cl</t>
        </is>
      </c>
      <c r="E2092" s="66" t="inlineStr">
        <is>
          <t>(56) 2 2816 1000</t>
        </is>
      </c>
      <c r="F2092" s="66" t="n"/>
      <c r="G2092" s="66" t="n"/>
      <c r="H2092" s="66" t="n"/>
      <c r="I2092" s="66" t="inlineStr">
        <is>
          <t>96.946.410-1</t>
        </is>
      </c>
      <c r="J2092" s="66" t="n"/>
      <c r="K2092" s="66" t="inlineStr">
        <is>
          <t>Ventas: GRANDE 2 (200.000 - 600.000 UF) | Empleados: 88</t>
        </is>
      </c>
      <c r="L2092" s="61" t="n"/>
      <c r="M2092" s="61" t="n"/>
      <c r="N2092" s="61" t="n"/>
      <c r="O2092" s="61" t="n"/>
      <c r="P2092" s="61" t="n"/>
      <c r="Q2092" s="62" t="n"/>
      <c r="R2092" s="61" t="n"/>
    </row>
    <row r="2093" ht="15.75" customHeight="1" s="38">
      <c r="A2093" s="66" t="inlineStr">
        <is>
          <t>Valmet</t>
        </is>
      </c>
      <c r="B2093" s="66" t="inlineStr">
        <is>
          <t>Bombas, Sistemas de Automatización, Sistemas de Control de Flujo</t>
        </is>
      </c>
      <c r="C2093" s="66" t="inlineStr">
        <is>
          <t>Concepción</t>
        </is>
      </c>
      <c r="D2093" s="66" t="inlineStr">
        <is>
          <t>carl.mikael.stal@valmet.com</t>
        </is>
      </c>
      <c r="E2093" s="66" t="inlineStr">
        <is>
          <t>(56) 41 285 1160</t>
        </is>
      </c>
      <c r="F2093" s="66" t="n"/>
      <c r="G2093" s="66" t="n"/>
      <c r="H2093" s="66" t="n"/>
      <c r="I2093" s="66" t="inlineStr">
        <is>
          <t>96.633.220-4</t>
        </is>
      </c>
      <c r="J2093" s="66" t="n"/>
      <c r="K2093" s="66" t="inlineStr">
        <is>
          <t>Ventas: MEDIANA (Estimado por Empleados) | Empleados: 152</t>
        </is>
      </c>
      <c r="L2093" s="61" t="n"/>
      <c r="M2093" s="61" t="n"/>
      <c r="N2093" s="61" t="n"/>
      <c r="O2093" s="61" t="n"/>
      <c r="P2093" s="61" t="n"/>
      <c r="Q2093" s="62" t="n"/>
      <c r="R2093" s="61" t="n"/>
    </row>
    <row r="2094" ht="15.75" customHeight="1" s="38">
      <c r="A2094" s="66" t="inlineStr">
        <is>
          <t>Valor Estratégico Consultores e Inversiones Ltda.</t>
        </is>
      </c>
      <c r="B2094" s="66" t="inlineStr">
        <is>
          <t>Asesorías en Planificación Estratégica, Consultoría en Proyectos Mineros</t>
        </is>
      </c>
      <c r="C2094" s="66" t="inlineStr">
        <is>
          <t>Santiago</t>
        </is>
      </c>
      <c r="D2094" s="66" t="inlineStr">
        <is>
          <t>contacto@valorestrategico.cl</t>
        </is>
      </c>
      <c r="E2094" s="66" t="inlineStr">
        <is>
          <t>(56) 2 2437 7700</t>
        </is>
      </c>
      <c r="F2094" s="66" t="n"/>
      <c r="G2094" s="66" t="n"/>
      <c r="H2094" s="66" t="n"/>
      <c r="I2094" s="66" t="inlineStr">
        <is>
          <t>77.361.720-1</t>
        </is>
      </c>
      <c r="J2094" s="66" t="n"/>
      <c r="K2094" s="66" t="inlineStr">
        <is>
          <t>Ventas: MEDIANA 1 (25.000 - 50.000 UF) | Empleados: 17</t>
        </is>
      </c>
      <c r="L2094" s="61" t="n"/>
      <c r="M2094" s="61" t="n"/>
      <c r="N2094" s="61" t="n"/>
      <c r="O2094" s="61" t="n"/>
      <c r="P2094" s="61" t="n"/>
      <c r="Q2094" s="62" t="n"/>
      <c r="R2094" s="61" t="n"/>
    </row>
    <row r="2095" ht="15.75" customHeight="1" s="38">
      <c r="A2095" s="59" t="inlineStr">
        <is>
          <t>Vantaz Group</t>
        </is>
      </c>
      <c r="B2095" s="59" t="inlineStr">
        <is>
          <t>Consultoría para la Minería, Diseño, Implementación y Apoyo a la Operación Minera</t>
        </is>
      </c>
      <c r="C2095" s="59" t="inlineStr">
        <is>
          <t>Santiago</t>
        </is>
      </c>
      <c r="D2095" s="59" t="inlineStr">
        <is>
          <t>info@vantaz.com</t>
        </is>
      </c>
      <c r="E2095" s="59" t="inlineStr">
        <is>
          <t>(56) 2 2206 0290</t>
        </is>
      </c>
      <c r="F2095" s="59" t="inlineStr">
        <is>
          <t>Mauro Mezzano (Partner (Digital Lead))</t>
        </is>
      </c>
      <c r="G2095" s="59" t="inlineStr">
        <is>
          <t>mauro.mezzano@vantaz.com</t>
        </is>
      </c>
      <c r="H2095" s="59" t="n"/>
      <c r="I2095" s="59" t="inlineStr">
        <is>
          <t>77.466.060-7</t>
        </is>
      </c>
      <c r="J2095" s="59" t="inlineStr">
        <is>
          <t>Investigación en Proceso</t>
        </is>
      </c>
      <c r="K2095" s="59" t="inlineStr">
        <is>
          <t>Ventas: GRANDE 3 (600.000 - 1.000.000 UF) | Empleados: 172</t>
        </is>
      </c>
      <c r="L2095" s="61" t="n"/>
      <c r="M2095" s="61" t="n"/>
      <c r="N2095" s="61" t="n"/>
      <c r="O2095" s="61" t="n"/>
      <c r="P2095" s="61" t="n"/>
      <c r="Q2095" s="62" t="n"/>
      <c r="R2095" s="61" t="n"/>
    </row>
    <row r="2096" ht="15.75" customHeight="1" s="38">
      <c r="A2096" s="66" t="inlineStr">
        <is>
          <t>Vantem Latam</t>
        </is>
      </c>
      <c r="B2096" s="66" t="inlineStr">
        <is>
          <t>Correas Transportadoras, Robot de Aseo</t>
        </is>
      </c>
      <c r="C2096" s="66" t="inlineStr">
        <is>
          <t>Santiago</t>
        </is>
      </c>
      <c r="D2096" s="66" t="inlineStr">
        <is>
          <t>info@vantemlatam.com</t>
        </is>
      </c>
      <c r="E2096" s="66" t="inlineStr">
        <is>
          <t>(56) 2 2980 4310</t>
        </is>
      </c>
      <c r="F2096" s="66" t="n"/>
      <c r="G2096" s="66" t="n"/>
      <c r="H2096" s="66" t="n"/>
      <c r="I2096" s="66" t="inlineStr">
        <is>
          <t>76.388.695-6</t>
        </is>
      </c>
      <c r="J2096" s="66" t="n"/>
      <c r="K2096" s="66" t="inlineStr">
        <is>
          <t>Ventas: MEDIANA 1 (25.000 - 50.000 UF) | Empleados: 2</t>
        </is>
      </c>
      <c r="L2096" s="61" t="n"/>
      <c r="M2096" s="61" t="n"/>
      <c r="N2096" s="61" t="n"/>
      <c r="O2096" s="61" t="n"/>
      <c r="P2096" s="61" t="n"/>
      <c r="Q2096" s="62" t="n"/>
      <c r="R2096" s="61" t="n"/>
    </row>
    <row r="2097" ht="15.75" customHeight="1" s="38">
      <c r="A2097" s="66" t="inlineStr">
        <is>
          <t>Vapensa</t>
        </is>
      </c>
      <c r="B2097" s="66" t="inlineStr">
        <is>
          <t>Calderas de Baja y Alta Presión, Torres de Enfriamiento</t>
        </is>
      </c>
      <c r="C2097" s="66" t="inlineStr">
        <is>
          <t>Santiago</t>
        </is>
      </c>
      <c r="D2097" s="66" t="inlineStr">
        <is>
          <t>ventaschile@vapensa.com</t>
        </is>
      </c>
      <c r="E2097" s="66" t="inlineStr">
        <is>
          <t>(56) 2 2832 2006</t>
        </is>
      </c>
      <c r="F2097" s="66" t="n"/>
      <c r="G2097" s="66" t="n"/>
      <c r="H2097" s="66" t="n"/>
      <c r="I2097" s="66" t="inlineStr">
        <is>
          <t>76.191.835-4</t>
        </is>
      </c>
      <c r="J2097" s="66" t="n"/>
      <c r="K2097" s="66" t="inlineStr">
        <is>
          <t>Ventas: MEDIANA 1 (25.000 - 50.000 UF) | Empleados: 15</t>
        </is>
      </c>
      <c r="L2097" s="61" t="n"/>
      <c r="M2097" s="61" t="n"/>
      <c r="N2097" s="61" t="n"/>
      <c r="O2097" s="61" t="n"/>
      <c r="P2097" s="61" t="n"/>
      <c r="Q2097" s="62" t="n"/>
      <c r="R2097" s="61" t="n"/>
    </row>
    <row r="2098" ht="15.75" customHeight="1" s="38">
      <c r="A2098" s="66" t="inlineStr">
        <is>
          <t>Variadores Chile Ltda.</t>
        </is>
      </c>
      <c r="B2098" s="66" t="inlineStr">
        <is>
          <t>Equipos para Control de Movimiento, Variadores de Frecuencia</t>
        </is>
      </c>
      <c r="C2098" s="66" t="inlineStr">
        <is>
          <t>Santiago</t>
        </is>
      </c>
      <c r="D2098" s="66" t="inlineStr">
        <is>
          <t>info@variadoreschile.cl</t>
        </is>
      </c>
      <c r="E2098" s="66" t="inlineStr">
        <is>
          <t>(56) 2 2769 0585</t>
        </is>
      </c>
      <c r="F2098" s="66" t="n"/>
      <c r="G2098" s="66" t="n"/>
      <c r="H2098" s="66" t="n"/>
      <c r="I2098" s="66" t="inlineStr">
        <is>
          <t>76.487.246-0</t>
        </is>
      </c>
      <c r="J2098" s="66" t="n"/>
      <c r="K2098" s="66" t="inlineStr">
        <is>
          <t>Ventas: MEDIANA 1 (25.000 - 50.000 UF) | Empleados: 10</t>
        </is>
      </c>
      <c r="L2098" s="61" t="n"/>
      <c r="M2098" s="61" t="n"/>
      <c r="N2098" s="61" t="n"/>
      <c r="O2098" s="61" t="n"/>
      <c r="P2098" s="61" t="n"/>
      <c r="Q2098" s="62" t="n"/>
      <c r="R2098" s="61" t="n"/>
    </row>
    <row r="2099" ht="15.75" customHeight="1" s="38">
      <c r="A2099" s="66" t="inlineStr">
        <is>
          <t>Vasko SpA</t>
        </is>
      </c>
      <c r="B2099" s="66" t="inlineStr">
        <is>
          <t>Software de Gestión, Topografía, Tratamiento de Aguas</t>
        </is>
      </c>
      <c r="C2099" s="66" t="inlineStr">
        <is>
          <t>Santiago</t>
        </is>
      </c>
      <c r="D2099" s="66" t="inlineStr">
        <is>
          <t>marcello@vasko.cl</t>
        </is>
      </c>
      <c r="E2099" s="66" t="inlineStr">
        <is>
          <t>(56) 9 4219 1187</t>
        </is>
      </c>
      <c r="F2099" s="66" t="n"/>
      <c r="G2099" s="66" t="n"/>
      <c r="H2099" s="66" t="inlineStr">
        <is>
          <t>http://www.vasko.cl</t>
        </is>
      </c>
      <c r="I2099" s="66" t="inlineStr">
        <is>
          <t>77.197.589-5</t>
        </is>
      </c>
      <c r="J2099" s="66" t="n"/>
      <c r="K2099" s="66" t="inlineStr">
        <is>
          <t>Ventas: MICRO 3 (600 - 2.400 UF) | Empleados: 0</t>
        </is>
      </c>
      <c r="L2099" s="61" t="n"/>
      <c r="M2099" s="61" t="n"/>
      <c r="N2099" s="61" t="n"/>
      <c r="O2099" s="61" t="n"/>
      <c r="P2099" s="61" t="n"/>
      <c r="Q2099" s="62" t="n"/>
      <c r="R2099" s="61" t="n"/>
    </row>
    <row r="2100" ht="15.75" customHeight="1" s="38">
      <c r="A2100" s="66" t="inlineStr">
        <is>
          <t>Vayeron Latin America</t>
        </is>
      </c>
      <c r="B2100" s="66" t="inlineStr">
        <is>
          <t>Tecnología Minera IoT</t>
        </is>
      </c>
      <c r="C2100" s="66" t="inlineStr">
        <is>
          <t>Santiago</t>
        </is>
      </c>
      <c r="D2100" s="66" t="inlineStr">
        <is>
          <t>kmena@iotchile.net</t>
        </is>
      </c>
      <c r="E2100" s="66" t="inlineStr">
        <is>
          <t>(56) 9 5902 5442</t>
        </is>
      </c>
      <c r="F2100" s="66" t="n"/>
      <c r="G2100" s="66" t="n"/>
      <c r="H2100" s="66" t="n"/>
      <c r="I2100" s="66" t="inlineStr">
        <is>
          <t>76794681-3</t>
        </is>
      </c>
      <c r="J2100" s="66" t="n"/>
      <c r="K2100" s="66" t="inlineStr">
        <is>
          <t>Ventas: PEQUEÑA 3 (10.000 - 25.000 UF) | Empleados: 3</t>
        </is>
      </c>
      <c r="L2100" s="61" t="n"/>
      <c r="M2100" s="61" t="n"/>
      <c r="N2100" s="61" t="n"/>
      <c r="O2100" s="61" t="n"/>
      <c r="P2100" s="61" t="n"/>
      <c r="Q2100" s="62" t="n"/>
      <c r="R2100" s="61" t="n"/>
    </row>
    <row r="2101" ht="15.75" customHeight="1" s="38">
      <c r="A2101" s="66" t="inlineStr">
        <is>
          <t>Vecchiola S.A.</t>
        </is>
      </c>
      <c r="B2101" s="66" t="inlineStr">
        <is>
          <t>Transporte de Cargas Especiales</t>
        </is>
      </c>
      <c r="C2101" s="66" t="inlineStr">
        <is>
          <t>Copiapó</t>
        </is>
      </c>
      <c r="D2101" s="66" t="inlineStr">
        <is>
          <t>vecchiola@vecchiola.cl</t>
        </is>
      </c>
      <c r="E2101" s="66" t="inlineStr">
        <is>
          <t>(56) 52 220 3100</t>
        </is>
      </c>
      <c r="F2101" s="66" t="n"/>
      <c r="G2101" s="66" t="n"/>
      <c r="H2101" s="66" t="n"/>
      <c r="I2101" s="66" t="inlineStr">
        <is>
          <t>87.049.000-3</t>
        </is>
      </c>
      <c r="J2101" s="66" t="n"/>
      <c r="K2101" s="66" t="inlineStr">
        <is>
          <t>Ventas: GRANDE (Estimado por Empleados) | Empleados: 1173</t>
        </is>
      </c>
      <c r="L2101" s="61" t="n"/>
      <c r="M2101" s="61" t="n"/>
      <c r="N2101" s="61" t="n"/>
      <c r="O2101" s="61" t="n"/>
      <c r="P2101" s="61" t="n"/>
      <c r="Q2101" s="62" t="n"/>
      <c r="R2101" s="61" t="n"/>
    </row>
    <row r="2102" ht="15.75" customHeight="1" s="38">
      <c r="A2102" s="59" t="inlineStr">
        <is>
          <t>Vega Industries Chile</t>
        </is>
      </c>
      <c r="B2102" s="59" t="inlineStr">
        <is>
          <t>Plantas Concentradoras, Revestimiento de Molinos</t>
        </is>
      </c>
      <c r="C2102" s="59" t="inlineStr">
        <is>
          <t>Santiago</t>
        </is>
      </c>
      <c r="D2102" s="59" t="inlineStr">
        <is>
          <t>chile.sales@vega-industries.com</t>
        </is>
      </c>
      <c r="E2102" s="59" t="inlineStr">
        <is>
          <t>(56) 9 7678 0360</t>
        </is>
      </c>
      <c r="F2102" s="59" t="inlineStr">
        <is>
          <t>Neftalí Rojas Reyes (Sales Manager)</t>
        </is>
      </c>
      <c r="G2102" s="59" t="n"/>
      <c r="H2102" s="59" t="n"/>
      <c r="I2102" s="59" t="inlineStr">
        <is>
          <t>76751831-5</t>
        </is>
      </c>
      <c r="J2102" s="59" t="inlineStr">
        <is>
          <t>Mejora Plantas Producción Piezas Desgaste</t>
        </is>
      </c>
      <c r="K2102" s="59" t="inlineStr">
        <is>
          <t>Ventas: GRANDE 2 (200.000 - 600.000 UF) | Empleados: 8</t>
        </is>
      </c>
      <c r="L2102" s="61" t="n"/>
      <c r="M2102" s="61" t="n"/>
      <c r="N2102" s="61" t="n"/>
      <c r="O2102" s="61" t="n"/>
      <c r="P2102" s="61" t="n"/>
      <c r="Q2102" s="62" t="n"/>
      <c r="R2102" s="61" t="n"/>
    </row>
    <row r="2103" ht="15.75" customHeight="1" s="38">
      <c r="A2103" s="66" t="inlineStr">
        <is>
          <t>Vegamining Ltda.</t>
        </is>
      </c>
      <c r="B2103" s="66" t="inlineStr">
        <is>
          <t>Equipos de Iluminación Led para Minería Subterránea</t>
        </is>
      </c>
      <c r="C2103" s="66" t="inlineStr">
        <is>
          <t>Santiago</t>
        </is>
      </c>
      <c r="D2103" s="66" t="inlineStr">
        <is>
          <t>contacto@vegamining.com</t>
        </is>
      </c>
      <c r="E2103" s="66" t="inlineStr">
        <is>
          <t>(56) 9 7387 2385</t>
        </is>
      </c>
      <c r="F2103" s="66" t="n"/>
      <c r="G2103" s="66" t="n"/>
      <c r="H2103" s="66" t="n"/>
      <c r="I2103" s="66" t="inlineStr">
        <is>
          <t>76.257.334-2</t>
        </is>
      </c>
      <c r="J2103" s="66" t="n"/>
      <c r="K2103" s="66" t="inlineStr">
        <is>
          <t>Ventas: MEDIANA 1 (25.000 - 50.000 UF) | Empleados: 1</t>
        </is>
      </c>
      <c r="L2103" s="61" t="n"/>
      <c r="M2103" s="61" t="n"/>
      <c r="N2103" s="61" t="n"/>
      <c r="O2103" s="61" t="n"/>
      <c r="P2103" s="61" t="n"/>
      <c r="Q2103" s="62" t="n"/>
      <c r="R2103" s="61" t="n"/>
    </row>
    <row r="2104" ht="15.75" customHeight="1" s="38">
      <c r="A2104" s="66" t="inlineStr">
        <is>
          <t>Veldeman Chile SpA</t>
        </is>
      </c>
      <c r="B2104" s="66" t="inlineStr">
        <is>
          <t>Carpas y Toldos</t>
        </is>
      </c>
      <c r="C2104" s="66" t="inlineStr">
        <is>
          <t>Santiago</t>
        </is>
      </c>
      <c r="D2104" s="66" t="inlineStr">
        <is>
          <t>info@veldemangroup.com</t>
        </is>
      </c>
      <c r="E2104" s="66" t="inlineStr">
        <is>
          <t>(56) 9 6493 4496</t>
        </is>
      </c>
      <c r="F2104" s="66" t="n"/>
      <c r="G2104" s="66" t="n"/>
      <c r="H2104" s="66" t="n"/>
      <c r="I2104" s="66" t="inlineStr">
        <is>
          <t>76.283.625-4</t>
        </is>
      </c>
      <c r="J2104" s="66" t="n"/>
      <c r="K2104" s="66" t="inlineStr">
        <is>
          <t>Ventas: PEQUEÑA 3 (10.000 - 25.000 UF) | Empleados: 2</t>
        </is>
      </c>
      <c r="L2104" s="61" t="n"/>
      <c r="M2104" s="61" t="n"/>
      <c r="N2104" s="61" t="n"/>
      <c r="O2104" s="61" t="n"/>
      <c r="P2104" s="61" t="n"/>
      <c r="Q2104" s="62" t="n"/>
      <c r="R2104" s="61" t="n"/>
    </row>
    <row r="2105" ht="15.75" customHeight="1" s="38">
      <c r="A2105" s="66" t="inlineStr">
        <is>
          <t>Vempto SpA</t>
        </is>
      </c>
      <c r="B2105" s="66" t="inlineStr">
        <is>
          <t>Sistema para Observar Niveles de Llenado de Molinos SAG y de Bolas</t>
        </is>
      </c>
      <c r="C2105" s="66" t="inlineStr">
        <is>
          <t>Santiago</t>
        </is>
      </c>
      <c r="D2105" s="66" t="inlineStr">
        <is>
          <t>general@vempto.com</t>
        </is>
      </c>
      <c r="E2105" s="66" t="n"/>
      <c r="F2105" s="66" t="n"/>
      <c r="G2105" s="66" t="n"/>
      <c r="H2105" s="66" t="n"/>
      <c r="I2105" s="66" t="inlineStr">
        <is>
          <t>76319824-3</t>
        </is>
      </c>
      <c r="J2105" s="66" t="n"/>
      <c r="K2105" s="66" t="inlineStr">
        <is>
          <t>Ventas: GRANDE 1 (100.000 - 200.000 UF) | Empleados: 3</t>
        </is>
      </c>
      <c r="L2105" s="61" t="n"/>
      <c r="M2105" s="61" t="n"/>
      <c r="N2105" s="61" t="n"/>
      <c r="O2105" s="61" t="n"/>
      <c r="P2105" s="61" t="n"/>
      <c r="Q2105" s="62" t="n"/>
      <c r="R2105" s="61" t="n"/>
    </row>
    <row r="2106" ht="15.75" customHeight="1" s="38">
      <c r="A2106" s="66" t="inlineStr">
        <is>
          <t>Vendor S.A.</t>
        </is>
      </c>
      <c r="B2106" s="66" t="inlineStr">
        <is>
          <t>Servicios de Ingeniería en Electricidad, Instrumentación, Automatización y Control</t>
        </is>
      </c>
      <c r="C2106" s="66" t="inlineStr">
        <is>
          <t>Santiago</t>
        </is>
      </c>
      <c r="D2106" s="66" t="inlineStr">
        <is>
          <t>vendor@vendor.cl</t>
        </is>
      </c>
      <c r="E2106" s="66" t="inlineStr">
        <is>
          <t>(56) 2 789 8072</t>
        </is>
      </c>
      <c r="F2106" s="66" t="n"/>
      <c r="G2106" s="66" t="n"/>
      <c r="H2106" s="66" t="n"/>
      <c r="I2106" s="66" t="inlineStr">
        <is>
          <t>76468871-6</t>
        </is>
      </c>
      <c r="J2106" s="66" t="n"/>
      <c r="K2106" s="66" t="inlineStr">
        <is>
          <t>Ventas: PEQUEÑA 1 (2.400 - 5.000 UF) | Empleados: 3</t>
        </is>
      </c>
      <c r="L2106" s="61" t="n"/>
      <c r="M2106" s="61" t="n"/>
      <c r="N2106" s="61" t="n"/>
      <c r="O2106" s="61" t="n"/>
      <c r="P2106" s="61" t="n"/>
      <c r="Q2106" s="62" t="n"/>
      <c r="R2106" s="61" t="n"/>
    </row>
    <row r="2107" ht="15.75" customHeight="1" s="38">
      <c r="A2107" s="66" t="inlineStr">
        <is>
          <t>Vermeer Chile SpA.</t>
        </is>
      </c>
      <c r="B2107" s="66" t="inlineStr">
        <is>
          <t>Equipos de Perforación</t>
        </is>
      </c>
      <c r="C2107" s="66" t="inlineStr">
        <is>
          <t>Santiago</t>
        </is>
      </c>
      <c r="D2107" s="66" t="n"/>
      <c r="E2107" s="66" t="inlineStr">
        <is>
          <t>(56) 9 3375 0839</t>
        </is>
      </c>
      <c r="F2107" s="66" t="n"/>
      <c r="G2107" s="66" t="n"/>
      <c r="H2107" s="66" t="n"/>
      <c r="I2107" s="66" t="inlineStr">
        <is>
          <t>76890983-0</t>
        </is>
      </c>
      <c r="J2107" s="66" t="n"/>
      <c r="K2107" s="66" t="inlineStr">
        <is>
          <t>Ventas: GRANDE 2 (200.000 - 600.000 UF) | Empleados: 14</t>
        </is>
      </c>
      <c r="L2107" s="61" t="n"/>
      <c r="M2107" s="61" t="n"/>
      <c r="N2107" s="61" t="n"/>
      <c r="O2107" s="61" t="n"/>
      <c r="P2107" s="61" t="n"/>
      <c r="Q2107" s="62" t="n"/>
      <c r="R2107" s="61" t="n"/>
    </row>
    <row r="2108" ht="15.75" customHeight="1" s="38">
      <c r="A2108" s="66" t="inlineStr">
        <is>
          <t>Verne SpA</t>
        </is>
      </c>
      <c r="B2108" s="66" t="inlineStr">
        <is>
          <t>Cables de Acero</t>
        </is>
      </c>
      <c r="C2108" s="66" t="inlineStr">
        <is>
          <t>Santiago</t>
        </is>
      </c>
      <c r="D2108" s="66" t="inlineStr">
        <is>
          <t>info@verne.cl</t>
        </is>
      </c>
      <c r="E2108" s="66" t="inlineStr">
        <is>
          <t>(56) 2 2885 8633</t>
        </is>
      </c>
      <c r="F2108" s="66" t="inlineStr">
        <is>
          <t>Gerente de TI / CIO (Director de Tecnología)</t>
        </is>
      </c>
      <c r="G2108" s="66" t="n"/>
      <c r="H2108" s="66" t="n"/>
      <c r="I2108" s="66" t="inlineStr">
        <is>
          <t>76.034.722-1</t>
        </is>
      </c>
      <c r="J2108" s="66" t="n"/>
      <c r="K2108" s="66" t="inlineStr">
        <is>
          <t>Ventas: GRANDE 3 (600.000 - 1.000.000 UF) | Empleados: 23</t>
        </is>
      </c>
      <c r="L2108" s="61" t="n"/>
      <c r="M2108" s="61" t="n"/>
      <c r="N2108" s="61" t="n"/>
      <c r="O2108" s="61" t="n"/>
      <c r="P2108" s="61" t="n"/>
      <c r="Q2108" s="62" t="n"/>
      <c r="R2108" s="61" t="n"/>
    </row>
    <row r="2109" ht="15.75" customHeight="1" s="38">
      <c r="A2109" s="66" t="inlineStr">
        <is>
          <t>VersaChem Chile S.A.</t>
        </is>
      </c>
      <c r="B2109" s="66" t="inlineStr">
        <is>
          <t>Refrigerantes y Anticongelantes para Radiadores</t>
        </is>
      </c>
      <c r="C2109" s="66" t="inlineStr">
        <is>
          <t>Santiago</t>
        </is>
      </c>
      <c r="D2109" s="66" t="inlineStr">
        <is>
          <t>contacto@versachem.cl</t>
        </is>
      </c>
      <c r="E2109" s="66" t="inlineStr">
        <is>
          <t>(56) 2 2625 3487</t>
        </is>
      </c>
      <c r="F2109" s="66" t="n"/>
      <c r="G2109" s="66" t="n"/>
      <c r="H2109" s="66" t="n"/>
      <c r="I2109" s="66" t="inlineStr">
        <is>
          <t>93313000-2</t>
        </is>
      </c>
      <c r="J2109" s="66" t="n"/>
      <c r="K2109" s="66" t="inlineStr">
        <is>
          <t>Ventas: GRANDE 1 (100.000 - 200.000 UF) | Empleados: 26</t>
        </is>
      </c>
      <c r="L2109" s="61" t="n"/>
      <c r="M2109" s="61" t="n"/>
      <c r="N2109" s="61" t="n"/>
      <c r="O2109" s="61" t="n"/>
      <c r="P2109" s="61" t="n"/>
      <c r="Q2109" s="62" t="n"/>
      <c r="R2109" s="61" t="n"/>
    </row>
    <row r="2110" ht="15.75" customHeight="1" s="38">
      <c r="A2110" s="66" t="inlineStr">
        <is>
          <t>Versval</t>
        </is>
      </c>
      <c r="B2110" s="66" t="inlineStr">
        <is>
          <t>Sistemas para Filtración, Torres para Enfriamiento</t>
        </is>
      </c>
      <c r="C2110" s="66" t="inlineStr">
        <is>
          <t>Santiago</t>
        </is>
      </c>
      <c r="D2110" s="66" t="inlineStr">
        <is>
          <t>info@versval.com</t>
        </is>
      </c>
      <c r="E2110" s="66" t="inlineStr">
        <is>
          <t>(56) 9 9840 1803</t>
        </is>
      </c>
      <c r="F2110" s="66" t="n"/>
      <c r="G2110" s="66" t="n"/>
      <c r="H2110" s="66" t="n"/>
      <c r="I2110" s="66" t="inlineStr">
        <is>
          <t>76.306.480-8</t>
        </is>
      </c>
      <c r="J2110" s="66" t="n"/>
      <c r="K2110" s="66" t="inlineStr">
        <is>
          <t>Ventas: MEDIANA 1 (25.000 - 50.000 UF) | Empleados: 7</t>
        </is>
      </c>
      <c r="L2110" s="61" t="n"/>
      <c r="M2110" s="61" t="n"/>
      <c r="N2110" s="61" t="n"/>
      <c r="O2110" s="61" t="n"/>
      <c r="P2110" s="61" t="n"/>
      <c r="Q2110" s="62" t="n"/>
      <c r="R2110" s="61" t="n"/>
    </row>
    <row r="2111" ht="15.75" customHeight="1" s="38">
      <c r="A2111" s="59" t="inlineStr">
        <is>
          <t>Vertex SpA</t>
        </is>
      </c>
      <c r="B2111" s="59" t="inlineStr">
        <is>
          <t>Equipos de Perforación, Robots para Shotcrete</t>
        </is>
      </c>
      <c r="C2111" s="59" t="inlineStr">
        <is>
          <t>Santiago</t>
        </is>
      </c>
      <c r="D2111" s="59" t="inlineStr">
        <is>
          <t>info@vertexmining.com</t>
        </is>
      </c>
      <c r="E2111" s="59" t="inlineStr">
        <is>
          <t>(56) 2 2394 6000</t>
        </is>
      </c>
      <c r="F2111" s="59" t="inlineStr">
        <is>
          <t>Claudio Arismendi (Gerente de Operaciones y TI)</t>
        </is>
      </c>
      <c r="G2111" s="59" t="inlineStr">
        <is>
          <t>c.arismendi@vertex.cl</t>
        </is>
      </c>
      <c r="H2111" s="59" t="n"/>
      <c r="I2111" s="59" t="inlineStr">
        <is>
          <t>77.261.318-0</t>
        </is>
      </c>
      <c r="J2111" s="59" t="inlineStr">
        <is>
          <t>Investigación en Proceso</t>
        </is>
      </c>
      <c r="K2111" s="59" t="inlineStr">
        <is>
          <t>Ventas: GRANDE 3 (600.000 - 1.000.000 UF) | Empleados: 113</t>
        </is>
      </c>
      <c r="L2111" s="61" t="n"/>
      <c r="M2111" s="61" t="n"/>
      <c r="N2111" s="61" t="n"/>
      <c r="O2111" s="61" t="n"/>
      <c r="P2111" s="61" t="n"/>
      <c r="Q2111" s="62" t="n"/>
      <c r="R2111" s="61" t="n"/>
    </row>
    <row r="2112" ht="15.75" customHeight="1" s="38">
      <c r="A2112" s="66" t="inlineStr">
        <is>
          <t>Vertical S.A.</t>
        </is>
      </c>
      <c r="B2112" s="66" t="inlineStr">
        <is>
          <t>Capacitación de Personal</t>
        </is>
      </c>
      <c r="C2112" s="66" t="inlineStr">
        <is>
          <t>Santiago</t>
        </is>
      </c>
      <c r="D2112" s="66" t="inlineStr">
        <is>
          <t>info@vertical.cl</t>
        </is>
      </c>
      <c r="E2112" s="66" t="inlineStr">
        <is>
          <t>(56) 2 2223 2100</t>
        </is>
      </c>
      <c r="F2112" s="66" t="n"/>
      <c r="G2112" s="66" t="n"/>
      <c r="H2112" s="66" t="n"/>
      <c r="I2112" s="66" t="inlineStr">
        <is>
          <t>96.659.140-4</t>
        </is>
      </c>
      <c r="J2112" s="66" t="n"/>
      <c r="K2112" s="66" t="inlineStr">
        <is>
          <t>Ventas: MEDIANA 2 (50.000 - 100.000 UF) | Empleados: 8</t>
        </is>
      </c>
      <c r="L2112" s="61" t="n"/>
      <c r="M2112" s="61" t="n"/>
      <c r="N2112" s="61" t="n"/>
      <c r="O2112" s="61" t="n"/>
      <c r="P2112" s="61" t="n"/>
      <c r="Q2112" s="62" t="n"/>
      <c r="R2112" s="61" t="n"/>
    </row>
    <row r="2113" ht="15.75" customHeight="1" s="38">
      <c r="A2113" s="66" t="inlineStr">
        <is>
          <t>Veto y Cía. Ltda.</t>
        </is>
      </c>
      <c r="B2113" s="66" t="inlineStr">
        <is>
          <t>Variadores de Frecuencia</t>
        </is>
      </c>
      <c r="C2113" s="66" t="inlineStr">
        <is>
          <t>Santiago</t>
        </is>
      </c>
      <c r="D2113" s="66" t="inlineStr">
        <is>
          <t>ventas@veto.cl</t>
        </is>
      </c>
      <c r="E2113" s="66" t="inlineStr">
        <is>
          <t>(56) 2 2355 4400</t>
        </is>
      </c>
      <c r="F2113" s="66" t="n"/>
      <c r="G2113" s="66" t="n"/>
      <c r="H2113" s="66" t="n"/>
      <c r="I2113" s="66" t="inlineStr">
        <is>
          <t>82.525.800-0</t>
        </is>
      </c>
      <c r="J2113" s="66" t="n"/>
      <c r="K2113" s="66" t="inlineStr">
        <is>
          <t>Ventas: GRANDE 2 (200.000 - 600.000 UF) | Empleados: 82</t>
        </is>
      </c>
      <c r="L2113" s="61" t="n"/>
      <c r="M2113" s="61" t="n"/>
      <c r="N2113" s="61" t="n"/>
      <c r="O2113" s="61" t="n"/>
      <c r="P2113" s="61" t="n"/>
      <c r="Q2113" s="62" t="n"/>
      <c r="R2113" s="61" t="n"/>
    </row>
    <row r="2114" ht="15.75" customHeight="1" s="38">
      <c r="A2114" s="66" t="inlineStr">
        <is>
          <t>Vial Equipment Corp</t>
        </is>
      </c>
      <c r="B2114" s="66" t="inlineStr">
        <is>
          <t>Capacitación de Operación de Maquinaria de Izaje y Construcción, Consultorías, Elaboración de Procedimientos y Planes de Izaje, Representación de Venta de Grúas</t>
        </is>
      </c>
      <c r="C2114" s="66" t="inlineStr">
        <is>
          <t>Santiago</t>
        </is>
      </c>
      <c r="D2114" s="66" t="inlineStr">
        <is>
          <t>gerencia@vialequipment.com</t>
        </is>
      </c>
      <c r="E2114" s="66" t="inlineStr">
        <is>
          <t>(56) 2 2432 1300</t>
        </is>
      </c>
      <c r="F2114" s="66" t="n"/>
      <c r="G2114" s="66" t="n"/>
      <c r="H2114" s="66" t="inlineStr">
        <is>
          <t>http://www.vialequipment.com</t>
        </is>
      </c>
      <c r="I2114" s="66" t="inlineStr">
        <is>
          <t>76.891.025-1</t>
        </is>
      </c>
      <c r="J2114" s="66" t="n"/>
      <c r="K2114" s="66" t="inlineStr">
        <is>
          <t>Ventas: PEQUEÑA 3 (10.000 - 25.000 UF) | Empleados: 11</t>
        </is>
      </c>
      <c r="L2114" s="61" t="n"/>
      <c r="M2114" s="61" t="n"/>
      <c r="N2114" s="61" t="n"/>
      <c r="O2114" s="61" t="n"/>
      <c r="P2114" s="61" t="n"/>
      <c r="Q2114" s="62" t="n"/>
      <c r="R2114" s="61" t="n"/>
    </row>
    <row r="2115" ht="15.75" customHeight="1" s="38">
      <c r="A2115" s="59" t="inlineStr">
        <is>
          <t>VialCorp</t>
        </is>
      </c>
      <c r="B2115" s="59" t="inlineStr">
        <is>
          <t>Control de Polvo en Caminos</t>
        </is>
      </c>
      <c r="C2115" s="59" t="inlineStr">
        <is>
          <t>Santiago</t>
        </is>
      </c>
      <c r="D2115" s="59" t="inlineStr">
        <is>
          <t>info@vialcorp.cl</t>
        </is>
      </c>
      <c r="E2115" s="59" t="inlineStr">
        <is>
          <t>(56) 9 9219 4839</t>
        </is>
      </c>
      <c r="F2115" s="59" t="inlineStr">
        <is>
          <t>Rodrigo Castro (Jefe de IT)</t>
        </is>
      </c>
      <c r="G2115" s="59" t="inlineStr">
        <is>
          <t>r.castro@vialcorp.cl</t>
        </is>
      </c>
      <c r="H2115" s="59" t="n"/>
      <c r="I2115" s="59" t="inlineStr">
        <is>
          <t>76.149.673-5</t>
        </is>
      </c>
      <c r="J2115" s="59" t="inlineStr">
        <is>
          <t>Investigación en Proceso</t>
        </is>
      </c>
      <c r="K2115" s="59" t="inlineStr">
        <is>
          <t>Ventas: GRANDE 3 (600.000 - 1.000.000 UF) | Empleados: 408</t>
        </is>
      </c>
      <c r="L2115" s="61" t="n"/>
      <c r="M2115" s="61" t="n"/>
      <c r="N2115" s="61" t="n"/>
      <c r="O2115" s="61" t="n"/>
      <c r="P2115" s="61" t="n"/>
      <c r="Q2115" s="62" t="n"/>
      <c r="R2115" s="61" t="n"/>
    </row>
    <row r="2116" ht="15.75" customHeight="1" s="38">
      <c r="A2116" s="66" t="inlineStr">
        <is>
          <t>ViaNegocios</t>
        </is>
      </c>
      <c r="B2116" s="66" t="inlineStr">
        <is>
          <t>Asesoría en Licitaciones, Asesoría en Portales de Negocios Mineros, Capacitaciones Comerciales en Portales de Negocios, Registros de Proveedores Mineros</t>
        </is>
      </c>
      <c r="C2116" s="66" t="inlineStr">
        <is>
          <t>Santiago</t>
        </is>
      </c>
      <c r="D2116" s="66" t="inlineStr">
        <is>
          <t>bpoblete@vianegocios.cl</t>
        </is>
      </c>
      <c r="E2116" s="66" t="inlineStr">
        <is>
          <t>(56) 9 9825 6434</t>
        </is>
      </c>
      <c r="F2116" s="66" t="n"/>
      <c r="G2116" s="66" t="n"/>
      <c r="H2116" s="66" t="inlineStr">
        <is>
          <t>http://www.vianegocios.cl</t>
        </is>
      </c>
      <c r="I2116" s="66" t="inlineStr">
        <is>
          <t>76.983.371-4</t>
        </is>
      </c>
      <c r="J2116" s="66" t="n"/>
      <c r="K2116" s="66" t="inlineStr">
        <is>
          <t>Ventas: PEQUEÑA 1 (2.400 - 5.000 UF) | Empleados: 0</t>
        </is>
      </c>
      <c r="L2116" s="61" t="n"/>
      <c r="M2116" s="61" t="n"/>
      <c r="N2116" s="61" t="n"/>
      <c r="O2116" s="61" t="n"/>
      <c r="P2116" s="61" t="n"/>
      <c r="Q2116" s="62" t="n"/>
      <c r="R2116" s="61" t="n"/>
    </row>
    <row r="2117" ht="15.75" customHeight="1" s="38">
      <c r="A2117" s="66" t="inlineStr">
        <is>
          <t>Vias SpA</t>
        </is>
      </c>
      <c r="B2117" s="66" t="inlineStr">
        <is>
          <t>Equipos de Generación de Energía, Sensores de Temperatura</t>
        </is>
      </c>
      <c r="C2117" s="66" t="inlineStr">
        <is>
          <t>Santiago</t>
        </is>
      </c>
      <c r="D2117" s="66" t="inlineStr">
        <is>
          <t>ventas@viasimportaciones.cl</t>
        </is>
      </c>
      <c r="E2117" s="66" t="inlineStr">
        <is>
          <t>(56) 2 2775 3046</t>
        </is>
      </c>
      <c r="F2117" s="66" t="n"/>
      <c r="G2117" s="66" t="n"/>
      <c r="H2117" s="66" t="n"/>
      <c r="I2117" s="66" t="inlineStr">
        <is>
          <t>77006153-9</t>
        </is>
      </c>
      <c r="J2117" s="66" t="n"/>
      <c r="K2117" s="66" t="inlineStr">
        <is>
          <t>Ventas: MEDIANA 2 (50.000 - 100.000 UF) | Empleados: 38</t>
        </is>
      </c>
      <c r="L2117" s="61" t="n"/>
      <c r="M2117" s="61" t="n"/>
      <c r="N2117" s="61" t="n"/>
      <c r="O2117" s="61" t="n"/>
      <c r="P2117" s="61" t="n"/>
      <c r="Q2117" s="62" t="n"/>
      <c r="R2117" s="61" t="n"/>
    </row>
    <row r="2118" ht="15.75" customHeight="1" s="38">
      <c r="A2118" s="66" t="inlineStr">
        <is>
          <t>Vicmaes</t>
        </is>
      </c>
      <c r="B2118" s="66" t="inlineStr">
        <is>
          <t>Polímeros, Revestimientos para la Minería</t>
        </is>
      </c>
      <c r="C2118" s="66" t="inlineStr">
        <is>
          <t>Santiago</t>
        </is>
      </c>
      <c r="D2118" s="66" t="inlineStr">
        <is>
          <t>ventas@vicmaes.com</t>
        </is>
      </c>
      <c r="E2118" s="66" t="inlineStr">
        <is>
          <t>(56) 2 2635 3800</t>
        </is>
      </c>
      <c r="F2118" s="66" t="n"/>
      <c r="G2118" s="66" t="n"/>
      <c r="H2118" s="66" t="n"/>
      <c r="I2118" s="66" t="inlineStr">
        <is>
          <t>77.357.453-7</t>
        </is>
      </c>
      <c r="J2118" s="66" t="n"/>
      <c r="K2118" s="66" t="inlineStr">
        <is>
          <t>Ventas: PEQUEÑA 3 (10.000 - 25.000 UF) | Empleados: 6</t>
        </is>
      </c>
      <c r="L2118" s="61" t="n"/>
      <c r="M2118" s="61" t="n"/>
      <c r="N2118" s="61" t="n"/>
      <c r="O2118" s="61" t="n"/>
      <c r="P2118" s="61" t="n"/>
      <c r="Q2118" s="62" t="n"/>
      <c r="R2118" s="61" t="n"/>
    </row>
    <row r="2119" ht="15.75" customHeight="1" s="38">
      <c r="A2119" s="66" t="inlineStr">
        <is>
          <t>Videocorp</t>
        </is>
      </c>
      <c r="B2119" s="66" t="inlineStr">
        <is>
          <t>Circuitos Cerrados de Televisión (CCTV), Telecomunicaciones</t>
        </is>
      </c>
      <c r="C2119" s="66" t="inlineStr">
        <is>
          <t>Santiago</t>
        </is>
      </c>
      <c r="D2119" s="66" t="inlineStr">
        <is>
          <t>contacto@videocorp.com</t>
        </is>
      </c>
      <c r="E2119" s="66" t="inlineStr">
        <is>
          <t>(56) 2 2431 6100</t>
        </is>
      </c>
      <c r="F2119" s="66" t="n"/>
      <c r="G2119" s="66" t="n"/>
      <c r="H2119" s="66" t="n"/>
      <c r="I2119" s="66" t="inlineStr">
        <is>
          <t>89.629.300-1</t>
        </is>
      </c>
      <c r="J2119" s="66" t="n"/>
      <c r="K2119" s="66" t="inlineStr">
        <is>
          <t>Ventas: GRANDE 2 (200.000 - 600.000 UF) | Empleados: 101</t>
        </is>
      </c>
      <c r="L2119" s="61" t="n"/>
      <c r="M2119" s="61" t="n"/>
      <c r="N2119" s="61" t="n"/>
      <c r="O2119" s="61" t="n"/>
      <c r="P2119" s="61" t="n"/>
      <c r="Q2119" s="62" t="n"/>
      <c r="R2119" s="61" t="n"/>
    </row>
    <row r="2120" ht="15.75" customHeight="1" s="38">
      <c r="A2120" s="66" t="inlineStr">
        <is>
          <t>View Mineral Ltda.</t>
        </is>
      </c>
      <c r="B2120" s="66" t="inlineStr">
        <is>
          <t>Procesos Mineros, Servicios Informáticos</t>
        </is>
      </c>
      <c r="C2120" s="66" t="inlineStr">
        <is>
          <t>Santiago</t>
        </is>
      </c>
      <c r="D2120" s="66" t="inlineStr">
        <is>
          <t>info@viewmineral.cl</t>
        </is>
      </c>
      <c r="E2120" s="66" t="inlineStr">
        <is>
          <t>(56) 9 5686 9304</t>
        </is>
      </c>
      <c r="F2120" s="66" t="n"/>
      <c r="G2120" s="66" t="n"/>
      <c r="H2120" s="66" t="n"/>
      <c r="I2120" s="66" t="inlineStr">
        <is>
          <t>77459747-6</t>
        </is>
      </c>
      <c r="J2120" s="66" t="n"/>
      <c r="K2120" s="66" t="inlineStr">
        <is>
          <t>Ventas: MICRO 2 (200 - 600 UF) | Empleados: 2</t>
        </is>
      </c>
      <c r="L2120" s="61" t="n"/>
      <c r="M2120" s="61" t="n"/>
      <c r="N2120" s="61" t="n"/>
      <c r="O2120" s="61" t="n"/>
      <c r="P2120" s="61" t="n"/>
      <c r="Q2120" s="62" t="n"/>
      <c r="R2120" s="61" t="n"/>
    </row>
    <row r="2121" ht="15.75" customHeight="1" s="38">
      <c r="A2121" s="59" t="inlineStr">
        <is>
          <t>Vigaflow</t>
        </is>
      </c>
      <c r="B2121" s="59" t="inlineStr">
        <is>
          <t>Ablandadores para Agua, Plantas Desaladoras</t>
        </is>
      </c>
      <c r="C2121" s="59" t="inlineStr">
        <is>
          <t>Santiago</t>
        </is>
      </c>
      <c r="D2121" s="59" t="inlineStr">
        <is>
          <t>info@vigaflow.com</t>
        </is>
      </c>
      <c r="E2121" s="59" t="inlineStr">
        <is>
          <t>(56) 2 2797 0350</t>
        </is>
      </c>
      <c r="F2121" s="59" t="inlineStr">
        <is>
          <t>Rodrigo Silva (Jefe de TI)</t>
        </is>
      </c>
      <c r="G2121" s="59" t="inlineStr">
        <is>
          <t>rsilva@vigaflow.com</t>
        </is>
      </c>
      <c r="H2121" s="59" t="n"/>
      <c r="I2121" s="59" t="inlineStr">
        <is>
          <t>99515010-7</t>
        </is>
      </c>
      <c r="J2121" s="59" t="inlineStr">
        <is>
          <t>Investigación en Proceso</t>
        </is>
      </c>
      <c r="K2121" s="59" t="inlineStr">
        <is>
          <t>Ventas: GRANDE 3 (600.000 - 1.000.000 UF) | Empleados: 112</t>
        </is>
      </c>
      <c r="L2121" s="61" t="n"/>
      <c r="M2121" s="61" t="n"/>
      <c r="N2121" s="61" t="n"/>
      <c r="O2121" s="61" t="n"/>
      <c r="P2121" s="61" t="n"/>
      <c r="Q2121" s="62" t="n"/>
      <c r="R2121" s="61" t="n"/>
    </row>
    <row r="2122" ht="15.75" customHeight="1" s="38">
      <c r="A2122" s="66" t="inlineStr">
        <is>
          <t>Vigatec S.A.</t>
        </is>
      </c>
      <c r="B2122" s="66" t="inlineStr">
        <is>
          <t>Soluciones para Logística y Ergonomía, Soluciones Tecnológicas Integrales</t>
        </is>
      </c>
      <c r="C2122" s="66" t="inlineStr">
        <is>
          <t>Santiago</t>
        </is>
      </c>
      <c r="D2122" s="66" t="inlineStr">
        <is>
          <t>hola@vigatec.cl</t>
        </is>
      </c>
      <c r="E2122" s="66" t="inlineStr">
        <is>
          <t>(56) 2 2350 7000</t>
        </is>
      </c>
      <c r="F2122" s="66" t="inlineStr">
        <is>
          <t>Gerente de TI / CIO (Director de Tecnología)</t>
        </is>
      </c>
      <c r="G2122" s="66" t="n"/>
      <c r="H2122" s="66" t="n"/>
      <c r="I2122" s="66" t="inlineStr">
        <is>
          <t>96.587.380-5</t>
        </is>
      </c>
      <c r="J2122" s="66" t="n"/>
      <c r="K2122" s="66" t="inlineStr">
        <is>
          <t>Ventas: GRANDE 4 (Mas de 1.000.000 UF) | Empleados: 498</t>
        </is>
      </c>
      <c r="L2122" s="61" t="n"/>
      <c r="M2122" s="61" t="n"/>
      <c r="N2122" s="61" t="n"/>
      <c r="O2122" s="61" t="n"/>
      <c r="P2122" s="61" t="n"/>
      <c r="Q2122" s="62" t="n"/>
      <c r="R2122" s="61" t="n"/>
    </row>
    <row r="2123" ht="15.75" customHeight="1" s="38">
      <c r="A2123" s="66" t="inlineStr">
        <is>
          <t>Viggo</t>
        </is>
      </c>
      <c r="B2123" s="66" t="inlineStr">
        <is>
          <t>Transporte de Pasajeros en Buses Interurbanos, Transporte de Personal, Transporte Privado de Personas</t>
        </is>
      </c>
      <c r="C2123" s="66" t="inlineStr">
        <is>
          <t>Santiago</t>
        </is>
      </c>
      <c r="D2123" s="66" t="inlineStr">
        <is>
          <t>comercial@viggo.cl</t>
        </is>
      </c>
      <c r="E2123" s="66" t="inlineStr">
        <is>
          <t>(56) 2 2822 7337</t>
        </is>
      </c>
      <c r="F2123" s="66" t="inlineStr">
        <is>
          <t>Gerente de TI / CIO (Director de Tecnología)</t>
        </is>
      </c>
      <c r="G2123" s="66" t="n"/>
      <c r="H2123" s="66" t="n"/>
      <c r="I2123" s="66" t="inlineStr">
        <is>
          <t>76.642.320-5</t>
        </is>
      </c>
      <c r="J2123" s="66" t="n"/>
      <c r="K2123" s="66" t="inlineStr">
        <is>
          <t>Ventas: GRANDE 4 (Mas de 1.000.000 UF) | Empleados: 1576</t>
        </is>
      </c>
      <c r="L2123" s="61" t="n"/>
      <c r="M2123" s="61" t="n"/>
      <c r="N2123" s="61" t="n"/>
      <c r="O2123" s="61" t="n"/>
      <c r="P2123" s="61" t="n"/>
      <c r="Q2123" s="62" t="n"/>
      <c r="R2123" s="61" t="n"/>
    </row>
    <row r="2124" ht="15.75" customHeight="1" s="38">
      <c r="A2124" s="66" t="inlineStr">
        <is>
          <t>Vigil Ltda.</t>
        </is>
      </c>
      <c r="B2124" s="66" t="inlineStr">
        <is>
          <t>Circuitos Cerrados de Televisión (CCTV), Radiocomunicaciones</t>
        </is>
      </c>
      <c r="C2124" s="66" t="inlineStr">
        <is>
          <t>La Serena</t>
        </is>
      </c>
      <c r="D2124" s="66" t="inlineStr">
        <is>
          <t>vigil@vigilltda.cl</t>
        </is>
      </c>
      <c r="E2124" s="66" t="inlineStr">
        <is>
          <t>(56) 51 222 4149</t>
        </is>
      </c>
      <c r="F2124" s="66" t="n"/>
      <c r="G2124" s="66" t="n"/>
      <c r="H2124" s="66" t="n"/>
      <c r="I2124" s="66" t="inlineStr">
        <is>
          <t>78.188.340-9</t>
        </is>
      </c>
      <c r="J2124" s="66" t="n"/>
      <c r="K2124" s="66" t="inlineStr">
        <is>
          <t>Ventas: PEQUEÑA 3 (10.000 - 25.000 UF) | Empleados: 13</t>
        </is>
      </c>
      <c r="L2124" s="61" t="n"/>
      <c r="M2124" s="61" t="n"/>
      <c r="N2124" s="61" t="n"/>
      <c r="O2124" s="61" t="n"/>
      <c r="P2124" s="61" t="n"/>
      <c r="Q2124" s="62" t="n"/>
      <c r="R2124" s="61" t="n"/>
    </row>
    <row r="2125" ht="15.75" customHeight="1" s="38">
      <c r="A2125" s="59" t="inlineStr">
        <is>
          <t>Vignola S.A.</t>
        </is>
      </c>
      <c r="B2125" s="59" t="inlineStr">
        <is>
          <t>Automatización, Bombas para Vacío</t>
        </is>
      </c>
      <c r="C2125" s="59" t="inlineStr">
        <is>
          <t>Santiago</t>
        </is>
      </c>
      <c r="D2125" s="59" t="inlineStr">
        <is>
          <t>recepcionstgo@vignola.cl</t>
        </is>
      </c>
      <c r="E2125" s="59" t="inlineStr">
        <is>
          <t>(56) 2 2433 6200</t>
        </is>
      </c>
      <c r="F2125" s="59" t="inlineStr">
        <is>
          <t>Pedro Ignacio Vignola Araya (Ingeniero RPA/IA)</t>
        </is>
      </c>
      <c r="G2125" s="59" t="n"/>
      <c r="H2125" s="59" t="n"/>
      <c r="I2125" s="59" t="inlineStr">
        <is>
          <t>93.075.000-K</t>
        </is>
      </c>
      <c r="J2125" s="59" t="inlineStr">
        <is>
          <t>Implementación RPA e IA Interna</t>
        </is>
      </c>
      <c r="K2125" s="59" t="inlineStr">
        <is>
          <t>Ventas: GRANDE 3 (600.000 - 1.000.000 UF) | Empleados: 41</t>
        </is>
      </c>
      <c r="L2125" s="61" t="n"/>
      <c r="M2125" s="61" t="n"/>
      <c r="N2125" s="61" t="n"/>
      <c r="O2125" s="61" t="n"/>
      <c r="P2125" s="61" t="n"/>
      <c r="Q2125" s="62" t="n"/>
      <c r="R2125" s="61" t="n"/>
    </row>
    <row r="2126" ht="15.75" customHeight="1" s="38">
      <c r="A2126" s="66" t="inlineStr">
        <is>
          <t>Villalba Aceros</t>
        </is>
      </c>
      <c r="B2126" s="66" t="inlineStr">
        <is>
          <t>Aceros, Aceros Galvanizados</t>
        </is>
      </c>
      <c r="C2126" s="66" t="inlineStr">
        <is>
          <t>Santiago</t>
        </is>
      </c>
      <c r="D2126" s="66" t="inlineStr">
        <is>
          <t>negocioscorporativos@villalba.cl</t>
        </is>
      </c>
      <c r="E2126" s="66" t="inlineStr">
        <is>
          <t>(56) 2 2412 2600</t>
        </is>
      </c>
      <c r="F2126" s="66" t="n"/>
      <c r="G2126" s="66" t="n"/>
      <c r="H2126" s="66" t="n"/>
      <c r="I2126" s="66" t="inlineStr">
        <is>
          <t>81.105.000-8</t>
        </is>
      </c>
      <c r="J2126" s="66" t="n"/>
      <c r="K2126" s="66" t="inlineStr">
        <is>
          <t>Ventas: GRANDE (Estimado por Empleados) | Empleados: 239</t>
        </is>
      </c>
      <c r="L2126" s="61" t="n"/>
      <c r="M2126" s="61" t="n"/>
      <c r="N2126" s="61" t="n"/>
      <c r="O2126" s="61" t="n"/>
      <c r="P2126" s="61" t="n"/>
      <c r="Q2126" s="62" t="n"/>
      <c r="R2126" s="61" t="n"/>
    </row>
    <row r="2127" ht="15.75" customHeight="1" s="38">
      <c r="A2127" s="66" t="inlineStr">
        <is>
          <t>Villner Ltda.</t>
        </is>
      </c>
      <c r="B2127" s="66" t="inlineStr">
        <is>
          <t>Teodolitos</t>
        </is>
      </c>
      <c r="C2127" s="66" t="inlineStr">
        <is>
          <t>Santiago</t>
        </is>
      </c>
      <c r="D2127" s="66" t="inlineStr">
        <is>
          <t>info@villner.cl</t>
        </is>
      </c>
      <c r="E2127" s="66" t="inlineStr">
        <is>
          <t>(56) 2 2222 1120</t>
        </is>
      </c>
      <c r="F2127" s="66" t="n"/>
      <c r="G2127" s="66" t="n"/>
      <c r="H2127" s="66" t="n"/>
      <c r="I2127" s="66" t="inlineStr">
        <is>
          <t>78.801.250-0</t>
        </is>
      </c>
      <c r="J2127" s="66" t="n"/>
      <c r="K2127" s="66" t="inlineStr">
        <is>
          <t>Ventas: MEDIANA 2 (50.000 - 100.000 UF) | Empleados: 17</t>
        </is>
      </c>
      <c r="L2127" s="61" t="n"/>
      <c r="M2127" s="61" t="n"/>
      <c r="N2127" s="61" t="n"/>
      <c r="O2127" s="61" t="n"/>
      <c r="P2127" s="61" t="n"/>
      <c r="Q2127" s="62" t="n"/>
      <c r="R2127" s="61" t="n"/>
    </row>
    <row r="2128" ht="15.75" customHeight="1" s="38">
      <c r="A2128" s="66" t="inlineStr">
        <is>
          <t>Vimarc Energia SpA.</t>
        </is>
      </c>
      <c r="B2128" s="66" t="inlineStr">
        <is>
          <t>Energía Solar, Equipos de Generación de Energía</t>
        </is>
      </c>
      <c r="C2128" s="66" t="inlineStr">
        <is>
          <t>Viña del Mar</t>
        </is>
      </c>
      <c r="D2128" s="66" t="inlineStr">
        <is>
          <t>energia@vime.cl</t>
        </is>
      </c>
      <c r="E2128" s="66" t="inlineStr">
        <is>
          <t>(56) 9 9321 9976</t>
        </is>
      </c>
      <c r="F2128" s="66" t="n"/>
      <c r="G2128" s="66" t="n"/>
      <c r="H2128" s="66" t="n"/>
      <c r="I2128" s="66" t="inlineStr">
        <is>
          <t>76738353-3</t>
        </is>
      </c>
      <c r="J2128" s="66" t="n"/>
      <c r="K2128" s="66" t="inlineStr">
        <is>
          <t>Ventas: PEQUEÑA 1 (2.400 - 5.000 UF) | Empleados: 0</t>
        </is>
      </c>
      <c r="L2128" s="61" t="n"/>
      <c r="M2128" s="61" t="n"/>
      <c r="N2128" s="61" t="n"/>
      <c r="O2128" s="61" t="n"/>
      <c r="P2128" s="61" t="n"/>
      <c r="Q2128" s="62" t="n"/>
      <c r="R2128" s="61" t="n"/>
    </row>
    <row r="2129" ht="15.75" customHeight="1" s="38">
      <c r="A2129" s="66" t="inlineStr">
        <is>
          <t>Vinilit S.A.</t>
        </is>
      </c>
      <c r="B2129" s="66" t="inlineStr">
        <is>
          <t>Tubos de PVC y CPVC</t>
        </is>
      </c>
      <c r="C2129" s="66" t="inlineStr">
        <is>
          <t>Santiago</t>
        </is>
      </c>
      <c r="D2129" s="66" t="inlineStr">
        <is>
          <t>infovinilit@aliaxis-la.com</t>
        </is>
      </c>
      <c r="E2129" s="66" t="inlineStr">
        <is>
          <t>(56) 2 2592 4000</t>
        </is>
      </c>
      <c r="F2129" s="66" t="n"/>
      <c r="G2129" s="66" t="n"/>
      <c r="H2129" s="66" t="n"/>
      <c r="I2129" s="66" t="inlineStr">
        <is>
          <t>87.006.000-9</t>
        </is>
      </c>
      <c r="J2129" s="66" t="n"/>
      <c r="K2129" s="66" t="inlineStr">
        <is>
          <t>Ventas: GRANDE (Estimado por Empleados) | Empleados: 318</t>
        </is>
      </c>
      <c r="L2129" s="61" t="n"/>
      <c r="M2129" s="61" t="n"/>
      <c r="N2129" s="61" t="n"/>
      <c r="O2129" s="61" t="n"/>
      <c r="P2129" s="61" t="n"/>
      <c r="Q2129" s="62" t="n"/>
      <c r="R2129" s="61" t="n"/>
    </row>
    <row r="2130" ht="15.75" customHeight="1" s="38">
      <c r="A2130" s="66" t="inlineStr">
        <is>
          <t>Vipal Chile S.A.</t>
        </is>
      </c>
      <c r="B2130" s="66" t="inlineStr">
        <is>
          <t>Cauchos para Reparación de Neumáticos</t>
        </is>
      </c>
      <c r="C2130" s="66" t="inlineStr">
        <is>
          <t>Santiago</t>
        </is>
      </c>
      <c r="D2130" s="66" t="inlineStr">
        <is>
          <t>vipalchile@vipal-ch.cl</t>
        </is>
      </c>
      <c r="E2130" s="66" t="inlineStr">
        <is>
          <t>(56) 2 2740 9100</t>
        </is>
      </c>
      <c r="F2130" s="66" t="n"/>
      <c r="G2130" s="66" t="n"/>
      <c r="H2130" s="66" t="n"/>
      <c r="I2130" s="66" t="inlineStr">
        <is>
          <t>96.904.280-0</t>
        </is>
      </c>
      <c r="J2130" s="66" t="n"/>
      <c r="K2130" s="66" t="inlineStr">
        <is>
          <t>Ventas: GRANDE 3 (600.000 - 1.000.000 UF) | Empleados: 9</t>
        </is>
      </c>
      <c r="L2130" s="61" t="n"/>
      <c r="M2130" s="61" t="n"/>
      <c r="N2130" s="61" t="n"/>
      <c r="O2130" s="61" t="n"/>
      <c r="P2130" s="61" t="n"/>
      <c r="Q2130" s="62" t="n"/>
      <c r="R2130" s="61" t="n"/>
    </row>
    <row r="2131" ht="15.75" customHeight="1" s="38">
      <c r="A2131" s="66" t="inlineStr">
        <is>
          <t>Virta Inc.</t>
        </is>
      </c>
      <c r="B2131" s="66" t="inlineStr">
        <is>
          <t>Alimentadores, Correas Transportadoras, Sistemas de Manejo de Materiales a Granel</t>
        </is>
      </c>
      <c r="C2131" s="66" t="inlineStr">
        <is>
          <t>Santiago</t>
        </is>
      </c>
      <c r="D2131" s="66" t="inlineStr">
        <is>
          <t>estefania.mora@virtainc.com</t>
        </is>
      </c>
      <c r="E2131" s="66" t="inlineStr">
        <is>
          <t>(56) 9 9074 2958</t>
        </is>
      </c>
      <c r="F2131" s="66" t="n"/>
      <c r="G2131" s="66" t="n"/>
      <c r="H2131" s="66" t="n"/>
      <c r="I2131" s="66" t="inlineStr">
        <is>
          <t>77.423.221-4</t>
        </is>
      </c>
      <c r="J2131" s="66" t="n"/>
      <c r="K2131" s="66" t="inlineStr">
        <is>
          <t>Ventas: GRANDE 1 (100.000 - 200.000 UF) | Empleados: 24</t>
        </is>
      </c>
      <c r="L2131" s="61" t="n"/>
      <c r="M2131" s="61" t="n"/>
      <c r="N2131" s="61" t="n"/>
      <c r="O2131" s="61" t="n"/>
      <c r="P2131" s="61" t="n"/>
      <c r="Q2131" s="62" t="n"/>
      <c r="R2131" s="61" t="n"/>
    </row>
    <row r="2132" ht="15.75" customHeight="1" s="38">
      <c r="A2132" s="66" t="inlineStr">
        <is>
          <t>Vistony Chile</t>
        </is>
      </c>
      <c r="B2132" s="66" t="inlineStr">
        <is>
          <t>Aceites Hidráulicos Antidesgaste, Agua para Baterías, Análisis de Aceites, Anticongelantes, Diseño e Infraestructura con Equipos de Lubricación, Refrigerantes</t>
        </is>
      </c>
      <c r="C2132" s="66" t="inlineStr">
        <is>
          <t>Santiago</t>
        </is>
      </c>
      <c r="D2132" s="66" t="inlineStr">
        <is>
          <t>ventas.chile@vistony.com</t>
        </is>
      </c>
      <c r="E2132" s="66" t="inlineStr">
        <is>
          <t>(56) 9 3250 3114</t>
        </is>
      </c>
      <c r="F2132" s="66" t="n"/>
      <c r="G2132" s="66" t="n"/>
      <c r="H2132" s="66" t="inlineStr">
        <is>
          <t>http://www.vistonylubricantes.cl</t>
        </is>
      </c>
      <c r="I2132" s="66" t="inlineStr">
        <is>
          <t>76.411.491-4</t>
        </is>
      </c>
      <c r="J2132" s="66" t="n"/>
      <c r="K2132" s="66" t="inlineStr">
        <is>
          <t>Ventas: GRANDE 1 (100.000 - 200.000 UF) | Empleados: 69</t>
        </is>
      </c>
      <c r="L2132" s="61" t="n"/>
      <c r="M2132" s="61" t="n"/>
      <c r="N2132" s="61" t="n"/>
      <c r="O2132" s="61" t="n"/>
      <c r="P2132" s="61" t="n"/>
      <c r="Q2132" s="62" t="n"/>
      <c r="R2132" s="61" t="n"/>
    </row>
    <row r="2133" ht="15.75" customHeight="1" s="38">
      <c r="A2133" s="66" t="inlineStr">
        <is>
          <t>Vivipra</t>
        </is>
      </c>
      <c r="B2133" s="66" t="inlineStr">
        <is>
          <t>Buses 100% Eléctricos, Buses Diésel, Buses Eléctricos</t>
        </is>
      </c>
      <c r="C2133" s="66" t="inlineStr">
        <is>
          <t>Santiago</t>
        </is>
      </c>
      <c r="D2133" s="66" t="inlineStr">
        <is>
          <t>contacto@vivipra.cl</t>
        </is>
      </c>
      <c r="E2133" s="66" t="inlineStr">
        <is>
          <t>(56) 2 2696 7777</t>
        </is>
      </c>
      <c r="F2133" s="66" t="n"/>
      <c r="G2133" s="66" t="n"/>
      <c r="H2133" s="66" t="inlineStr">
        <is>
          <t>http://www.vivipra.cl</t>
        </is>
      </c>
      <c r="I2133" s="66" t="inlineStr">
        <is>
          <t>79.606.430-7</t>
        </is>
      </c>
      <c r="J2133" s="66" t="n"/>
      <c r="K2133" s="66" t="inlineStr">
        <is>
          <t>Ventas: MEDIANA (Estimado por Empleados) | Empleados: 144</t>
        </is>
      </c>
      <c r="L2133" s="61" t="n"/>
      <c r="M2133" s="61" t="n"/>
      <c r="N2133" s="61" t="n"/>
      <c r="O2133" s="61" t="n"/>
      <c r="P2133" s="61" t="n"/>
      <c r="Q2133" s="62" t="n"/>
      <c r="R2133" s="61" t="n"/>
    </row>
    <row r="2134" ht="15.75" customHeight="1" s="38">
      <c r="A2134" s="66" t="inlineStr">
        <is>
          <t>VMS Chile S.A.</t>
        </is>
      </c>
      <c r="B2134" s="66" t="inlineStr">
        <is>
          <t>Bombas Centrífugas, Bombas para Fluidos con Sólidos en Suspensión</t>
        </is>
      </c>
      <c r="C2134" s="66" t="inlineStr">
        <is>
          <t>Antofagasta</t>
        </is>
      </c>
      <c r="D2134" s="66" t="inlineStr">
        <is>
          <t>ventas@vms.cl</t>
        </is>
      </c>
      <c r="E2134" s="66" t="inlineStr">
        <is>
          <t>(56) 55 256 3971</t>
        </is>
      </c>
      <c r="F2134" s="66" t="n"/>
      <c r="G2134" s="66" t="n"/>
      <c r="H2134" s="66" t="n"/>
      <c r="I2134" s="66" t="inlineStr">
        <is>
          <t>78.794.180-K</t>
        </is>
      </c>
      <c r="J2134" s="66" t="n"/>
      <c r="K2134" s="66" t="inlineStr">
        <is>
          <t>Ventas: GRANDE 2 (200.000 - 600.000 UF) | Empleados: 105</t>
        </is>
      </c>
      <c r="L2134" s="61" t="n"/>
      <c r="M2134" s="61" t="n"/>
      <c r="N2134" s="61" t="n"/>
      <c r="O2134" s="61" t="n"/>
      <c r="P2134" s="61" t="n"/>
      <c r="Q2134" s="62" t="n"/>
      <c r="R2134" s="61" t="n"/>
    </row>
    <row r="2135" ht="15.75" customHeight="1" s="38">
      <c r="A2135" s="66" t="inlineStr">
        <is>
          <t>VMV Maquinaria y Cía. Ltda.</t>
        </is>
      </c>
      <c r="B2135" s="66" t="inlineStr">
        <is>
          <t>Centros de Mecanizado, Tornos</t>
        </is>
      </c>
      <c r="C2135" s="66" t="inlineStr">
        <is>
          <t>Santiago</t>
        </is>
      </c>
      <c r="D2135" s="66" t="inlineStr">
        <is>
          <t>gerencia@vmvmaquinaria.cl</t>
        </is>
      </c>
      <c r="E2135" s="66" t="inlineStr">
        <is>
          <t>(56) 9 7389 3247</t>
        </is>
      </c>
      <c r="F2135" s="66" t="n"/>
      <c r="G2135" s="66" t="n"/>
      <c r="H2135" s="66" t="n"/>
      <c r="I2135" s="66" t="inlineStr">
        <is>
          <t>76.108.950-1</t>
        </is>
      </c>
      <c r="J2135" s="66" t="n"/>
      <c r="K2135" s="66" t="inlineStr">
        <is>
          <t>Ventas: No en base SII | Empleados: S/I</t>
        </is>
      </c>
      <c r="L2135" s="61" t="n"/>
      <c r="M2135" s="61" t="n"/>
      <c r="N2135" s="61" t="n"/>
      <c r="O2135" s="61" t="n"/>
      <c r="P2135" s="61" t="n"/>
      <c r="Q2135" s="62" t="n"/>
      <c r="R2135" s="61" t="n"/>
    </row>
    <row r="2136" ht="15.75" customHeight="1" s="38">
      <c r="A2136" s="66" t="inlineStr">
        <is>
          <t>Vogt S.A.</t>
        </is>
      </c>
      <c r="B2136" s="66" t="inlineStr">
        <is>
          <t>Bombas, Bombas Anticorrosivas, Bombas Autocebantes, Bombas Centrífugas, Bombas contra Incendios, Bombas de Acero Inoxidable, Bombas de Diafragma, Bombas de Pozo Profundo, Bombas de Pulpa, Bombas Horizontales Multietapas, Bombas para Agua, Bombas para Alta Presión, Bombas para Fluidos con Sólidos en Suspensión, Bombas para Fluidos Corrosivos, Bombas para Lodos, Bombas para Pozos Profundos, Bombas para Pulpa, Bombas para Vacío, Bombas Sumergibles, Bombas Verticales</t>
        </is>
      </c>
      <c r="C2136" s="66" t="inlineStr">
        <is>
          <t>Santiago</t>
        </is>
      </c>
      <c r="D2136" s="66" t="inlineStr">
        <is>
          <t>vogt@vogt.cl</t>
        </is>
      </c>
      <c r="E2136" s="66" t="inlineStr">
        <is>
          <t>(56) 2 2829 1200</t>
        </is>
      </c>
      <c r="F2136" s="66" t="n"/>
      <c r="G2136" s="66" t="n"/>
      <c r="H2136" s="66" t="inlineStr">
        <is>
          <t>http://www.vogt.cl</t>
        </is>
      </c>
      <c r="I2136" s="66" t="inlineStr">
        <is>
          <t>93.913.000-4</t>
        </is>
      </c>
      <c r="J2136" s="66" t="n"/>
      <c r="K2136" s="66" t="inlineStr">
        <is>
          <t>Ventas: GRANDE 3 (600.000 - 1.000.000 UF) | Empleados: 189</t>
        </is>
      </c>
      <c r="L2136" s="61" t="n"/>
      <c r="M2136" s="61" t="n"/>
      <c r="N2136" s="61" t="n"/>
      <c r="O2136" s="61" t="n"/>
      <c r="P2136" s="61" t="n"/>
      <c r="Q2136" s="62" t="n"/>
      <c r="R2136" s="61" t="n"/>
    </row>
    <row r="2137" ht="15.75" customHeight="1" s="38">
      <c r="A2137" s="66" t="inlineStr">
        <is>
          <t>Voith Turbo S.A.</t>
        </is>
      </c>
      <c r="B2137" s="66" t="inlineStr">
        <is>
          <t>Correas Transportadoras, Trituradoras y Molinos</t>
        </is>
      </c>
      <c r="C2137" s="66" t="inlineStr">
        <is>
          <t>Santiago</t>
        </is>
      </c>
      <c r="D2137" s="66" t="n"/>
      <c r="E2137" s="66" t="inlineStr">
        <is>
          <t>(56) 2 2944 6900</t>
        </is>
      </c>
      <c r="F2137" s="66" t="n"/>
      <c r="G2137" s="66" t="n"/>
      <c r="H2137" s="66" t="n"/>
      <c r="I2137" s="66" t="inlineStr">
        <is>
          <t>96.866.330-5</t>
        </is>
      </c>
      <c r="J2137" s="66" t="n"/>
      <c r="K2137" s="66" t="inlineStr">
        <is>
          <t>Ventas: GRANDE 3 (600.000 - 1.000.000 UF) | Empleados: 29</t>
        </is>
      </c>
      <c r="L2137" s="61" t="n"/>
      <c r="M2137" s="61" t="n"/>
      <c r="N2137" s="61" t="n"/>
      <c r="O2137" s="61" t="n"/>
      <c r="P2137" s="61" t="n"/>
      <c r="Q2137" s="62" t="n"/>
      <c r="R2137" s="61" t="n"/>
    </row>
    <row r="2138" ht="15.75" customHeight="1" s="38">
      <c r="A2138" s="66" t="inlineStr">
        <is>
          <t>Volcán</t>
        </is>
      </c>
      <c r="B2138" s="66" t="inlineStr">
        <is>
          <t>Productos para la Construcción</t>
        </is>
      </c>
      <c r="C2138" s="66" t="inlineStr">
        <is>
          <t>Santiago</t>
        </is>
      </c>
      <c r="D2138" s="66" t="inlineStr">
        <is>
          <t>contacto@volcan.cl</t>
        </is>
      </c>
      <c r="E2138" s="66" t="inlineStr">
        <is>
          <t>600 399 2000</t>
        </is>
      </c>
      <c r="F2138" s="66" t="n"/>
      <c r="G2138" s="66" t="n"/>
      <c r="H2138" s="66" t="n"/>
      <c r="I2138" s="66" t="inlineStr">
        <is>
          <t>90.209.000-2</t>
        </is>
      </c>
      <c r="J2138" s="66" t="n"/>
      <c r="K2138" s="66" t="inlineStr">
        <is>
          <t>Ventas: GRANDE (Estimado por Empleados) | Empleados: 440</t>
        </is>
      </c>
      <c r="L2138" s="61" t="n"/>
      <c r="M2138" s="61" t="n"/>
      <c r="N2138" s="61" t="n"/>
      <c r="O2138" s="61" t="n"/>
      <c r="P2138" s="61" t="n"/>
      <c r="Q2138" s="62" t="n"/>
      <c r="R2138" s="61" t="n"/>
    </row>
    <row r="2139" ht="15.75" customHeight="1" s="38">
      <c r="A2139" s="66" t="inlineStr">
        <is>
          <t>Volvo</t>
        </is>
      </c>
      <c r="B2139" s="66" t="inlineStr">
        <is>
          <t>Buses, Camiones</t>
        </is>
      </c>
      <c r="C2139" s="66" t="inlineStr">
        <is>
          <t>Santiago</t>
        </is>
      </c>
      <c r="D2139" s="66" t="n"/>
      <c r="E2139" s="66" t="inlineStr">
        <is>
          <t>(56) 2 2299 1100</t>
        </is>
      </c>
      <c r="F2139" s="66" t="n"/>
      <c r="G2139" s="66" t="n"/>
      <c r="H2139" s="66" t="n"/>
      <c r="I2139" s="66" t="inlineStr">
        <is>
          <t>76.284.920-8</t>
        </is>
      </c>
      <c r="J2139" s="66" t="n"/>
      <c r="K2139" s="66" t="inlineStr">
        <is>
          <t>Ventas: GRANDE (Estimado por Empleados) | Empleados: 402</t>
        </is>
      </c>
      <c r="L2139" s="61" t="n"/>
      <c r="M2139" s="61" t="n"/>
      <c r="N2139" s="61" t="n"/>
      <c r="O2139" s="61" t="n"/>
      <c r="P2139" s="61" t="n"/>
      <c r="Q2139" s="62" t="n"/>
      <c r="R2139" s="61" t="n"/>
    </row>
    <row r="2140" ht="15.75" customHeight="1" s="38">
      <c r="A2140" s="66" t="inlineStr">
        <is>
          <t>Von Unger Representaciones Ltda.</t>
        </is>
      </c>
      <c r="B2140" s="66" t="inlineStr">
        <is>
          <t>Equipos para Control de Polvo</t>
        </is>
      </c>
      <c r="C2140" s="66" t="inlineStr">
        <is>
          <t>Santiago</t>
        </is>
      </c>
      <c r="D2140" s="66" t="inlineStr">
        <is>
          <t>vonunger@vonunger.cl</t>
        </is>
      </c>
      <c r="E2140" s="66" t="inlineStr">
        <is>
          <t>(56) 2 2629 0655</t>
        </is>
      </c>
      <c r="F2140" s="66" t="n"/>
      <c r="G2140" s="66" t="n"/>
      <c r="H2140" s="66" t="n"/>
      <c r="I2140" s="66" t="inlineStr">
        <is>
          <t>78.241.690-1</t>
        </is>
      </c>
      <c r="J2140" s="66" t="n"/>
      <c r="K2140" s="66" t="inlineStr">
        <is>
          <t>Ventas: GRANDE 1 (100.000 - 200.000 UF) | Empleados: 36</t>
        </is>
      </c>
      <c r="L2140" s="61" t="n"/>
      <c r="M2140" s="61" t="n"/>
      <c r="N2140" s="61" t="n"/>
      <c r="O2140" s="61" t="n"/>
      <c r="P2140" s="61" t="n"/>
      <c r="Q2140" s="62" t="n"/>
      <c r="R2140" s="61" t="n"/>
    </row>
    <row r="2141" ht="15.75" customHeight="1" s="38">
      <c r="A2141" s="66" t="inlineStr">
        <is>
          <t>VPS International Ltda.</t>
        </is>
      </c>
      <c r="B2141" s="66" t="inlineStr">
        <is>
          <t>Calderería, Válvulas</t>
        </is>
      </c>
      <c r="C2141" s="66" t="inlineStr">
        <is>
          <t>Santiago</t>
        </is>
      </c>
      <c r="D2141" s="66" t="inlineStr">
        <is>
          <t>vps@vpsinternational.cl</t>
        </is>
      </c>
      <c r="E2141" s="66" t="inlineStr">
        <is>
          <t>(56) 2 2434 2400</t>
        </is>
      </c>
      <c r="F2141" s="66" t="n"/>
      <c r="G2141" s="66" t="n"/>
      <c r="H2141" s="66" t="n"/>
      <c r="I2141" s="66" t="inlineStr">
        <is>
          <t>77.260.510-2</t>
        </is>
      </c>
      <c r="J2141" s="66" t="n"/>
      <c r="K2141" s="66" t="inlineStr">
        <is>
          <t>Ventas: MICRO 1 (0.01 - 200 UF) | Empleados: 0</t>
        </is>
      </c>
      <c r="L2141" s="61" t="n"/>
      <c r="M2141" s="61" t="n"/>
      <c r="N2141" s="61" t="n"/>
      <c r="O2141" s="61" t="n"/>
      <c r="P2141" s="61" t="n"/>
      <c r="Q2141" s="62" t="n"/>
      <c r="R2141" s="61" t="n"/>
    </row>
    <row r="2142" ht="15.75" customHeight="1" s="38">
      <c r="A2142" s="66" t="inlineStr">
        <is>
          <t>VSL Sistemas Especiales de Construcción S.A.</t>
        </is>
      </c>
      <c r="B2142" s="66" t="inlineStr">
        <is>
          <t>Elementos Especiales de Hormigón para la Minería</t>
        </is>
      </c>
      <c r="C2142" s="66" t="inlineStr">
        <is>
          <t>Santiago</t>
        </is>
      </c>
      <c r="D2142" s="66" t="inlineStr">
        <is>
          <t>secretaria@vslchile.cl</t>
        </is>
      </c>
      <c r="E2142" s="66" t="inlineStr">
        <is>
          <t>(56) 2 2571 6700</t>
        </is>
      </c>
      <c r="F2142" s="66" t="n"/>
      <c r="G2142" s="66" t="n"/>
      <c r="H2142" s="66" t="n"/>
      <c r="I2142" s="66" t="inlineStr">
        <is>
          <t>96.529.480-5</t>
        </is>
      </c>
      <c r="J2142" s="66" t="n"/>
      <c r="K2142" s="66" t="inlineStr">
        <is>
          <t>Ventas: GRANDE 2 (200.000 - 600.000 UF) | Empleados: 156</t>
        </is>
      </c>
      <c r="L2142" s="61" t="n"/>
      <c r="M2142" s="61" t="n"/>
      <c r="N2142" s="61" t="n"/>
      <c r="O2142" s="61" t="n"/>
      <c r="P2142" s="61" t="n"/>
      <c r="Q2142" s="62" t="n"/>
      <c r="R2142" s="61" t="n"/>
    </row>
    <row r="2143" ht="15.75" customHeight="1" s="38">
      <c r="A2143" s="66" t="inlineStr">
        <is>
          <t>VyV-DSD</t>
        </is>
      </c>
      <c r="B2143" s="66" t="inlineStr">
        <is>
          <t>Construcción de Obras Civiles, Construcción de Plantas Mineras</t>
        </is>
      </c>
      <c r="C2143" s="66" t="inlineStr">
        <is>
          <t>Santiago</t>
        </is>
      </c>
      <c r="D2143" s="66" t="inlineStr">
        <is>
          <t>comunicandonos@vyv-dsd.cl</t>
        </is>
      </c>
      <c r="E2143" s="66" t="inlineStr">
        <is>
          <t>(56) 2 2368 8000</t>
        </is>
      </c>
      <c r="F2143" s="66" t="n"/>
      <c r="G2143" s="66" t="n"/>
      <c r="H2143" s="66" t="n"/>
      <c r="I2143" s="66" t="inlineStr">
        <is>
          <t>76.136.076-0</t>
        </is>
      </c>
      <c r="J2143" s="66" t="n"/>
      <c r="K2143" s="66" t="inlineStr">
        <is>
          <t>Ventas: GRANDE (Estimado por Empleados) | Empleados: 1211</t>
        </is>
      </c>
      <c r="L2143" s="61" t="n"/>
      <c r="M2143" s="61" t="n"/>
      <c r="N2143" s="61" t="n"/>
      <c r="O2143" s="61" t="n"/>
      <c r="P2143" s="61" t="n"/>
      <c r="Q2143" s="62" t="n"/>
      <c r="R2143" s="61" t="n"/>
    </row>
    <row r="2144" ht="15.75" customHeight="1" s="38">
      <c r="A2144" s="66" t="inlineStr">
        <is>
          <t>Válvulas Industriales S.A.</t>
        </is>
      </c>
      <c r="B2144" s="66" t="inlineStr">
        <is>
          <t>Válvulas</t>
        </is>
      </c>
      <c r="C2144" s="66" t="inlineStr">
        <is>
          <t>Santiago</t>
        </is>
      </c>
      <c r="D2144" s="66" t="inlineStr">
        <is>
          <t>ventas@valvulasindustriales.com</t>
        </is>
      </c>
      <c r="E2144" s="66" t="inlineStr">
        <is>
          <t>600 570 1000</t>
        </is>
      </c>
      <c r="F2144" s="66" t="n"/>
      <c r="G2144" s="66" t="n"/>
      <c r="H2144" s="66" t="n"/>
      <c r="I2144" s="66" t="inlineStr">
        <is>
          <t>95.164.000-K</t>
        </is>
      </c>
      <c r="J2144" s="66" t="n"/>
      <c r="K2144" s="66" t="inlineStr">
        <is>
          <t>Ventas: GRANDE 3 (600.000 - 1.000.000 UF) | Empleados: 60</t>
        </is>
      </c>
      <c r="L2144" s="61" t="n"/>
      <c r="M2144" s="61" t="n"/>
      <c r="N2144" s="61" t="n"/>
      <c r="O2144" s="61" t="n"/>
      <c r="P2144" s="61" t="n"/>
      <c r="Q2144" s="62" t="n"/>
      <c r="R2144" s="61" t="n"/>
    </row>
    <row r="2145" ht="15.75" customHeight="1" s="38">
      <c r="A2145" s="66" t="inlineStr">
        <is>
          <t>W. Reichmann y Cía. Ltda.</t>
        </is>
      </c>
      <c r="B2145" s="66" t="inlineStr">
        <is>
          <t>Artículos para Laboratorios</t>
        </is>
      </c>
      <c r="C2145" s="66" t="inlineStr">
        <is>
          <t>Santiago</t>
        </is>
      </c>
      <c r="D2145" s="66" t="inlineStr">
        <is>
          <t>ventas@wreichmann.cl</t>
        </is>
      </c>
      <c r="E2145" s="66" t="inlineStr">
        <is>
          <t>(56) 2 2912 8100</t>
        </is>
      </c>
      <c r="F2145" s="66" t="n"/>
      <c r="G2145" s="66" t="n"/>
      <c r="H2145" s="66" t="n"/>
      <c r="I2145" s="66" t="inlineStr">
        <is>
          <t>80.783.200-K</t>
        </is>
      </c>
      <c r="J2145" s="66" t="n"/>
      <c r="K2145" s="66" t="inlineStr">
        <is>
          <t>Ventas: MEDIANA 2 (50.000 - 100.000 UF) | Empleados: 17</t>
        </is>
      </c>
      <c r="L2145" s="61" t="n"/>
      <c r="M2145" s="61" t="n"/>
      <c r="N2145" s="61" t="n"/>
      <c r="O2145" s="61" t="n"/>
      <c r="P2145" s="61" t="n"/>
      <c r="Q2145" s="62" t="n"/>
      <c r="R2145" s="61" t="n"/>
    </row>
    <row r="2146" ht="15.75" customHeight="1" s="38">
      <c r="A2146" s="66" t="inlineStr">
        <is>
          <t>Wall Chase</t>
        </is>
      </c>
      <c r="B2146" s="66" t="inlineStr">
        <is>
          <t>Selección y Reclutamiento de Ejecutivos y Personal</t>
        </is>
      </c>
      <c r="C2146" s="66" t="inlineStr">
        <is>
          <t>Santiago</t>
        </is>
      </c>
      <c r="D2146" s="66" t="n"/>
      <c r="E2146" s="66" t="inlineStr">
        <is>
          <t>(56) 2 2760 2470</t>
        </is>
      </c>
      <c r="F2146" s="66" t="n"/>
      <c r="G2146" s="66" t="n"/>
      <c r="H2146" s="66" t="n"/>
      <c r="I2146" s="66" t="inlineStr">
        <is>
          <t>76.162.695-7</t>
        </is>
      </c>
      <c r="J2146" s="66" t="n"/>
      <c r="K2146" s="66" t="inlineStr">
        <is>
          <t>Ventas: MICRO 1 (0.01 - 200 UF) | Empleados: 0</t>
        </is>
      </c>
      <c r="L2146" s="61" t="n"/>
      <c r="M2146" s="61" t="n"/>
      <c r="N2146" s="61" t="n"/>
      <c r="O2146" s="61" t="n"/>
      <c r="P2146" s="61" t="n"/>
      <c r="Q2146" s="62" t="n"/>
      <c r="R2146" s="61" t="n"/>
    </row>
    <row r="2147" ht="15.75" customHeight="1" s="38">
      <c r="A2147" s="66" t="inlineStr">
        <is>
          <t>Water &amp; Energy Solutions</t>
        </is>
      </c>
      <c r="B2147" s="66" t="inlineStr">
        <is>
          <t>Tratamiento de Aguas</t>
        </is>
      </c>
      <c r="C2147" s="66" t="inlineStr">
        <is>
          <t>Santiago</t>
        </is>
      </c>
      <c r="D2147" s="66" t="inlineStr">
        <is>
          <t>a.do@weschile.com</t>
        </is>
      </c>
      <c r="E2147" s="66" t="inlineStr">
        <is>
          <t>(56) 9 7519 3045</t>
        </is>
      </c>
      <c r="F2147" s="66" t="n"/>
      <c r="G2147" s="66" t="n"/>
      <c r="H2147" s="66" t="n"/>
      <c r="I2147" s="66" t="inlineStr">
        <is>
          <t>76.319.493-0</t>
        </is>
      </c>
      <c r="J2147" s="66" t="n"/>
      <c r="K2147" s="66" t="inlineStr">
        <is>
          <t>Ventas: No en base SII | Empleados: S/I</t>
        </is>
      </c>
      <c r="L2147" s="61" t="n"/>
      <c r="M2147" s="61" t="n"/>
      <c r="N2147" s="61" t="n"/>
      <c r="O2147" s="61" t="n"/>
      <c r="P2147" s="61" t="n"/>
      <c r="Q2147" s="62" t="n"/>
      <c r="R2147" s="61" t="n"/>
    </row>
    <row r="2148" ht="15.75" customHeight="1" s="38">
      <c r="A2148" s="66" t="inlineStr">
        <is>
          <t>Watson Marlow Bombas Chile</t>
        </is>
      </c>
      <c r="B2148" s="66" t="inlineStr">
        <is>
          <t>Bombas, Bombas Peristálticas</t>
        </is>
      </c>
      <c r="C2148" s="66" t="inlineStr">
        <is>
          <t>Santiago</t>
        </is>
      </c>
      <c r="D2148" s="66" t="inlineStr">
        <is>
          <t>info@wmftg.cl</t>
        </is>
      </c>
      <c r="E2148" s="66" t="inlineStr">
        <is>
          <t>(56) 2 2616 2565</t>
        </is>
      </c>
      <c r="F2148" s="66" t="n"/>
      <c r="G2148" s="66" t="n"/>
      <c r="H2148" s="66" t="n"/>
      <c r="I2148" s="66" t="inlineStr">
        <is>
          <t>76.416.231-5</t>
        </is>
      </c>
      <c r="J2148" s="66" t="n"/>
      <c r="K2148" s="66" t="inlineStr">
        <is>
          <t>Ventas: GRANDE 2 (200.000 - 600.000 UF) | Empleados: 8</t>
        </is>
      </c>
      <c r="L2148" s="61" t="n"/>
      <c r="M2148" s="61" t="n"/>
      <c r="N2148" s="61" t="n"/>
      <c r="O2148" s="61" t="n"/>
      <c r="P2148" s="61" t="n"/>
      <c r="Q2148" s="62" t="n"/>
      <c r="R2148" s="61" t="n"/>
    </row>
    <row r="2149" ht="15.75" customHeight="1" s="38">
      <c r="A2149" s="66" t="inlineStr">
        <is>
          <t>Waypoint Telecomunicaciones S.A.</t>
        </is>
      </c>
      <c r="B2149" s="66" t="inlineStr">
        <is>
          <t>Telecomunicaciones</t>
        </is>
      </c>
      <c r="C2149" s="66" t="inlineStr">
        <is>
          <t>Santiago</t>
        </is>
      </c>
      <c r="D2149" s="66" t="inlineStr">
        <is>
          <t>info@waypoint.cl</t>
        </is>
      </c>
      <c r="E2149" s="66" t="inlineStr">
        <is>
          <t>(56) 2 2963 4180</t>
        </is>
      </c>
      <c r="F2149" s="66" t="n"/>
      <c r="G2149" s="66" t="n"/>
      <c r="H2149" s="66" t="n"/>
      <c r="I2149" s="66" t="inlineStr">
        <is>
          <t>76.783.680-5</t>
        </is>
      </c>
      <c r="J2149" s="66" t="n"/>
      <c r="K2149" s="66" t="inlineStr">
        <is>
          <t>Ventas: GRANDE 1 (100.000 - 200.000 UF) | Empleados: 91</t>
        </is>
      </c>
      <c r="L2149" s="61" t="n"/>
      <c r="M2149" s="61" t="n"/>
      <c r="N2149" s="61" t="n"/>
      <c r="O2149" s="61" t="n"/>
      <c r="P2149" s="61" t="n"/>
      <c r="Q2149" s="62" t="n"/>
      <c r="R2149" s="61" t="n"/>
    </row>
    <row r="2150" ht="15.75" customHeight="1" s="38">
      <c r="A2150" s="66" t="inlineStr">
        <is>
          <t>WDI Artesanos</t>
        </is>
      </c>
      <c r="B2150" s="66" t="inlineStr">
        <is>
          <t>Seguridad Industrial y Minera</t>
        </is>
      </c>
      <c r="C2150" s="66" t="inlineStr">
        <is>
          <t>Santiago</t>
        </is>
      </c>
      <c r="D2150" s="66" t="inlineStr">
        <is>
          <t>wdiartesanos@gmail.com</t>
        </is>
      </c>
      <c r="E2150" s="66" t="inlineStr">
        <is>
          <t>(56) 2 2229 0620</t>
        </is>
      </c>
      <c r="F2150" s="66" t="n"/>
      <c r="G2150" s="66" t="n"/>
      <c r="H2150" s="66" t="n"/>
      <c r="I2150" s="66" t="inlineStr">
        <is>
          <t>15.385.102-6</t>
        </is>
      </c>
      <c r="J2150" s="66" t="n"/>
      <c r="K2150" s="66" t="inlineStr">
        <is>
          <t>Ventas: No en base SII | Empleados: S/I</t>
        </is>
      </c>
      <c r="L2150" s="61" t="n"/>
      <c r="M2150" s="61" t="n"/>
      <c r="N2150" s="61" t="n"/>
      <c r="O2150" s="61" t="n"/>
      <c r="P2150" s="61" t="n"/>
      <c r="Q2150" s="62" t="n"/>
      <c r="R2150" s="61" t="n"/>
    </row>
    <row r="2151" ht="15.75" customHeight="1" s="38">
      <c r="A2151" s="66" t="inlineStr">
        <is>
          <t>Webcontrol Corp LLC</t>
        </is>
      </c>
      <c r="B2151" s="66" t="inlineStr">
        <is>
          <t>Control de Accesos</t>
        </is>
      </c>
      <c r="C2151" s="66" t="inlineStr">
        <is>
          <t>Santiago</t>
        </is>
      </c>
      <c r="D2151" s="66" t="inlineStr">
        <is>
          <t>soporte@webcontrolcorp.com</t>
        </is>
      </c>
      <c r="E2151" s="66" t="inlineStr">
        <is>
          <t>(56) 2 2585 8790</t>
        </is>
      </c>
      <c r="F2151" s="66" t="n"/>
      <c r="G2151" s="66" t="n"/>
      <c r="H2151" s="66" t="n"/>
      <c r="I2151" s="66" t="inlineStr">
        <is>
          <t>76.126.490-7</t>
        </is>
      </c>
      <c r="J2151" s="66" t="n"/>
      <c r="K2151" s="66" t="inlineStr">
        <is>
          <t>Ventas: GRANDE 1 (100.000 - 200.000 UF) | Empleados: 62</t>
        </is>
      </c>
      <c r="L2151" s="61" t="n"/>
      <c r="M2151" s="61" t="n"/>
      <c r="N2151" s="61" t="n"/>
      <c r="O2151" s="61" t="n"/>
      <c r="P2151" s="61" t="n"/>
      <c r="Q2151" s="62" t="n"/>
      <c r="R2151" s="61" t="n"/>
    </row>
    <row r="2152" ht="15.75" customHeight="1" s="38">
      <c r="A2152" s="66" t="inlineStr">
        <is>
          <t>WEG Chile S.A.</t>
        </is>
      </c>
      <c r="B2152" s="66" t="inlineStr">
        <is>
          <t>Transformadores Eléctricos</t>
        </is>
      </c>
      <c r="C2152" s="66" t="inlineStr">
        <is>
          <t>Santiago</t>
        </is>
      </c>
      <c r="D2152" s="66" t="n"/>
      <c r="E2152" s="66" t="inlineStr">
        <is>
          <t>(56) 2 2784 8900</t>
        </is>
      </c>
      <c r="F2152" s="66" t="n"/>
      <c r="G2152" s="66" t="n"/>
      <c r="H2152" s="66" t="n"/>
      <c r="I2152" s="66" t="inlineStr">
        <is>
          <t>99.528.050-7</t>
        </is>
      </c>
      <c r="J2152" s="66" t="n"/>
      <c r="K2152" s="66" t="inlineStr">
        <is>
          <t>Ventas: MEDIANA (Estimado por Empleados) | Empleados: 83</t>
        </is>
      </c>
      <c r="L2152" s="61" t="n"/>
      <c r="M2152" s="61" t="n"/>
      <c r="N2152" s="61" t="n"/>
      <c r="O2152" s="61" t="n"/>
      <c r="P2152" s="61" t="n"/>
      <c r="Q2152" s="62" t="n"/>
      <c r="R2152" s="61" t="n"/>
    </row>
    <row r="2153" ht="15.75" customHeight="1" s="38">
      <c r="A2153" s="66" t="inlineStr">
        <is>
          <t>Weidmueller SpA</t>
        </is>
      </c>
      <c r="B2153" s="66" t="inlineStr">
        <is>
          <t>Automatización Industrial, Electrónica Industrial, Sistemas Fotovoltaicos</t>
        </is>
      </c>
      <c r="C2153" s="66" t="inlineStr">
        <is>
          <t>Santiago</t>
        </is>
      </c>
      <c r="D2153" s="66" t="inlineStr">
        <is>
          <t>ventas.chile@weidmueller.com</t>
        </is>
      </c>
      <c r="E2153" s="66" t="inlineStr">
        <is>
          <t>(56) 9 3935 2833</t>
        </is>
      </c>
      <c r="F2153" s="66" t="n"/>
      <c r="G2153" s="66" t="n"/>
      <c r="H2153" s="66" t="n"/>
      <c r="I2153" s="66" t="inlineStr">
        <is>
          <t>19.082.626-0</t>
        </is>
      </c>
      <c r="J2153" s="66" t="n"/>
      <c r="K2153" s="66" t="inlineStr">
        <is>
          <t>Ventas: No en base SII | Empleados: S/I</t>
        </is>
      </c>
      <c r="L2153" s="61" t="n"/>
      <c r="M2153" s="61" t="n"/>
      <c r="N2153" s="61" t="n"/>
      <c r="O2153" s="61" t="n"/>
      <c r="P2153" s="61" t="n"/>
      <c r="Q2153" s="62" t="n"/>
      <c r="R2153" s="61" t="n"/>
    </row>
    <row r="2154" ht="15.75" customHeight="1" s="38">
      <c r="A2154" s="66" t="inlineStr">
        <is>
          <t>Weir Minerals Chile</t>
        </is>
      </c>
      <c r="B2154" s="66" t="inlineStr">
        <is>
          <t>Bombas, Chancadores de Mandíbula</t>
        </is>
      </c>
      <c r="C2154" s="66" t="inlineStr">
        <is>
          <t>Santiago</t>
        </is>
      </c>
      <c r="D2154" s="66" t="inlineStr">
        <is>
          <t>chile.ventas@mail.weir</t>
        </is>
      </c>
      <c r="E2154" s="66" t="inlineStr">
        <is>
          <t>(56) 2 2754 2200</t>
        </is>
      </c>
      <c r="F2154" s="66" t="n"/>
      <c r="G2154" s="66" t="n"/>
      <c r="H2154" s="66" t="n"/>
      <c r="I2154" s="66" t="inlineStr">
        <is>
          <t>91.619.000-K</t>
        </is>
      </c>
      <c r="J2154" s="66" t="n"/>
      <c r="K2154" s="66" t="inlineStr">
        <is>
          <t>Ventas: GRANDE (Estimado por Empleados) | Empleados: 1393</t>
        </is>
      </c>
      <c r="L2154" s="61" t="n"/>
      <c r="M2154" s="61" t="n"/>
      <c r="N2154" s="61" t="n"/>
      <c r="O2154" s="61" t="n"/>
      <c r="P2154" s="61" t="n"/>
      <c r="Q2154" s="62" t="n"/>
      <c r="R2154" s="61" t="n"/>
    </row>
    <row r="2155" ht="15.75" customHeight="1" s="38">
      <c r="A2155" s="66" t="inlineStr">
        <is>
          <t>Welko SpA</t>
        </is>
      </c>
      <c r="B2155" s="66" t="inlineStr">
        <is>
          <t>Sensores de Presión</t>
        </is>
      </c>
      <c r="C2155" s="66" t="inlineStr">
        <is>
          <t>Santiago</t>
        </is>
      </c>
      <c r="D2155" s="66" t="inlineStr">
        <is>
          <t>ventas@welko.cl</t>
        </is>
      </c>
      <c r="E2155" s="66" t="inlineStr">
        <is>
          <t>(56) 2 2233 9162</t>
        </is>
      </c>
      <c r="F2155" s="66" t="n"/>
      <c r="G2155" s="66" t="n"/>
      <c r="H2155" s="66" t="n"/>
      <c r="I2155" s="66" t="inlineStr">
        <is>
          <t>76.174.977-3</t>
        </is>
      </c>
      <c r="J2155" s="66" t="n"/>
      <c r="K2155" s="66" t="inlineStr">
        <is>
          <t>Ventas: MEDIANA 1 (25.000 - 50.000 UF) | Empleados: 3</t>
        </is>
      </c>
      <c r="L2155" s="61" t="n"/>
      <c r="M2155" s="61" t="n"/>
      <c r="N2155" s="61" t="n"/>
      <c r="O2155" s="61" t="n"/>
      <c r="P2155" s="61" t="n"/>
      <c r="Q2155" s="62" t="n"/>
      <c r="R2155" s="61" t="n"/>
    </row>
    <row r="2156" ht="15.75" customHeight="1" s="38">
      <c r="A2156" s="66" t="inlineStr">
        <is>
          <t>Wellford Chile S.A.</t>
        </is>
      </c>
      <c r="B2156" s="66" t="inlineStr">
        <is>
          <t>Bombas Centrífugas, Bombas para Pozos Profundos</t>
        </is>
      </c>
      <c r="C2156" s="66" t="inlineStr">
        <is>
          <t>Santiago</t>
        </is>
      </c>
      <c r="D2156" s="66" t="inlineStr">
        <is>
          <t>ventas@wellford.cl</t>
        </is>
      </c>
      <c r="E2156" s="66" t="inlineStr">
        <is>
          <t>(56) 2 2857 2514</t>
        </is>
      </c>
      <c r="F2156" s="66" t="n"/>
      <c r="G2156" s="66" t="n"/>
      <c r="H2156" s="66" t="n"/>
      <c r="I2156" s="66" t="inlineStr">
        <is>
          <t>96.546.520-0</t>
        </is>
      </c>
      <c r="J2156" s="66" t="n"/>
      <c r="K2156" s="66" t="inlineStr">
        <is>
          <t>Ventas: GRANDE 3 (600.000 - 1.000.000 UF) | Empleados: 72</t>
        </is>
      </c>
      <c r="L2156" s="61" t="n"/>
      <c r="M2156" s="61" t="n"/>
      <c r="N2156" s="61" t="n"/>
      <c r="O2156" s="61" t="n"/>
      <c r="P2156" s="61" t="n"/>
      <c r="Q2156" s="62" t="n"/>
      <c r="R2156" s="61" t="n"/>
    </row>
    <row r="2157" ht="15.75" customHeight="1" s="38">
      <c r="A2157" s="66" t="inlineStr">
        <is>
          <t>Wenco S.A.</t>
        </is>
      </c>
      <c r="B2157" s="66" t="inlineStr">
        <is>
          <t>Bidones de Plástico, Tambores de Plástico</t>
        </is>
      </c>
      <c r="C2157" s="66" t="inlineStr">
        <is>
          <t>Santiago</t>
        </is>
      </c>
      <c r="D2157" s="66" t="inlineStr">
        <is>
          <t>ventas.soplado@wenco.cl</t>
        </is>
      </c>
      <c r="E2157" s="66" t="inlineStr">
        <is>
          <t>(56) 2 2620 8592</t>
        </is>
      </c>
      <c r="F2157" s="66" t="n"/>
      <c r="G2157" s="66" t="n"/>
      <c r="H2157" s="66" t="n"/>
      <c r="I2157" s="66" t="inlineStr">
        <is>
          <t>92.147.000-2</t>
        </is>
      </c>
      <c r="J2157" s="66" t="n"/>
      <c r="K2157" s="66" t="inlineStr">
        <is>
          <t>Ventas: GRANDE (Estimado por Empleados) | Empleados: 486</t>
        </is>
      </c>
      <c r="L2157" s="61" t="n"/>
      <c r="M2157" s="61" t="n"/>
      <c r="N2157" s="61" t="n"/>
      <c r="O2157" s="61" t="n"/>
      <c r="P2157" s="61" t="n"/>
      <c r="Q2157" s="62" t="n"/>
      <c r="R2157" s="61" t="n"/>
    </row>
    <row r="2158" ht="15.75" customHeight="1" s="38">
      <c r="A2158" s="66" t="inlineStr">
        <is>
          <t>Wherex</t>
        </is>
      </c>
      <c r="B2158" s="66" t="inlineStr">
        <is>
          <t>Conciliación de Pagos a Proveedores, Digitalización y Automatización del Proceso de Abastecimiento con IA</t>
        </is>
      </c>
      <c r="C2158" s="66" t="inlineStr">
        <is>
          <t>Santiago</t>
        </is>
      </c>
      <c r="D2158" s="66" t="inlineStr">
        <is>
          <t>contacto@wherex.com</t>
        </is>
      </c>
      <c r="E2158" s="66" t="n"/>
      <c r="F2158" s="66" t="n"/>
      <c r="G2158" s="66" t="n"/>
      <c r="H2158" s="66" t="inlineStr">
        <is>
          <t>http://www.wherex.cl</t>
        </is>
      </c>
      <c r="I2158" s="66" t="inlineStr">
        <is>
          <t>77.460.259-3</t>
        </is>
      </c>
      <c r="J2158" s="66" t="n"/>
      <c r="K2158" s="66" t="inlineStr">
        <is>
          <t>Ventas: GRANDE 1 (100.000 - 200.000 UF) | Empleados: 0</t>
        </is>
      </c>
      <c r="L2158" s="61" t="n"/>
      <c r="M2158" s="61" t="n"/>
      <c r="N2158" s="61" t="n"/>
      <c r="O2158" s="61" t="n"/>
      <c r="P2158" s="61" t="n"/>
      <c r="Q2158" s="62" t="n"/>
      <c r="R2158" s="61" t="n"/>
    </row>
    <row r="2159" ht="15.75" customHeight="1" s="38">
      <c r="A2159" s="59" t="inlineStr">
        <is>
          <t>Widefense S.A.</t>
        </is>
      </c>
      <c r="B2159" s="59" t="inlineStr">
        <is>
          <t>Seguridad Computacional</t>
        </is>
      </c>
      <c r="C2159" s="59" t="inlineStr">
        <is>
          <t>Santiago</t>
        </is>
      </c>
      <c r="D2159" s="59" t="inlineStr">
        <is>
          <t>contacto@widefense.com</t>
        </is>
      </c>
      <c r="E2159" s="59" t="inlineStr">
        <is>
          <t>(56) 2 2816 9000</t>
        </is>
      </c>
      <c r="F2159" s="59" t="inlineStr">
        <is>
          <t>Jose Arenas Pizarro (Gte Tecnología)</t>
        </is>
      </c>
      <c r="G2159" s="59" t="n"/>
      <c r="H2159" s="59" t="n"/>
      <c r="I2159" s="59" t="inlineStr">
        <is>
          <t>99.581.600-8</t>
        </is>
      </c>
      <c r="J2159" s="59" t="inlineStr">
        <is>
          <t>Transformación Ferroviaria Digital</t>
        </is>
      </c>
      <c r="K2159" s="59" t="inlineStr">
        <is>
          <t>Ventas: MEDIANA 1 (25.000 - 50.000 UF) | Empleados: 26</t>
        </is>
      </c>
      <c r="L2159" s="61" t="n"/>
      <c r="M2159" s="61" t="n"/>
      <c r="N2159" s="61" t="n"/>
      <c r="O2159" s="61" t="n"/>
      <c r="P2159" s="61" t="n"/>
      <c r="Q2159" s="62" t="n"/>
      <c r="R2159" s="61" t="n"/>
    </row>
    <row r="2160" ht="15.75" customHeight="1" s="38">
      <c r="A2160" s="66" t="inlineStr">
        <is>
          <t>Wienecke</t>
        </is>
      </c>
      <c r="B2160" s="66" t="inlineStr">
        <is>
          <t>Bodegas Industriales</t>
        </is>
      </c>
      <c r="C2160" s="66" t="inlineStr">
        <is>
          <t>Viña del Mar</t>
        </is>
      </c>
      <c r="D2160" s="66" t="inlineStr">
        <is>
          <t>hts@wienecke.cl</t>
        </is>
      </c>
      <c r="E2160" s="66" t="inlineStr">
        <is>
          <t>(56) 32 267 0529</t>
        </is>
      </c>
      <c r="F2160" s="66" t="n"/>
      <c r="G2160" s="66" t="n"/>
      <c r="H2160" s="66" t="n"/>
      <c r="I2160" s="66" t="inlineStr">
        <is>
          <t>76.059.515-2</t>
        </is>
      </c>
      <c r="J2160" s="66" t="n"/>
      <c r="K2160" s="66" t="inlineStr">
        <is>
          <t>Ventas: GRANDE 2 (200.000 - 600.000 UF) | Empleados: 15</t>
        </is>
      </c>
      <c r="L2160" s="61" t="n"/>
      <c r="M2160" s="61" t="n"/>
      <c r="N2160" s="61" t="n"/>
      <c r="O2160" s="61" t="n"/>
      <c r="P2160" s="61" t="n"/>
      <c r="Q2160" s="62" t="n"/>
      <c r="R2160" s="61" t="n"/>
    </row>
    <row r="2161" ht="15.75" customHeight="1" s="38">
      <c r="A2161" s="66" t="inlineStr">
        <is>
          <t>Williamson Industrial S.A.</t>
        </is>
      </c>
      <c r="B2161" s="66" t="inlineStr">
        <is>
          <t>Empaquetaduras, Ropa para Seguridad</t>
        </is>
      </c>
      <c r="C2161" s="66" t="inlineStr">
        <is>
          <t>Santiago</t>
        </is>
      </c>
      <c r="D2161" s="66" t="inlineStr">
        <is>
          <t>sac.industrial@williamsonindustrial.cl</t>
        </is>
      </c>
      <c r="E2161" s="66" t="inlineStr">
        <is>
          <t>(56) 2 2386 6200</t>
        </is>
      </c>
      <c r="F2161" s="66" t="n"/>
      <c r="G2161" s="66" t="n"/>
      <c r="H2161" s="66" t="n"/>
      <c r="I2161" s="66" t="inlineStr">
        <is>
          <t>81.140.300-8</t>
        </is>
      </c>
      <c r="J2161" s="66" t="n"/>
      <c r="K2161" s="66" t="inlineStr">
        <is>
          <t>Ventas: GRANDE 2 (200.000 - 600.000 UF) | Empleados: 57</t>
        </is>
      </c>
      <c r="L2161" s="61" t="n"/>
      <c r="M2161" s="61" t="n"/>
      <c r="N2161" s="61" t="n"/>
      <c r="O2161" s="61" t="n"/>
      <c r="P2161" s="61" t="n"/>
      <c r="Q2161" s="62" t="n"/>
      <c r="R2161" s="61" t="n"/>
    </row>
    <row r="2162" ht="15.75" customHeight="1" s="38">
      <c r="A2162" s="66" t="inlineStr">
        <is>
          <t>Wilo Chile SpA</t>
        </is>
      </c>
      <c r="B2162" s="66" t="inlineStr">
        <is>
          <t>Tratamiento de Aguas</t>
        </is>
      </c>
      <c r="C2162" s="66" t="inlineStr">
        <is>
          <t>Santiago</t>
        </is>
      </c>
      <c r="D2162" s="66" t="inlineStr">
        <is>
          <t>info@wilo.com</t>
        </is>
      </c>
      <c r="E2162" s="66" t="inlineStr">
        <is>
          <t>(56) 9 5904 3370</t>
        </is>
      </c>
      <c r="F2162" s="66" t="n"/>
      <c r="G2162" s="66" t="n"/>
      <c r="H2162" s="66" t="n"/>
      <c r="I2162" s="66" t="inlineStr">
        <is>
          <t>76986594-2</t>
        </is>
      </c>
      <c r="J2162" s="66" t="n"/>
      <c r="K2162" s="66" t="inlineStr">
        <is>
          <t>Ventas: GRANDE 1 (100.000 - 200.000 UF) | Empleados: 9</t>
        </is>
      </c>
      <c r="L2162" s="61" t="n"/>
      <c r="M2162" s="61" t="n"/>
      <c r="N2162" s="61" t="n"/>
      <c r="O2162" s="61" t="n"/>
      <c r="P2162" s="61" t="n"/>
      <c r="Q2162" s="62" t="n"/>
      <c r="R2162" s="61" t="n"/>
    </row>
    <row r="2163" ht="15.75" customHeight="1" s="38">
      <c r="A2163" s="66" t="inlineStr">
        <is>
          <t>Wilug, Artículos de Seguridad Ltda.</t>
        </is>
      </c>
      <c r="B2163" s="66" t="inlineStr">
        <is>
          <t>Artículos para Seguridad, Sistemas para Alarmas</t>
        </is>
      </c>
      <c r="C2163" s="66" t="inlineStr">
        <is>
          <t>Coquimbo</t>
        </is>
      </c>
      <c r="D2163" s="66" t="inlineStr">
        <is>
          <t>comercial.casamatriz@wilug.cl</t>
        </is>
      </c>
      <c r="E2163" s="66" t="inlineStr">
        <is>
          <t>(56) 9 4410 3811</t>
        </is>
      </c>
      <c r="F2163" s="66" t="inlineStr">
        <is>
          <t>Gerente de TI / CIO (Director de Tecnología)</t>
        </is>
      </c>
      <c r="G2163" s="66" t="n"/>
      <c r="H2163" s="66" t="n"/>
      <c r="I2163" s="66" t="inlineStr">
        <is>
          <t>79.894.400-2</t>
        </is>
      </c>
      <c r="J2163" s="66" t="n"/>
      <c r="K2163" s="66" t="inlineStr">
        <is>
          <t>Ventas: GRANDE 3 (600.000 - 1.000.000 UF) | Empleados: 463</t>
        </is>
      </c>
      <c r="L2163" s="61" t="n"/>
      <c r="M2163" s="61" t="n"/>
      <c r="N2163" s="61" t="n"/>
      <c r="O2163" s="61" t="n"/>
      <c r="P2163" s="61" t="n"/>
      <c r="Q2163" s="62" t="n"/>
      <c r="R2163" s="61" t="n"/>
    </row>
    <row r="2164" ht="15.75" customHeight="1" s="38">
      <c r="A2164" s="66" t="inlineStr">
        <is>
          <t>Win Water</t>
        </is>
      </c>
      <c r="B2164" s="66" t="inlineStr">
        <is>
          <t>Tuberías en PVC</t>
        </is>
      </c>
      <c r="C2164" s="66" t="inlineStr">
        <is>
          <t>Santiago</t>
        </is>
      </c>
      <c r="D2164" s="66" t="inlineStr">
        <is>
          <t>info@winwater.cl</t>
        </is>
      </c>
      <c r="E2164" s="66" t="inlineStr">
        <is>
          <t>(56) 9 8405 5201</t>
        </is>
      </c>
      <c r="F2164" s="66" t="n"/>
      <c r="G2164" s="66" t="n"/>
      <c r="H2164" s="66" t="n"/>
      <c r="I2164" s="66" t="inlineStr">
        <is>
          <t>76.284.129-0</t>
        </is>
      </c>
      <c r="J2164" s="66" t="n"/>
      <c r="K2164" s="66" t="inlineStr">
        <is>
          <t>Ventas: MEDIANA 1 (25.000 - 50.000 UF) | Empleados: 12</t>
        </is>
      </c>
      <c r="L2164" s="61" t="n"/>
      <c r="M2164" s="61" t="n"/>
      <c r="N2164" s="61" t="n"/>
      <c r="O2164" s="61" t="n"/>
      <c r="P2164" s="61" t="n"/>
      <c r="Q2164" s="62" t="n"/>
      <c r="R2164" s="61" t="n"/>
    </row>
    <row r="2165" ht="15.75" customHeight="1" s="38">
      <c r="A2165" s="66" t="inlineStr">
        <is>
          <t>Windwater</t>
        </is>
      </c>
      <c r="B2165" s="66" t="inlineStr">
        <is>
          <t>Sistemas para Purificación de Agua, Tratamiento de Aguas Servidas</t>
        </is>
      </c>
      <c r="C2165" s="66" t="inlineStr">
        <is>
          <t>Santiago</t>
        </is>
      </c>
      <c r="D2165" s="66" t="inlineStr">
        <is>
          <t>info@windwater.cl</t>
        </is>
      </c>
      <c r="E2165" s="66" t="inlineStr">
        <is>
          <t>(56) 2 2776 6400</t>
        </is>
      </c>
      <c r="F2165" s="66" t="n"/>
      <c r="G2165" s="66" t="n"/>
      <c r="H2165" s="66" t="n"/>
      <c r="I2165" s="66" t="inlineStr">
        <is>
          <t>96.819.170-5</t>
        </is>
      </c>
      <c r="J2165" s="66" t="n"/>
      <c r="K2165" s="66" t="inlineStr">
        <is>
          <t>Ventas: PEQUEÑA 2 (5.000 - 10.000 UF) | Empleados: 7</t>
        </is>
      </c>
      <c r="L2165" s="61" t="n"/>
      <c r="M2165" s="61" t="n"/>
      <c r="N2165" s="61" t="n"/>
      <c r="O2165" s="61" t="n"/>
      <c r="P2165" s="61" t="n"/>
      <c r="Q2165" s="62" t="n"/>
      <c r="R2165" s="61" t="n"/>
    </row>
    <row r="2166" ht="15.75" customHeight="1" s="38">
      <c r="A2166" s="66" t="inlineStr">
        <is>
          <t>Wise Data Global SpA</t>
        </is>
      </c>
      <c r="B2166" s="66" t="inlineStr">
        <is>
          <t>Tecnología IoT para Mantenimiento, Telemetría</t>
        </is>
      </c>
      <c r="C2166" s="66" t="inlineStr">
        <is>
          <t>Santiago</t>
        </is>
      </c>
      <c r="D2166" s="66" t="inlineStr">
        <is>
          <t>comercial@wisedataglobal.com</t>
        </is>
      </c>
      <c r="E2166" s="66" t="inlineStr">
        <is>
          <t>(56) 9 5619 4723</t>
        </is>
      </c>
      <c r="F2166" s="66" t="n"/>
      <c r="G2166" s="66" t="n"/>
      <c r="H2166" s="66" t="n"/>
      <c r="I2166" s="66" t="inlineStr">
        <is>
          <t>77.650.699-0</t>
        </is>
      </c>
      <c r="J2166" s="66" t="n"/>
      <c r="K2166" s="66" t="inlineStr">
        <is>
          <t>Ventas: MEDIANA 1 (25.000 - 50.000 UF) | Empleados: 5</t>
        </is>
      </c>
      <c r="L2166" s="61" t="n"/>
      <c r="M2166" s="61" t="n"/>
      <c r="N2166" s="61" t="n"/>
      <c r="O2166" s="61" t="n"/>
      <c r="P2166" s="61" t="n"/>
      <c r="Q2166" s="62" t="n"/>
      <c r="R2166" s="61" t="n"/>
    </row>
    <row r="2167" ht="15.75" customHeight="1" s="38">
      <c r="A2167" s="66" t="inlineStr">
        <is>
          <t>Wise Supply SpA</t>
        </is>
      </c>
      <c r="B2167" s="66" t="inlineStr">
        <is>
          <t>Camas Bajas para el Transporte de Maquinaria Pesada, Repuestos para Palas Eléctricas</t>
        </is>
      </c>
      <c r="C2167" s="66" t="inlineStr">
        <is>
          <t>Santiago</t>
        </is>
      </c>
      <c r="D2167" s="66" t="inlineStr">
        <is>
          <t>info@wisesupply.cl</t>
        </is>
      </c>
      <c r="E2167" s="66" t="inlineStr">
        <is>
          <t>(56) 9 9337 6468</t>
        </is>
      </c>
      <c r="F2167" s="66" t="n"/>
      <c r="G2167" s="66" t="n"/>
      <c r="H2167" s="66" t="n"/>
      <c r="I2167" s="66" t="inlineStr">
        <is>
          <t>76872978-6</t>
        </is>
      </c>
      <c r="J2167" s="66" t="n"/>
      <c r="K2167" s="66" t="inlineStr">
        <is>
          <t>Ventas: MEDIANA 1 (25.000 - 50.000 UF) | Empleados: 3</t>
        </is>
      </c>
      <c r="L2167" s="61" t="n"/>
      <c r="M2167" s="61" t="n"/>
      <c r="N2167" s="61" t="n"/>
      <c r="O2167" s="61" t="n"/>
      <c r="P2167" s="61" t="n"/>
      <c r="Q2167" s="62" t="n"/>
      <c r="R2167" s="61" t="n"/>
    </row>
    <row r="2168" ht="15.75" customHeight="1" s="38">
      <c r="A2168" s="66" t="inlineStr">
        <is>
          <t>Wisetrack Corp</t>
        </is>
      </c>
      <c r="B2168" s="66" t="inlineStr">
        <is>
          <t>Algoritmos de Inteligencia Artificial para Verificar y Validar Alertas, Central de Monitoreo 24/7 con Protocolos de Alertas, Control Automático de Horas Trabajadas, Control de Fatiga, Somnolencia y Distracciones del Conductor, Copiloto Electrónico en Cabina para Alertar al Conductor de Riesgos en la Ruta, Detección de Conductas de Riesgo de Conducción por Dispositivos en Cabina, Sistema con Advertencias Visuales y Audibles del Entorno del Conductor, Tecnología de Alertas de Fatiga y Somnolencia en la Cabina de los Conductores, Visualización y Análisis de Datos Mediante Dashboards y KPIs para la Gestión de Transporte</t>
        </is>
      </c>
      <c r="C2168" s="66" t="inlineStr">
        <is>
          <t>Santiago</t>
        </is>
      </c>
      <c r="D2168" s="66" t="inlineStr">
        <is>
          <t>contacto@wisetrackcorp.com</t>
        </is>
      </c>
      <c r="E2168" s="66" t="inlineStr">
        <is>
          <t>(56) 2 2389 3000</t>
        </is>
      </c>
      <c r="F2168" s="66" t="n"/>
      <c r="G2168" s="66" t="n"/>
      <c r="H2168" s="66" t="inlineStr">
        <is>
          <t>http://www.wisetrackcorp.com</t>
        </is>
      </c>
      <c r="I2168" s="66" t="inlineStr">
        <is>
          <t>76.411.560-4</t>
        </is>
      </c>
      <c r="J2168" s="66" t="n"/>
      <c r="K2168" s="66" t="inlineStr">
        <is>
          <t>Ventas: No en base SII | Empleados: S/I</t>
        </is>
      </c>
      <c r="L2168" s="61" t="n"/>
      <c r="M2168" s="61" t="n"/>
      <c r="N2168" s="61" t="n"/>
      <c r="O2168" s="61" t="n"/>
      <c r="P2168" s="61" t="n"/>
      <c r="Q2168" s="62" t="n"/>
      <c r="R2168" s="61" t="n"/>
    </row>
    <row r="2169" ht="15.75" customHeight="1" s="38">
      <c r="A2169" s="66" t="inlineStr">
        <is>
          <t>WLP SpA</t>
        </is>
      </c>
      <c r="B2169" s="66" t="inlineStr">
        <is>
          <t>Productos y Equipos para Seguridad Pública y Privada</t>
        </is>
      </c>
      <c r="C2169" s="66" t="inlineStr">
        <is>
          <t>Santiago</t>
        </is>
      </c>
      <c r="D2169" s="66" t="inlineStr">
        <is>
          <t>ventas@wlp.cl</t>
        </is>
      </c>
      <c r="E2169" s="66" t="inlineStr">
        <is>
          <t>(56) 2 2904 5050</t>
        </is>
      </c>
      <c r="F2169" s="66" t="n"/>
      <c r="G2169" s="66" t="n"/>
      <c r="H2169" s="66" t="n"/>
      <c r="I2169" s="66" t="inlineStr">
        <is>
          <t>77.267.799-5</t>
        </is>
      </c>
      <c r="J2169" s="66" t="n"/>
      <c r="K2169" s="66" t="inlineStr">
        <is>
          <t>Ventas: PEQUEÑA 3 (10.000 - 25.000 UF) | Empleados: 1</t>
        </is>
      </c>
      <c r="L2169" s="61" t="n"/>
      <c r="M2169" s="61" t="n"/>
      <c r="N2169" s="61" t="n"/>
      <c r="O2169" s="61" t="n"/>
      <c r="P2169" s="61" t="n"/>
      <c r="Q2169" s="62" t="n"/>
      <c r="R2169" s="61" t="n"/>
    </row>
    <row r="2170" ht="15.75" customHeight="1" s="38">
      <c r="A2170" s="66" t="inlineStr">
        <is>
          <t>WLS Drilling Products S.A.</t>
        </is>
      </c>
      <c r="B2170" s="66" t="inlineStr">
        <is>
          <t>Equipos para la Minería</t>
        </is>
      </c>
      <c r="C2170" s="66" t="inlineStr">
        <is>
          <t>Santiago</t>
        </is>
      </c>
      <c r="D2170" s="66" t="inlineStr">
        <is>
          <t>jose@wlsdp.cl</t>
        </is>
      </c>
      <c r="E2170" s="66" t="inlineStr">
        <is>
          <t>(56) 9 9789 5473</t>
        </is>
      </c>
      <c r="F2170" s="66" t="n"/>
      <c r="G2170" s="66" t="n"/>
      <c r="H2170" s="66" t="n"/>
      <c r="I2170" s="66" t="inlineStr">
        <is>
          <t>99.584.380-3</t>
        </is>
      </c>
      <c r="J2170" s="66" t="n"/>
      <c r="K2170" s="66" t="inlineStr">
        <is>
          <t>Ventas: GRANDE 1 (100.000 - 200.000 UF) | Empleados: 1</t>
        </is>
      </c>
      <c r="L2170" s="61" t="n"/>
      <c r="M2170" s="61" t="n"/>
      <c r="N2170" s="61" t="n"/>
      <c r="O2170" s="61" t="n"/>
      <c r="P2170" s="61" t="n"/>
      <c r="Q2170" s="62" t="n"/>
      <c r="R2170" s="61" t="n"/>
    </row>
    <row r="2171" ht="15.75" customHeight="1" s="38">
      <c r="A2171" s="66" t="inlineStr">
        <is>
          <t>Wood</t>
        </is>
      </c>
      <c r="B2171" s="66" t="inlineStr">
        <is>
          <t>Contratos EPC-EPCM</t>
        </is>
      </c>
      <c r="C2171" s="66" t="inlineStr">
        <is>
          <t>Santiago</t>
        </is>
      </c>
      <c r="D2171" s="66" t="n"/>
      <c r="E2171" s="66" t="inlineStr">
        <is>
          <t>(56) 2 2957 7700</t>
        </is>
      </c>
      <c r="F2171" s="66" t="n"/>
      <c r="G2171" s="66" t="n"/>
      <c r="H2171" s="66" t="n"/>
      <c r="I2171" s="66" t="inlineStr">
        <is>
          <t>76.938.030-2</t>
        </is>
      </c>
      <c r="J2171" s="66" t="n"/>
      <c r="K2171" s="66" t="inlineStr">
        <is>
          <t>Ventas: GRANDE (Estimado por Empleados) | Empleados: 576</t>
        </is>
      </c>
      <c r="L2171" s="61" t="n"/>
      <c r="M2171" s="61" t="n"/>
      <c r="N2171" s="61" t="n"/>
      <c r="O2171" s="61" t="n"/>
      <c r="P2171" s="61" t="n"/>
      <c r="Q2171" s="62" t="n"/>
      <c r="R2171" s="61" t="n"/>
    </row>
    <row r="2172" ht="15.75" customHeight="1" s="38">
      <c r="A2172" s="66" t="inlineStr">
        <is>
          <t>Woodtech S.A.</t>
        </is>
      </c>
      <c r="B2172" s="66" t="inlineStr">
        <is>
          <t>Sistemas Automáticos para Control de Vehículos Entrantes y Salientes, Sistemas Automáticos para Medición de Volumen de Material a Granel en Camiones</t>
        </is>
      </c>
      <c r="C2172" s="66" t="inlineStr">
        <is>
          <t>Santiago</t>
        </is>
      </c>
      <c r="D2172" s="66" t="inlineStr">
        <is>
          <t>contact@woodtechms.com</t>
        </is>
      </c>
      <c r="E2172" s="66" t="inlineStr">
        <is>
          <t>(56) 2 2364 6800</t>
        </is>
      </c>
      <c r="F2172" s="66" t="n"/>
      <c r="G2172" s="66" t="n"/>
      <c r="H2172" s="66" t="n"/>
      <c r="I2172" s="66" t="inlineStr">
        <is>
          <t>76.724.000-7</t>
        </is>
      </c>
      <c r="J2172" s="66" t="n"/>
      <c r="K2172" s="66" t="inlineStr">
        <is>
          <t>Ventas: GRANDE 2 (200.000 - 600.000 UF) | Empleados: 52</t>
        </is>
      </c>
      <c r="L2172" s="61" t="n"/>
      <c r="M2172" s="61" t="n"/>
      <c r="N2172" s="61" t="n"/>
      <c r="O2172" s="61" t="n"/>
      <c r="P2172" s="61" t="n"/>
      <c r="Q2172" s="62" t="n"/>
      <c r="R2172" s="61" t="n"/>
    </row>
    <row r="2173" ht="15.75" customHeight="1" s="38">
      <c r="A2173" s="66" t="inlineStr">
        <is>
          <t>Work Mining SpA</t>
        </is>
      </c>
      <c r="B2173" s="66" t="inlineStr">
        <is>
          <t>Chutes de Traspaso, Enfriador de Lubricantes</t>
        </is>
      </c>
      <c r="C2173" s="66" t="inlineStr">
        <is>
          <t>Antofagasta</t>
        </is>
      </c>
      <c r="D2173" s="66" t="inlineStr">
        <is>
          <t>contacto@workmining.cl</t>
        </is>
      </c>
      <c r="E2173" s="66" t="inlineStr">
        <is>
          <t>(56) 9 4498 3898</t>
        </is>
      </c>
      <c r="F2173" s="66" t="n"/>
      <c r="G2173" s="66" t="n"/>
      <c r="H2173" s="66" t="n"/>
      <c r="I2173" s="66" t="inlineStr">
        <is>
          <t>76721899-0</t>
        </is>
      </c>
      <c r="J2173" s="66" t="n"/>
      <c r="K2173" s="66" t="inlineStr">
        <is>
          <t>Ventas: PEQUEÑA 2 (5.000 - 10.000 UF) | Empleados: 2</t>
        </is>
      </c>
      <c r="L2173" s="61" t="n"/>
      <c r="M2173" s="61" t="n"/>
      <c r="N2173" s="61" t="n"/>
      <c r="O2173" s="61" t="n"/>
      <c r="P2173" s="61" t="n"/>
      <c r="Q2173" s="62" t="n"/>
      <c r="R2173" s="61" t="n"/>
    </row>
    <row r="2174" ht="15.75" customHeight="1" s="38">
      <c r="A2174" s="59" t="inlineStr">
        <is>
          <t>WorkMate</t>
        </is>
      </c>
      <c r="B2174" s="59" t="inlineStr">
        <is>
          <t>Selección de Personal</t>
        </is>
      </c>
      <c r="C2174" s="59" t="inlineStr">
        <is>
          <t>Santiago</t>
        </is>
      </c>
      <c r="D2174" s="59" t="inlineStr">
        <is>
          <t>gerenciacomercial@workmate.cl</t>
        </is>
      </c>
      <c r="E2174" s="59" t="inlineStr">
        <is>
          <t>(56) 2 2862 9100</t>
        </is>
      </c>
      <c r="F2174" s="59" t="inlineStr">
        <is>
          <t>Claudio B. Collao Gómez (IT Manager)</t>
        </is>
      </c>
      <c r="G2174" s="59" t="inlineStr">
        <is>
          <t>ccollao@workmate.cl</t>
        </is>
      </c>
      <c r="H2174" s="59" t="n"/>
      <c r="I2174" s="59" t="inlineStr">
        <is>
          <t>77815160-K</t>
        </is>
      </c>
      <c r="J2174" s="59" t="inlineStr">
        <is>
          <t>Gestión Workforce Mobile</t>
        </is>
      </c>
      <c r="K2174" s="59" t="inlineStr">
        <is>
          <t>Ventas: GRANDE 3 (600.000 - 1.000.000 UF) | Empleados: 864</t>
        </is>
      </c>
      <c r="L2174" s="61" t="n"/>
      <c r="M2174" s="61" t="n"/>
      <c r="N2174" s="61" t="n"/>
      <c r="O2174" s="61" t="n"/>
      <c r="P2174" s="61" t="n"/>
      <c r="Q2174" s="62" t="n"/>
      <c r="R2174" s="61" t="n"/>
    </row>
    <row r="2175" ht="15.75" customHeight="1" s="38">
      <c r="A2175" s="66" t="inlineStr">
        <is>
          <t>World Courier de Chile Ltda.</t>
        </is>
      </c>
      <c r="B2175" s="66" t="inlineStr">
        <is>
          <t>Couriers</t>
        </is>
      </c>
      <c r="C2175" s="66" t="inlineStr">
        <is>
          <t>Santiago</t>
        </is>
      </c>
      <c r="D2175" s="66" t="inlineStr">
        <is>
          <t>chile.imp@worldcourier.cl</t>
        </is>
      </c>
      <c r="E2175" s="66" t="inlineStr">
        <is>
          <t>(56) 2 2210 6000</t>
        </is>
      </c>
      <c r="F2175" s="66" t="n"/>
      <c r="G2175" s="66" t="n"/>
      <c r="H2175" s="66" t="n"/>
      <c r="I2175" s="66" t="inlineStr">
        <is>
          <t>86.743.300-7</t>
        </is>
      </c>
      <c r="J2175" s="66" t="n"/>
      <c r="K2175" s="66" t="inlineStr">
        <is>
          <t>Ventas: GRANDE 2 (200.000 - 600.000 UF) | Empleados: 40</t>
        </is>
      </c>
      <c r="L2175" s="61" t="n"/>
      <c r="M2175" s="61" t="n"/>
      <c r="N2175" s="61" t="n"/>
      <c r="O2175" s="61" t="n"/>
      <c r="P2175" s="61" t="n"/>
      <c r="Q2175" s="62" t="n"/>
      <c r="R2175" s="61" t="n"/>
    </row>
    <row r="2176" ht="15.75" customHeight="1" s="38">
      <c r="A2176" s="59" t="inlineStr">
        <is>
          <t>Worley</t>
        </is>
      </c>
      <c r="B2176" s="59" t="inlineStr">
        <is>
          <t>Consultoría y Asesoramiento en Proyectos, Contratos EPC-EPCM</t>
        </is>
      </c>
      <c r="C2176" s="59" t="inlineStr">
        <is>
          <t>Santiago</t>
        </is>
      </c>
      <c r="D2176" s="59" t="n"/>
      <c r="E2176" s="59" t="inlineStr">
        <is>
          <t>(56) 2 2336 3500</t>
        </is>
      </c>
      <c r="F2176" s="59" t="inlineStr">
        <is>
          <t>Jorge Ellena Godoy (Digital Manager)</t>
        </is>
      </c>
      <c r="G2176" s="59" t="inlineStr">
        <is>
          <t>jorge.ellena@worley.com</t>
        </is>
      </c>
      <c r="H2176" s="59" t="n"/>
      <c r="I2176" s="59" t="inlineStr">
        <is>
          <t>96.539.000-6</t>
        </is>
      </c>
      <c r="J2176" s="59" t="inlineStr">
        <is>
          <t>Gemelo Digital Faenas</t>
        </is>
      </c>
      <c r="K2176" s="59" t="inlineStr">
        <is>
          <t>Ventas: GRANDE 3 (600.000 - 1.000.000 UF) | Empleados: 143</t>
        </is>
      </c>
      <c r="L2176" s="61" t="n"/>
      <c r="M2176" s="61" t="n"/>
      <c r="N2176" s="61" t="n"/>
      <c r="O2176" s="61" t="n"/>
      <c r="P2176" s="61" t="n"/>
      <c r="Q2176" s="62" t="n"/>
      <c r="R2176" s="61" t="n"/>
    </row>
    <row r="2177" ht="15.75" customHeight="1" s="38">
      <c r="A2177" s="66" t="inlineStr">
        <is>
          <t>WPD</t>
        </is>
      </c>
      <c r="B2177" s="66" t="inlineStr">
        <is>
          <t>Proyectos Eólicos</t>
        </is>
      </c>
      <c r="C2177" s="66" t="inlineStr">
        <is>
          <t>Santiago</t>
        </is>
      </c>
      <c r="D2177" s="66" t="inlineStr">
        <is>
          <t>Info@wpd.cl</t>
        </is>
      </c>
      <c r="E2177" s="66" t="inlineStr">
        <is>
          <t>(56) 2 2752 0570</t>
        </is>
      </c>
      <c r="F2177" s="66" t="n"/>
      <c r="G2177" s="66" t="n"/>
      <c r="H2177" s="66" t="n"/>
      <c r="I2177" s="66" t="inlineStr">
        <is>
          <t>76048354-0</t>
        </is>
      </c>
      <c r="J2177" s="66" t="n"/>
      <c r="K2177" s="66" t="inlineStr">
        <is>
          <t>Ventas: GRANDE 1 (100.000 - 200.000 UF) | Empleados: 36</t>
        </is>
      </c>
      <c r="L2177" s="61" t="n"/>
      <c r="M2177" s="61" t="n"/>
      <c r="N2177" s="61" t="n"/>
      <c r="O2177" s="61" t="n"/>
      <c r="P2177" s="61" t="n"/>
      <c r="Q2177" s="62" t="n"/>
      <c r="R2177" s="61" t="n"/>
    </row>
    <row r="2178" ht="15.75" customHeight="1" s="38">
      <c r="A2178" s="59" t="inlineStr">
        <is>
          <t>WSP Chile</t>
        </is>
      </c>
      <c r="B2178" s="59" t="inlineStr">
        <is>
          <t>Servicios de Inspección Técnica</t>
        </is>
      </c>
      <c r="C2178" s="59" t="inlineStr">
        <is>
          <t>Santiago</t>
        </is>
      </c>
      <c r="D2178" s="59" t="n"/>
      <c r="E2178" s="59" t="inlineStr">
        <is>
          <t>(56) 2 2653 8000</t>
        </is>
      </c>
      <c r="F2178" s="59" t="inlineStr">
        <is>
          <t>Marcos Alarcón (Director TI)</t>
        </is>
      </c>
      <c r="G2178" s="59" t="inlineStr">
        <is>
          <t>marcos.alarcon@wsp.com</t>
        </is>
      </c>
      <c r="H2178" s="59" t="n"/>
      <c r="I2178" s="59" t="inlineStr">
        <is>
          <t>79.906.490-1</t>
        </is>
      </c>
      <c r="J2178" s="59" t="inlineStr">
        <is>
          <t>Gemelos Digitales (Digital Twins) &amp; Sustentabilidad Land iQ</t>
        </is>
      </c>
      <c r="K2178" s="59" t="inlineStr">
        <is>
          <t>Ventas: GRANDE 4 (Mas de 1.000.000 UF) | Empleados: 533</t>
        </is>
      </c>
      <c r="L2178" s="61" t="n"/>
      <c r="M2178" s="61" t="n"/>
      <c r="N2178" s="61" t="n"/>
      <c r="O2178" s="61" t="n"/>
      <c r="P2178" s="61" t="n"/>
      <c r="Q2178" s="62" t="n"/>
      <c r="R2178" s="61" t="n"/>
    </row>
    <row r="2179" ht="15.75" customHeight="1" s="38">
      <c r="A2179" s="66" t="inlineStr">
        <is>
          <t>WVG, Soluciones para la Gran Minería</t>
        </is>
      </c>
      <c r="B2179" s="66" t="inlineStr">
        <is>
          <t>Cambio de Revestimientos para Molinos</t>
        </is>
      </c>
      <c r="C2179" s="66" t="inlineStr">
        <is>
          <t>Santiago</t>
        </is>
      </c>
      <c r="D2179" s="66" t="inlineStr">
        <is>
          <t>contacto@wvg.cl</t>
        </is>
      </c>
      <c r="E2179" s="66" t="inlineStr">
        <is>
          <t>(56) 2 2556 7208</t>
        </is>
      </c>
      <c r="F2179" s="66" t="n"/>
      <c r="G2179" s="66" t="n"/>
      <c r="H2179" s="66" t="n"/>
      <c r="I2179" s="66" t="inlineStr">
        <is>
          <t>5.100.326-8</t>
        </is>
      </c>
      <c r="J2179" s="66" t="n"/>
      <c r="K2179" s="66" t="inlineStr">
        <is>
          <t>Ventas: No en base SII | Empleados: S/I</t>
        </is>
      </c>
      <c r="L2179" s="61" t="n"/>
      <c r="M2179" s="61" t="n"/>
      <c r="N2179" s="61" t="n"/>
      <c r="O2179" s="61" t="n"/>
      <c r="P2179" s="61" t="n"/>
      <c r="Q2179" s="62" t="n"/>
      <c r="R2179" s="61" t="n"/>
    </row>
    <row r="2180" ht="15.75" customHeight="1" s="38">
      <c r="A2180" s="66" t="inlineStr">
        <is>
          <t>X-Elio Chile</t>
        </is>
      </c>
      <c r="B2180" s="66" t="inlineStr">
        <is>
          <t>Desarrollo de Plantas Fotovoltaicas</t>
        </is>
      </c>
      <c r="C2180" s="66" t="inlineStr">
        <is>
          <t>Santiago</t>
        </is>
      </c>
      <c r="D2180" s="66" t="n"/>
      <c r="E2180" s="66" t="inlineStr">
        <is>
          <t>(56) 2 2434 4260</t>
        </is>
      </c>
      <c r="F2180" s="66" t="n"/>
      <c r="G2180" s="66" t="n"/>
      <c r="H2180" s="66" t="n"/>
      <c r="I2180" s="66" t="inlineStr">
        <is>
          <t>76171935-1</t>
        </is>
      </c>
      <c r="J2180" s="66" t="n"/>
      <c r="K2180" s="66" t="inlineStr">
        <is>
          <t>Ventas: MEDIANA 2 (50.000 - 100.000 UF) | Empleados: 0</t>
        </is>
      </c>
      <c r="L2180" s="61" t="n"/>
      <c r="M2180" s="61" t="n"/>
      <c r="N2180" s="61" t="n"/>
      <c r="O2180" s="61" t="n"/>
      <c r="P2180" s="61" t="n"/>
      <c r="Q2180" s="62" t="n"/>
      <c r="R2180" s="61" t="n"/>
    </row>
    <row r="2181" ht="15.75" customHeight="1" s="38">
      <c r="A2181" s="66" t="inlineStr">
        <is>
          <t>XCJC</t>
        </is>
      </c>
      <c r="B2181" s="66" t="inlineStr">
        <is>
          <t>Camiones Mineros, Cargadores Frontales</t>
        </is>
      </c>
      <c r="C2181" s="66" t="inlineStr">
        <is>
          <t>Santiago</t>
        </is>
      </c>
      <c r="D2181" s="66" t="inlineStr">
        <is>
          <t>jrojas@xcjc.cl</t>
        </is>
      </c>
      <c r="E2181" s="66" t="inlineStr">
        <is>
          <t>(56) 2 2244 1163</t>
        </is>
      </c>
      <c r="F2181" s="66" t="n"/>
      <c r="G2181" s="66" t="n"/>
      <c r="H2181" s="66" t="n"/>
      <c r="I2181" s="66" t="inlineStr">
        <is>
          <t>77.110.153-4</t>
        </is>
      </c>
      <c r="J2181" s="66" t="n"/>
      <c r="K2181" s="66" t="inlineStr">
        <is>
          <t>Ventas: MEDIANA 2 (50.000 - 100.000 UF) | Empleados: 3</t>
        </is>
      </c>
      <c r="L2181" s="61" t="n"/>
      <c r="M2181" s="61" t="n"/>
      <c r="N2181" s="61" t="n"/>
      <c r="O2181" s="61" t="n"/>
      <c r="P2181" s="61" t="n"/>
      <c r="Q2181" s="62" t="n"/>
      <c r="R2181" s="61" t="n"/>
    </row>
    <row r="2182" ht="15.75" customHeight="1" s="38">
      <c r="A2182" s="66" t="inlineStr">
        <is>
          <t>XCMG S.A.</t>
        </is>
      </c>
      <c r="B2182" s="66" t="inlineStr">
        <is>
          <t>Bulldozers, Cargadores Frontales</t>
        </is>
      </c>
      <c r="C2182" s="66" t="inlineStr">
        <is>
          <t>Santiago</t>
        </is>
      </c>
      <c r="D2182" s="66" t="inlineStr">
        <is>
          <t>ventas@xcmg.cl</t>
        </is>
      </c>
      <c r="E2182" s="66" t="inlineStr">
        <is>
          <t>(56) 2 2739 1323</t>
        </is>
      </c>
      <c r="F2182" s="66" t="inlineStr">
        <is>
          <t>Gerente de TI / CIO (Director de Tecnología)</t>
        </is>
      </c>
      <c r="G2182" s="66" t="n"/>
      <c r="H2182" s="66" t="n"/>
      <c r="I2182" s="66" t="inlineStr">
        <is>
          <t>76.321.092-8</t>
        </is>
      </c>
      <c r="J2182" s="66" t="n"/>
      <c r="K2182" s="66" t="inlineStr">
        <is>
          <t>Ventas: GRANDE 4 (Mas de 1.000.000 UF) | Empleados: 103</t>
        </is>
      </c>
      <c r="L2182" s="61" t="n"/>
      <c r="M2182" s="61" t="n"/>
      <c r="N2182" s="61" t="n"/>
      <c r="O2182" s="61" t="n"/>
      <c r="P2182" s="61" t="n"/>
      <c r="Q2182" s="62" t="n"/>
      <c r="R2182" s="61" t="n"/>
    </row>
    <row r="2183" ht="15.75" customHeight="1" s="38">
      <c r="A2183" s="66" t="inlineStr">
        <is>
          <t>Xerox de Chile</t>
        </is>
      </c>
      <c r="B2183" s="66" t="inlineStr">
        <is>
          <t>Tecnologías de Información (TI)</t>
        </is>
      </c>
      <c r="C2183" s="66" t="inlineStr">
        <is>
          <t>Santiago</t>
        </is>
      </c>
      <c r="D2183" s="66" t="n"/>
      <c r="E2183" s="66" t="inlineStr">
        <is>
          <t>800 200 600</t>
        </is>
      </c>
      <c r="F2183" s="66" t="n"/>
      <c r="G2183" s="66" t="n"/>
      <c r="H2183" s="66" t="n"/>
      <c r="I2183" s="66" t="inlineStr">
        <is>
          <t>93.360.000-9</t>
        </is>
      </c>
      <c r="J2183" s="66" t="n"/>
      <c r="K2183" s="66" t="inlineStr">
        <is>
          <t>Ventas: GRANDE 3 (600.000 - 1.000.000 UF) | Empleados: 135</t>
        </is>
      </c>
      <c r="L2183" s="61" t="n"/>
      <c r="M2183" s="61" t="n"/>
      <c r="N2183" s="61" t="n"/>
      <c r="O2183" s="61" t="n"/>
      <c r="P2183" s="61" t="n"/>
      <c r="Q2183" s="62" t="n"/>
      <c r="R2183" s="61" t="n"/>
    </row>
    <row r="2184" ht="15.75" customHeight="1" s="38">
      <c r="A2184" s="59" t="inlineStr">
        <is>
          <t>Xinerlink</t>
        </is>
      </c>
      <c r="B2184" s="59" t="inlineStr">
        <is>
          <t>Selección y Reclutamiento de Ejecutivos y Personal, Servicios Transitorios</t>
        </is>
      </c>
      <c r="C2184" s="59" t="inlineStr">
        <is>
          <t>Santiago</t>
        </is>
      </c>
      <c r="D2184" s="59" t="n"/>
      <c r="E2184" s="59" t="inlineStr">
        <is>
          <t>600 588 6000</t>
        </is>
      </c>
      <c r="F2184" s="59" t="inlineStr">
        <is>
          <t>Ricardo Villarreal Bruno (Gerente TI)</t>
        </is>
      </c>
      <c r="G2184" s="59" t="inlineStr">
        <is>
          <t>rvillarreal@xinerlink.cl</t>
        </is>
      </c>
      <c r="H2184" s="59" t="n"/>
      <c r="I2184" s="59" t="inlineStr">
        <is>
          <t>96.729.120-K</t>
        </is>
      </c>
      <c r="J2184" s="59" t="inlineStr">
        <is>
          <t>Automatización Payroll (BPO) &amp; Selección Talento Digital</t>
        </is>
      </c>
      <c r="K2184" s="59" t="inlineStr">
        <is>
          <t>Ventas: GRANDE 3 (600.000 - 1.000.000 UF) | Empleados: 277</t>
        </is>
      </c>
      <c r="L2184" s="61" t="n"/>
      <c r="M2184" s="61" t="n"/>
      <c r="N2184" s="61" t="n"/>
      <c r="O2184" s="61" t="n"/>
      <c r="P2184" s="61" t="n"/>
      <c r="Q2184" s="62" t="n"/>
      <c r="R2184" s="61" t="n"/>
    </row>
    <row r="2185" ht="15.75" customHeight="1" s="38">
      <c r="A2185" s="66" t="inlineStr">
        <is>
          <t>Xtreme Mining</t>
        </is>
      </c>
      <c r="B2185" s="66" t="inlineStr">
        <is>
          <t>Plantas de Hormigón, Shotcrete</t>
        </is>
      </c>
      <c r="C2185" s="66" t="inlineStr">
        <is>
          <t>Santiago</t>
        </is>
      </c>
      <c r="D2185" s="66" t="inlineStr">
        <is>
          <t>contacto@xtrememining.cl</t>
        </is>
      </c>
      <c r="E2185" s="66" t="inlineStr">
        <is>
          <t>(56) 2 2580 4372</t>
        </is>
      </c>
      <c r="F2185" s="66" t="n"/>
      <c r="G2185" s="66" t="n"/>
      <c r="H2185" s="66" t="n"/>
      <c r="I2185" s="66" t="inlineStr">
        <is>
          <t>96953700-1</t>
        </is>
      </c>
      <c r="J2185" s="66" t="n"/>
      <c r="K2185" s="66" t="inlineStr">
        <is>
          <t>Ventas: GRANDE (Estimado por Empleados) | Empleados: 870</t>
        </is>
      </c>
      <c r="L2185" s="61" t="n"/>
      <c r="M2185" s="61" t="n"/>
      <c r="N2185" s="61" t="n"/>
      <c r="O2185" s="61" t="n"/>
      <c r="P2185" s="61" t="n"/>
      <c r="Q2185" s="62" t="n"/>
      <c r="R2185" s="61" t="n"/>
    </row>
    <row r="2186" ht="15.75" customHeight="1" s="38">
      <c r="A2186" s="66" t="inlineStr">
        <is>
          <t>Xylem Water Solutions</t>
        </is>
      </c>
      <c r="B2186" s="66" t="inlineStr">
        <is>
          <t>Bombas, Bombas Hidráulicas Sumergibles</t>
        </is>
      </c>
      <c r="C2186" s="66" t="inlineStr">
        <is>
          <t>Santiago</t>
        </is>
      </c>
      <c r="D2186" s="66" t="n"/>
      <c r="E2186" s="66" t="inlineStr">
        <is>
          <t>(56) 2 2562 8600</t>
        </is>
      </c>
      <c r="F2186" s="66" t="n"/>
      <c r="G2186" s="66" t="n"/>
      <c r="H2186" s="66" t="n"/>
      <c r="I2186" s="66" t="inlineStr">
        <is>
          <t>79.961.910-5</t>
        </is>
      </c>
      <c r="J2186" s="66" t="n"/>
      <c r="K2186" s="66" t="inlineStr">
        <is>
          <t>Ventas: MEDIANA (Estimado por Empleados) | Empleados: 143</t>
        </is>
      </c>
      <c r="L2186" s="61" t="n"/>
      <c r="M2186" s="61" t="n"/>
      <c r="N2186" s="61" t="n"/>
      <c r="O2186" s="61" t="n"/>
      <c r="P2186" s="61" t="n"/>
      <c r="Q2186" s="62" t="n"/>
      <c r="R2186" s="61" t="n"/>
    </row>
    <row r="2187" ht="15.75" customHeight="1" s="38">
      <c r="A2187" s="66" t="inlineStr">
        <is>
          <t>Yamana Chile</t>
        </is>
      </c>
      <c r="B2187" s="66" t="inlineStr">
        <is>
          <t>Plata</t>
        </is>
      </c>
      <c r="C2187" s="66" t="inlineStr">
        <is>
          <t>Santiago</t>
        </is>
      </c>
      <c r="D2187" s="66" t="inlineStr">
        <is>
          <t>gretty.infante@yamana.com</t>
        </is>
      </c>
      <c r="E2187" s="66" t="inlineStr">
        <is>
          <t>(56) 2 2428 2200</t>
        </is>
      </c>
      <c r="F2187" s="66" t="n"/>
      <c r="G2187" s="66" t="n"/>
      <c r="H2187" s="66" t="n"/>
      <c r="I2187" s="66" t="inlineStr">
        <is>
          <t>76.581.220-8</t>
        </is>
      </c>
      <c r="J2187" s="66" t="n"/>
      <c r="K2187" s="66" t="inlineStr">
        <is>
          <t>Ventas: GRANDE 2 (200.000 - 600.000 UF) | Empleados: 23</t>
        </is>
      </c>
      <c r="L2187" s="61" t="n"/>
      <c r="M2187" s="61" t="n"/>
      <c r="N2187" s="61" t="n"/>
      <c r="O2187" s="61" t="n"/>
      <c r="P2187" s="61" t="n"/>
      <c r="Q2187" s="62" t="n"/>
      <c r="R2187" s="61" t="n"/>
    </row>
    <row r="2188" ht="15.75" customHeight="1" s="38">
      <c r="A2188" s="66" t="inlineStr">
        <is>
          <t>Yanguas</t>
        </is>
      </c>
      <c r="B2188" s="66" t="inlineStr">
        <is>
          <t>Buses Eléctricos, Transporte de Personal</t>
        </is>
      </c>
      <c r="C2188" s="66" t="inlineStr">
        <is>
          <t>Santiago</t>
        </is>
      </c>
      <c r="D2188" s="66" t="inlineStr">
        <is>
          <t>operaciones@yanguas.cl</t>
        </is>
      </c>
      <c r="E2188" s="66" t="inlineStr">
        <is>
          <t>(56) 9 9089 0369</t>
        </is>
      </c>
      <c r="F2188" s="66" t="inlineStr">
        <is>
          <t>Gerente de TI / CIO (Director de Tecnología)</t>
        </is>
      </c>
      <c r="G2188" s="66" t="n"/>
      <c r="H2188" s="66" t="n"/>
      <c r="I2188" s="66" t="inlineStr">
        <is>
          <t>77.124.610-9</t>
        </is>
      </c>
      <c r="J2188" s="66" t="n"/>
      <c r="K2188" s="66" t="inlineStr">
        <is>
          <t>Ventas: GRANDE 4 (Mas de 1.000.000 UF) | Empleados: 549</t>
        </is>
      </c>
      <c r="L2188" s="61" t="n"/>
      <c r="M2188" s="61" t="n"/>
      <c r="N2188" s="61" t="n"/>
      <c r="O2188" s="61" t="n"/>
      <c r="P2188" s="61" t="n"/>
      <c r="Q2188" s="62" t="n"/>
      <c r="R2188" s="61" t="n"/>
    </row>
    <row r="2189" ht="15.75" customHeight="1" s="38">
      <c r="A2189" s="66" t="inlineStr">
        <is>
          <t>YPF</t>
        </is>
      </c>
      <c r="B2189" s="66" t="inlineStr">
        <is>
          <t>Aceites Hidráulicos</t>
        </is>
      </c>
      <c r="C2189" s="66" t="inlineStr">
        <is>
          <t>Santiago</t>
        </is>
      </c>
      <c r="D2189" s="66" t="inlineStr">
        <is>
          <t>ventaschile@ypf.com</t>
        </is>
      </c>
      <c r="E2189" s="66" t="inlineStr">
        <is>
          <t>(56) 2 2739 0524</t>
        </is>
      </c>
      <c r="F2189" s="66" t="n"/>
      <c r="G2189" s="66" t="n"/>
      <c r="H2189" s="66" t="n"/>
      <c r="I2189" s="66" t="inlineStr">
        <is>
          <t>76.162.492-K</t>
        </is>
      </c>
      <c r="J2189" s="66" t="n"/>
      <c r="K2189" s="66" t="inlineStr">
        <is>
          <t>Ventas: MEDIANA (Estimado por Empleados) | Empleados: 70</t>
        </is>
      </c>
      <c r="L2189" s="61" t="n"/>
      <c r="M2189" s="61" t="n"/>
      <c r="N2189" s="61" t="n"/>
      <c r="O2189" s="61" t="n"/>
      <c r="P2189" s="61" t="n"/>
      <c r="Q2189" s="62" t="n"/>
      <c r="R2189" s="61" t="n"/>
    </row>
    <row r="2190" ht="15.75" customHeight="1" s="38">
      <c r="A2190" s="66" t="inlineStr">
        <is>
          <t>Yura Chile</t>
        </is>
      </c>
      <c r="B2190" s="66" t="inlineStr">
        <is>
          <t>Cal, Cemento, Concreto</t>
        </is>
      </c>
      <c r="C2190" s="66" t="inlineStr">
        <is>
          <t>Iquique</t>
        </is>
      </c>
      <c r="D2190" s="66" t="inlineStr">
        <is>
          <t>contacto@yura.cl</t>
        </is>
      </c>
      <c r="E2190" s="66" t="inlineStr">
        <is>
          <t>(56) 9 6126 2277</t>
        </is>
      </c>
      <c r="F2190" s="66" t="inlineStr">
        <is>
          <t>Gerente de TI / CIO (Director de Tecnología)</t>
        </is>
      </c>
      <c r="G2190" s="66" t="n"/>
      <c r="H2190" s="66" t="n"/>
      <c r="I2190" s="66" t="inlineStr">
        <is>
          <t>76309712-9</t>
        </is>
      </c>
      <c r="J2190" s="66" t="n"/>
      <c r="K2190" s="66" t="inlineStr">
        <is>
          <t>Ventas: GRANDE 4 (Mas de 1.000.000 UF) | Empleados: 15</t>
        </is>
      </c>
      <c r="L2190" s="61" t="n"/>
      <c r="M2190" s="61" t="n"/>
      <c r="N2190" s="61" t="n"/>
      <c r="O2190" s="61" t="n"/>
      <c r="P2190" s="61" t="n"/>
      <c r="Q2190" s="62" t="n"/>
      <c r="R2190" s="61" t="n"/>
    </row>
    <row r="2191" ht="15.75" customHeight="1" s="38">
      <c r="A2191" s="66" t="inlineStr">
        <is>
          <t>ZaMine Service Chile SpA</t>
        </is>
      </c>
      <c r="B2191" s="66" t="inlineStr">
        <is>
          <t>Camiones Mineros</t>
        </is>
      </c>
      <c r="C2191" s="66" t="inlineStr">
        <is>
          <t>Santiago</t>
        </is>
      </c>
      <c r="D2191" s="66" t="n"/>
      <c r="E2191" s="66" t="inlineStr">
        <is>
          <t>(56) 2 3278 8100</t>
        </is>
      </c>
      <c r="F2191" s="66" t="n"/>
      <c r="G2191" s="66" t="n"/>
      <c r="H2191" s="66" t="n"/>
      <c r="I2191" s="66" t="inlineStr">
        <is>
          <t>76.377.755-3</t>
        </is>
      </c>
      <c r="J2191" s="66" t="n"/>
      <c r="K2191" s="66" t="inlineStr">
        <is>
          <t>Ventas: GRANDE 3 (600.000 - 1.000.000 UF) | Empleados: 85</t>
        </is>
      </c>
      <c r="L2191" s="61" t="n"/>
      <c r="M2191" s="61" t="n"/>
      <c r="N2191" s="61" t="n"/>
      <c r="O2191" s="61" t="n"/>
      <c r="P2191" s="61" t="n"/>
      <c r="Q2191" s="62" t="n"/>
      <c r="R2191" s="61" t="n"/>
    </row>
    <row r="2192" ht="15.75" customHeight="1" s="38">
      <c r="A2192" s="66" t="inlineStr">
        <is>
          <t>Zerega y Cía. Ltda.</t>
        </is>
      </c>
      <c r="B2192" s="66" t="inlineStr">
        <is>
          <t>Equipos para Limpieza Industrial</t>
        </is>
      </c>
      <c r="C2192" s="66" t="inlineStr">
        <is>
          <t>Santiago</t>
        </is>
      </c>
      <c r="D2192" s="66" t="inlineStr">
        <is>
          <t>info@zerega.cl</t>
        </is>
      </c>
      <c r="E2192" s="66" t="inlineStr">
        <is>
          <t>(56) 2 2557 8073</t>
        </is>
      </c>
      <c r="F2192" s="66" t="n"/>
      <c r="G2192" s="66" t="n"/>
      <c r="H2192" s="66" t="n"/>
      <c r="I2192" s="66" t="inlineStr">
        <is>
          <t>79.534.880-8</t>
        </is>
      </c>
      <c r="J2192" s="66" t="n"/>
      <c r="K2192" s="66" t="inlineStr">
        <is>
          <t>Ventas: MEDIANA 2 (50.000 - 100.000 UF) | Empleados: 29</t>
        </is>
      </c>
      <c r="L2192" s="61" t="n"/>
      <c r="M2192" s="61" t="n"/>
      <c r="N2192" s="61" t="n"/>
      <c r="O2192" s="61" t="n"/>
      <c r="P2192" s="61" t="n"/>
      <c r="Q2192" s="62" t="n"/>
      <c r="R2192" s="61" t="n"/>
    </row>
    <row r="2193" ht="15.75" customHeight="1" s="38">
      <c r="A2193" s="66" t="inlineStr">
        <is>
          <t>Ziebtec Ltda.</t>
        </is>
      </c>
      <c r="B2193" s="66" t="inlineStr">
        <is>
          <t>Ventiladores Axiales</t>
        </is>
      </c>
      <c r="C2193" s="66" t="inlineStr">
        <is>
          <t>Santiago</t>
        </is>
      </c>
      <c r="D2193" s="66" t="inlineStr">
        <is>
          <t>ventas@ziebtec.cl</t>
        </is>
      </c>
      <c r="E2193" s="66" t="inlineStr">
        <is>
          <t>(56) 2 2915 6300</t>
        </is>
      </c>
      <c r="F2193" s="66" t="n"/>
      <c r="G2193" s="66" t="n"/>
      <c r="H2193" s="66" t="n"/>
      <c r="I2193" s="66" t="inlineStr">
        <is>
          <t>77.571.810-2</t>
        </is>
      </c>
      <c r="J2193" s="66" t="n"/>
      <c r="K2193" s="66" t="inlineStr">
        <is>
          <t>Ventas: MEDIANA 2 (50.000 - 100.000 UF) | Empleados: 9</t>
        </is>
      </c>
      <c r="L2193" s="61" t="n"/>
      <c r="M2193" s="61" t="n"/>
      <c r="N2193" s="61" t="n"/>
      <c r="O2193" s="61" t="n"/>
      <c r="P2193" s="61" t="n"/>
      <c r="Q2193" s="62" t="n"/>
      <c r="R2193" s="61" t="n"/>
    </row>
    <row r="2194" ht="15.75" customHeight="1" s="38">
      <c r="A2194" s="66" t="inlineStr">
        <is>
          <t>Zigma</t>
        </is>
      </c>
      <c r="B2194" s="66" t="inlineStr">
        <is>
          <t>Plantas de Tratamiento de Aguas, Proyectos de Energía Solar, Proyectos Térmicos Inmobiliarios, Revestimientos de Metales, Secado Solar, Sistemas para Detección de Incendios, Tubos de PVC y CPVC, Válvulas de PVC y CPVC</t>
        </is>
      </c>
      <c r="C2194" s="66" t="inlineStr">
        <is>
          <t>Santiago</t>
        </is>
      </c>
      <c r="D2194" s="66" t="inlineStr">
        <is>
          <t>info@zigma.cl</t>
        </is>
      </c>
      <c r="E2194" s="66" t="inlineStr">
        <is>
          <t>(56) 2 2227 9927</t>
        </is>
      </c>
      <c r="F2194" s="66" t="n"/>
      <c r="G2194" s="66" t="n"/>
      <c r="H2194" s="66" t="inlineStr">
        <is>
          <t>http://www.zigma.cl</t>
        </is>
      </c>
      <c r="I2194" s="66" t="inlineStr">
        <is>
          <t>76.532.540-4</t>
        </is>
      </c>
      <c r="J2194" s="66" t="n"/>
      <c r="K2194" s="66" t="inlineStr">
        <is>
          <t>Ventas: GRANDE 1 (100.000 - 200.000 UF) | Empleados: 16</t>
        </is>
      </c>
      <c r="L2194" s="61" t="n"/>
      <c r="M2194" s="61" t="n"/>
      <c r="N2194" s="61" t="n"/>
      <c r="O2194" s="61" t="n"/>
      <c r="P2194" s="61" t="n"/>
      <c r="Q2194" s="62" t="n"/>
      <c r="R2194" s="61" t="n"/>
    </row>
    <row r="2195" ht="15.75" customHeight="1" s="38">
      <c r="A2195" s="59" t="inlineStr">
        <is>
          <t>Zitrón Chile SpA</t>
        </is>
      </c>
      <c r="B2195" s="59" t="inlineStr">
        <is>
          <t>Sistemas para Ventilación</t>
        </is>
      </c>
      <c r="C2195" s="59" t="inlineStr">
        <is>
          <t>Santiago</t>
        </is>
      </c>
      <c r="D2195" s="59" t="inlineStr">
        <is>
          <t>zitronchile@zitron.com</t>
        </is>
      </c>
      <c r="E2195" s="59" t="inlineStr">
        <is>
          <t>(56) 2 2949 3500</t>
        </is>
      </c>
      <c r="F2195" s="59" t="inlineStr">
        <is>
          <t>Nelson Cea Iraira (Subgerente TI)</t>
        </is>
      </c>
      <c r="G2195" s="59" t="inlineStr">
        <is>
          <t>ncea@zitron.com</t>
        </is>
      </c>
      <c r="H2195" s="59" t="n"/>
      <c r="I2195" s="59" t="inlineStr">
        <is>
          <t>76.900.150-6</t>
        </is>
      </c>
      <c r="J2195" s="59" t="inlineStr">
        <is>
          <t>Sistemas Inteligentes de Gestión de Ventilación (Smart Mining)</t>
        </is>
      </c>
      <c r="K2195" s="59" t="inlineStr">
        <is>
          <t>Ventas: GRANDE 3 (600.000 - 1.000.000 UF) | Empleados: 61</t>
        </is>
      </c>
      <c r="L2195" s="61" t="n"/>
      <c r="M2195" s="61" t="n"/>
      <c r="N2195" s="61" t="n"/>
      <c r="O2195" s="61" t="n"/>
      <c r="P2195" s="61" t="n"/>
      <c r="Q2195" s="62" t="n"/>
      <c r="R2195" s="61" t="n"/>
    </row>
    <row r="2196" ht="15.75" customHeight="1" s="38">
      <c r="A2196" s="66" t="inlineStr">
        <is>
          <t>ZKTeco Chile</t>
        </is>
      </c>
      <c r="B2196" s="66" t="inlineStr">
        <is>
          <t>Cámaras Inteligentes, Cerraduras Inteligentes, Control de Entradas de Vehículos, Control de Entradas Peatonales, Puntos de Venta (POS), Sistemas de Control de Accesos, Sistemas de Gestión de Estacionamiento, Terminales Biométricos de Reconocimiento Facial sin Contacto, Videovigilancia</t>
        </is>
      </c>
      <c r="C2196" s="66" t="inlineStr">
        <is>
          <t>Santiago</t>
        </is>
      </c>
      <c r="D2196" s="66" t="inlineStr">
        <is>
          <t>chile@zkteco.com</t>
        </is>
      </c>
      <c r="E2196" s="66" t="inlineStr">
        <is>
          <t>(56) 2 3226 3261</t>
        </is>
      </c>
      <c r="F2196" s="66" t="n"/>
      <c r="G2196" s="66" t="n"/>
      <c r="H2196" s="66" t="inlineStr">
        <is>
          <t>http://www.zkteco.cl</t>
        </is>
      </c>
      <c r="I2196" s="66" t="inlineStr">
        <is>
          <t>76.600.795-3</t>
        </is>
      </c>
      <c r="J2196" s="66" t="n"/>
      <c r="K2196" s="66" t="inlineStr">
        <is>
          <t>Ventas: MEDIANA 2 (50.000 - 100.000 UF) | Empleados: 16</t>
        </is>
      </c>
      <c r="L2196" s="61" t="n"/>
      <c r="M2196" s="61" t="n"/>
      <c r="N2196" s="61" t="n"/>
      <c r="O2196" s="61" t="n"/>
      <c r="P2196" s="61" t="n"/>
      <c r="Q2196" s="62" t="n"/>
      <c r="R2196" s="61" t="n"/>
    </row>
    <row r="2197" ht="15.75" customHeight="1" s="38">
      <c r="A2197" s="66" t="inlineStr">
        <is>
          <t>Zofri</t>
        </is>
      </c>
      <c r="B2197" s="66" t="inlineStr">
        <is>
          <t>Centro Logístico</t>
        </is>
      </c>
      <c r="C2197" s="66" t="inlineStr">
        <is>
          <t>Iquique</t>
        </is>
      </c>
      <c r="D2197" s="66" t="inlineStr">
        <is>
          <t>comunicaciones@zofri.cl</t>
        </is>
      </c>
      <c r="E2197" s="66" t="inlineStr">
        <is>
          <t>(56) 57 251 5212</t>
        </is>
      </c>
      <c r="F2197" s="66" t="n"/>
      <c r="G2197" s="66" t="n"/>
      <c r="H2197" s="66" t="n"/>
      <c r="I2197" s="66" t="inlineStr">
        <is>
          <t>70.285.500-4</t>
        </is>
      </c>
      <c r="J2197" s="66" t="n"/>
      <c r="K2197" s="66" t="inlineStr">
        <is>
          <t>Ventas: GRANDE (Estimado por Empleados) | Empleados: 357</t>
        </is>
      </c>
      <c r="L2197" s="61" t="n"/>
      <c r="M2197" s="61" t="n"/>
      <c r="N2197" s="61" t="n"/>
      <c r="O2197" s="61" t="n"/>
      <c r="P2197" s="61" t="n"/>
      <c r="Q2197" s="62" t="n"/>
      <c r="R2197" s="61" t="n"/>
    </row>
    <row r="2198" ht="15.75" customHeight="1" s="38">
      <c r="A2198" s="66" t="inlineStr">
        <is>
          <t>Zurich-Chile/DeZURIK</t>
        </is>
      </c>
      <c r="B2198" s="66" t="inlineStr">
        <is>
          <t>Actuadores y Accesorios, Automatización de Válvulas, Control de Fluidos, Programas de Stock y Entregas, Servicios 24/7, Válvulas de Control</t>
        </is>
      </c>
      <c r="C2198" s="66" t="inlineStr">
        <is>
          <t>Santiago</t>
        </is>
      </c>
      <c r="D2198" s="66" t="inlineStr">
        <is>
          <t>info@zurich-chile.cl</t>
        </is>
      </c>
      <c r="E2198" s="66" t="inlineStr">
        <is>
          <t>(56) 2 2951 9750</t>
        </is>
      </c>
      <c r="F2198" s="66" t="n"/>
      <c r="G2198" s="66" t="n"/>
      <c r="H2198" s="66" t="inlineStr">
        <is>
          <t>http://www.zurich-chile.cl</t>
        </is>
      </c>
      <c r="I2198" s="66" t="inlineStr">
        <is>
          <t>99.528.620-3</t>
        </is>
      </c>
      <c r="J2198" s="66" t="n"/>
      <c r="K2198" s="66" t="inlineStr">
        <is>
          <t>Ventas: GRANDE 2 (200.000 - 600.000 UF) | Empleados: 21</t>
        </is>
      </c>
      <c r="L2198" s="61" t="n"/>
      <c r="M2198" s="61" t="n"/>
      <c r="N2198" s="61" t="n"/>
      <c r="O2198" s="61" t="n"/>
      <c r="P2198" s="61" t="n"/>
      <c r="Q2198" s="62" t="n"/>
      <c r="R2198" s="61" t="n"/>
    </row>
    <row r="2199" ht="15.75" customHeight="1" s="38">
      <c r="A2199" s="66" t="inlineStr">
        <is>
          <t>Zyght</t>
        </is>
      </c>
      <c r="B2199" s="66" t="inlineStr">
        <is>
          <t>Aplicaciones Móviles para la Minería</t>
        </is>
      </c>
      <c r="C2199" s="66" t="inlineStr">
        <is>
          <t>Santiago</t>
        </is>
      </c>
      <c r="D2199" s="66" t="n"/>
      <c r="E2199" s="66" t="inlineStr">
        <is>
          <t>(56) 2 2481 6073</t>
        </is>
      </c>
      <c r="F2199" s="66" t="n"/>
      <c r="G2199" s="66" t="n"/>
      <c r="H2199" s="66" t="n"/>
      <c r="I2199" s="66" t="inlineStr">
        <is>
          <t>76.147.701-3</t>
        </is>
      </c>
      <c r="J2199" s="66" t="n"/>
      <c r="K2199" s="66" t="inlineStr">
        <is>
          <t>Ventas: MEDIANA 1 (25.000 - 50.000 UF) | Empleados: 0</t>
        </is>
      </c>
      <c r="L2199" s="61" t="n"/>
      <c r="M2199" s="61" t="n"/>
      <c r="N2199" s="61" t="n"/>
      <c r="O2199" s="61" t="n"/>
      <c r="P2199" s="61" t="n"/>
      <c r="Q2199" s="62" t="n"/>
      <c r="R2199" s="61" t="n"/>
    </row>
  </sheetData>
  <dataValidations count="4">
    <dataValidation sqref="R2:R2199" showDropDown="0" showInputMessage="0" showErrorMessage="0" allowBlank="1" type="list" errorStyle="stop" operator="between">
      <formula1>"Alta,Media,Baja"</formula1>
      <formula2>0</formula2>
    </dataValidation>
    <dataValidation sqref="L2:L2199" showDropDown="0" showInputMessage="0" showErrorMessage="0" allowBlank="1" type="list" errorStyle="stop" operator="between">
      <formula1>"Contactada,No Contactada"</formula1>
      <formula2>0</formula2>
    </dataValidation>
    <dataValidation sqref="M2:M2199" showDropDown="0" showInputMessage="0" showErrorMessage="0" allowBlank="1" type="list" errorStyle="stop" operator="between">
      <formula1>"Reunión agendada,No Reunión,No le interesó,Lo verá,Me llamará,Otro"</formula1>
      <formula2>0</formula2>
    </dataValidation>
    <dataValidation sqref="P2:P2199" showDropDown="0" showInputMessage="0" showErrorMessage="0" allowBlank="1" type="list" errorStyle="stop" operator="between">
      <formula1>"LinkedIn,Correo,Teléfono,Contacto Directo"</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G23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customHeight="0" zeroHeight="0" outlineLevelRow="0"/>
  <cols>
    <col width="24" customWidth="1" style="37" min="1" max="1"/>
    <col width="22" customWidth="1" style="37" min="2" max="2"/>
    <col width="18" customWidth="1" style="37" min="3" max="3"/>
    <col width="14" customWidth="1" style="37" min="4" max="4"/>
    <col width="32" customWidth="1" style="37" min="5" max="5"/>
    <col width="72" customWidth="1" style="37" min="6" max="6"/>
    <col width="14" customWidth="1" style="37" min="7" max="7"/>
  </cols>
  <sheetData>
    <row r="1" ht="18" customHeight="1" s="38">
      <c r="A1" s="68" t="inlineStr">
        <is>
          <t>Empresa</t>
        </is>
      </c>
      <c r="B1" s="68" t="inlineStr">
        <is>
          <t>Contacto</t>
        </is>
      </c>
      <c r="C1" s="68" t="inlineStr">
        <is>
          <t>Cargo</t>
        </is>
      </c>
      <c r="D1" s="68" t="inlineStr">
        <is>
          <t>Categoría</t>
        </is>
      </c>
      <c r="E1" s="68" t="inlineStr">
        <is>
          <t>LinkedIn Personal</t>
        </is>
      </c>
      <c r="F1" s="68" t="inlineStr">
        <is>
          <t>Mensaje LinkedIn — copiar y pegar</t>
        </is>
      </c>
      <c r="G1" s="68" t="inlineStr">
        <is>
          <t>Estado</t>
        </is>
      </c>
    </row>
    <row r="2" ht="54" customHeight="1" s="38">
      <c r="A2" s="69" t="inlineStr">
        <is>
          <t>A. Hartrodt Chile S.A.</t>
        </is>
      </c>
      <c r="B2" s="69" t="inlineStr">
        <is>
          <t>Hector</t>
        </is>
      </c>
      <c r="C2" s="69" t="inlineStr">
        <is>
          <t>Jefe Informática</t>
        </is>
      </c>
      <c r="D2" s="69" t="inlineStr">
        <is>
          <t>Logística</t>
        </is>
      </c>
      <c r="E2" s="69" t="inlineStr">
        <is>
          <t>https://cl.linkedin.com/in/hector-calderon-gonzalez-3439a358</t>
        </is>
      </c>
      <c r="F2" s="70" t="inlineStr">
        <is>
          <t>Hola Hector, vi que A. Hartrodt Chile S.A. opera en logística y transporte. En OpenCORE desarrollamos plataformas que conectan tracking, WMS y ERP en tiempo real. ¿Tienen desafíos con visibilidad de carga o trazabilidad operativa?</t>
        </is>
      </c>
      <c r="G2" s="69" t="n"/>
    </row>
    <row r="3" ht="54" customHeight="1" s="38">
      <c r="A3" s="69" t="inlineStr">
        <is>
          <t>A.J. Broom y Cía. S.A.C.</t>
        </is>
      </c>
      <c r="B3" s="69" t="inlineStr">
        <is>
          <t>Ricardo</t>
        </is>
      </c>
      <c r="C3" s="69" t="inlineStr">
        <is>
          <t>Gerente Operaciones</t>
        </is>
      </c>
      <c r="D3" s="69" t="inlineStr">
        <is>
          <t>Logística</t>
        </is>
      </c>
      <c r="E3" s="69" t="inlineStr">
        <is>
          <t>nan</t>
        </is>
      </c>
      <c r="F3" s="70" t="inlineStr">
        <is>
          <t>Hola Ricardo, vi que A.J. Broom y Cía. S.A.C. opera en logística y transporte. En OpenCORE desarrollamos plataformas que conectan tracking, WMS y ERP en tiempo real. ¿Tienen desafíos con visibilidad de carga o trazabilidad operativa?</t>
        </is>
      </c>
      <c r="G3" s="69" t="n"/>
    </row>
    <row r="4" ht="54" customHeight="1" s="38">
      <c r="A4" s="69" t="inlineStr">
        <is>
          <t>AB Arriendos S.A.</t>
        </is>
      </c>
      <c r="B4" s="69" t="inlineStr">
        <is>
          <t>Roberto</t>
        </is>
      </c>
      <c r="C4" s="69" t="inlineStr">
        <is>
          <t>Exec. Director</t>
        </is>
      </c>
      <c r="D4" s="69" t="inlineStr">
        <is>
          <t>Arriendo Maq.</t>
        </is>
      </c>
      <c r="E4" s="69" t="inlineStr">
        <is>
          <t>nan</t>
        </is>
      </c>
      <c r="F4" s="70" t="inlineStr">
        <is>
          <t>Hola Roberto, sé que AB Arriendos S.A. trabaja con arriendo de equipos industriales. OpenCORE desarrolla software de control de flota y mantenimiento predictivo. ¿Tienen algún desafío en la gestión de equipos o disponibilidad de activos?</t>
        </is>
      </c>
      <c r="G4" s="69" t="n"/>
    </row>
    <row r="5" ht="54" customHeight="1" s="38">
      <c r="A5" s="69" t="inlineStr">
        <is>
          <t>Aceros Chilca</t>
        </is>
      </c>
      <c r="B5" s="69" t="inlineStr">
        <is>
          <t>Eduardo</t>
        </is>
      </c>
      <c r="C5" s="69" t="inlineStr">
        <is>
          <t>Country Manager</t>
        </is>
      </c>
      <c r="D5" s="69" t="inlineStr">
        <is>
          <t>Minería</t>
        </is>
      </c>
      <c r="E5" s="69" t="inlineStr">
        <is>
          <t>nan</t>
        </is>
      </c>
      <c r="F5" s="70" t="inlineStr">
        <is>
          <t>Hola Eduardo, trabajo con empresas del sector minero en digitalización de operaciones. En OpenCORE construimos sistemas de gestión de activos y trazabilidad para faenas. ¿Están evaluando mejorar el control de procesos críticos en Aceros Chilca?</t>
        </is>
      </c>
      <c r="G5" s="69" t="n"/>
    </row>
    <row r="6" ht="54" customHeight="1" s="38">
      <c r="A6" s="69" t="inlineStr">
        <is>
          <t>Acetogen Gas Chile S.A.</t>
        </is>
      </c>
      <c r="B6" s="69" t="inlineStr">
        <is>
          <t>Hugo</t>
        </is>
      </c>
      <c r="C6" s="69" t="inlineStr">
        <is>
          <t>Gerente General</t>
        </is>
      </c>
      <c r="D6" s="69" t="inlineStr">
        <is>
          <t>Seguridad/EPP</t>
        </is>
      </c>
      <c r="E6" s="69" t="inlineStr">
        <is>
          <t>nan</t>
        </is>
      </c>
      <c r="F6" s="70" t="inlineStr">
        <is>
          <t>Hola Hugo, trabajo con distribuidores de EPP e industria química. En OpenCORE desarrollamos plataformas B2B para inventario, pedidos y trazabilidad. ¿Acetogen Gas Chile S.A. tiene desafíos en gestión de inventario o canal de ventas B2B?</t>
        </is>
      </c>
      <c r="G6" s="69" t="n"/>
    </row>
    <row r="7" ht="54" customHeight="1" s="38">
      <c r="A7" s="69" t="inlineStr">
        <is>
          <t>Adler Steel Chile</t>
        </is>
      </c>
      <c r="B7" s="69" t="inlineStr">
        <is>
          <t>Sabin</t>
        </is>
      </c>
      <c r="C7" s="69" t="inlineStr">
        <is>
          <t>Jefe Informática</t>
        </is>
      </c>
      <c r="D7" s="69" t="inlineStr">
        <is>
          <t>Minería</t>
        </is>
      </c>
      <c r="E7" s="69" t="inlineStr">
        <is>
          <t>https://cl.linkedin.com/in/sabin-capetillo-83376711a</t>
        </is>
      </c>
      <c r="F7" s="70" t="inlineStr">
        <is>
          <t>Hola Sabin, trabajo con empresas del sector minero en digitalización de operaciones. En OpenCORE construimos sistemas de gestión de activos y trazabilidad para faenas. ¿Están evaluando mejorar el control de procesos críticos en Adler Steel Chile?</t>
        </is>
      </c>
      <c r="G7" s="69" t="n"/>
    </row>
    <row r="8" ht="54" customHeight="1" s="38">
      <c r="A8" s="69" t="inlineStr">
        <is>
          <t>AeroRescate Ambulancias Aéreas</t>
        </is>
      </c>
      <c r="B8" s="69" t="inlineStr">
        <is>
          <t>David</t>
        </is>
      </c>
      <c r="C8" s="69" t="inlineStr">
        <is>
          <t>Director Corporativo</t>
        </is>
      </c>
      <c r="D8" s="69" t="inlineStr">
        <is>
          <t>Logística</t>
        </is>
      </c>
      <c r="E8" s="69" t="inlineStr">
        <is>
          <t>https://cl.linkedin.com/in/david-acevedo-olgu%C3%ADn-01586b56</t>
        </is>
      </c>
      <c r="F8" s="70" t="inlineStr">
        <is>
          <t>Hola David, vi que AeroRescate Ambulancias Aéreas opera en logística y transporte. En OpenCORE desarrollamos plataformas que conectan tracking, WMS y ERP en tiempo real. ¿Tienen desafíos con visibilidad de carga o trazabilidad operativa?</t>
        </is>
      </c>
      <c r="G8" s="69" t="n"/>
    </row>
    <row r="9" ht="54" customHeight="1" s="38">
      <c r="A9" s="69" t="inlineStr">
        <is>
          <t>Aerocardal Ltda.</t>
        </is>
      </c>
      <c r="B9" s="69" t="inlineStr">
        <is>
          <t>Javier</t>
        </is>
      </c>
      <c r="C9" s="69" t="inlineStr">
        <is>
          <t>Jefe IT</t>
        </is>
      </c>
      <c r="D9" s="69" t="inlineStr">
        <is>
          <t>Logística</t>
        </is>
      </c>
      <c r="E9" s="69" t="inlineStr">
        <is>
          <t>https://cl.linkedin.com/in/javier-arellano-28087313</t>
        </is>
      </c>
      <c r="F9" s="70" t="inlineStr">
        <is>
          <t>Hola Javier, vi que Aerocardal Ltda. opera en logística y transporte. En OpenCORE desarrollamos plataformas que conectan tracking, WMS y ERP en tiempo real. ¿Tienen desafíos con visibilidad de carga o trazabilidad operativa?</t>
        </is>
      </c>
      <c r="G9" s="69" t="n"/>
    </row>
    <row r="10" ht="54" customHeight="1" s="38">
      <c r="A10" s="69" t="inlineStr">
        <is>
          <t>Aguasin SpA</t>
        </is>
      </c>
      <c r="B10" s="69" t="inlineStr">
        <is>
          <t>Richard</t>
        </is>
      </c>
      <c r="C10" s="69" t="inlineStr">
        <is>
          <t>Gerente Admin (IT Resp</t>
        </is>
      </c>
      <c r="D10" s="69" t="inlineStr">
        <is>
          <t>Industrial</t>
        </is>
      </c>
      <c r="E10" s="69" t="inlineStr">
        <is>
          <t>https://cl.linkedin.com/in/richard-correa-escudero-6820b484</t>
        </is>
      </c>
      <c r="F10" s="70" t="inlineStr">
        <is>
          <t>Hola Richard, en OpenCORE desarrollamos software para operaciones industriales: gestión de activos, trazabilidad y control operacional a medida. ¿Hay algún proceso en Aguasin SpA donde estén evaluando digitalizar o mejorar eficiencia?</t>
        </is>
      </c>
      <c r="G10" s="69" t="n"/>
    </row>
    <row r="11" ht="54" customHeight="1" s="38">
      <c r="A11" s="69" t="inlineStr">
        <is>
          <t>Agunsa, Agencias Universales S.A.</t>
        </is>
      </c>
      <c r="B11" s="69" t="inlineStr">
        <is>
          <t>Carlos</t>
        </is>
      </c>
      <c r="C11" s="69" t="inlineStr">
        <is>
          <t>CTO Corporativo</t>
        </is>
      </c>
      <c r="D11" s="69" t="inlineStr">
        <is>
          <t>Logística</t>
        </is>
      </c>
      <c r="E11" s="69" t="inlineStr">
        <is>
          <t>https://cl.linkedin.com/in/carlos-ram%C3%ADrez-c%C3%A1rdenas-tecnolog%C3%ADa</t>
        </is>
      </c>
      <c r="F11" s="70" t="inlineStr">
        <is>
          <t>Hola Carlos, vi que Agunsa, Agencias Universales S.A. opera en logística y transporte. En OpenCORE desarrollamos plataformas que conectan tracking, WMS y ERP en tiempo real. ¿Tienen desafíos con visibilidad de carga o trazabilidad operativa?</t>
        </is>
      </c>
      <c r="G11" s="69" t="n"/>
    </row>
    <row r="12" ht="54" customHeight="1" s="38">
      <c r="A12" s="69" t="inlineStr">
        <is>
          <t>Alessandri &amp; Cía. Ltda.</t>
        </is>
      </c>
      <c r="B12" s="69" t="inlineStr">
        <is>
          <t>Francisco</t>
        </is>
      </c>
      <c r="C12" s="69" t="inlineStr">
        <is>
          <t>Subgerente Ops</t>
        </is>
      </c>
      <c r="D12" s="69" t="inlineStr">
        <is>
          <t>Minería</t>
        </is>
      </c>
      <c r="E12" s="69" t="inlineStr">
        <is>
          <t>https://cl.linkedin.com/in/francisco-fern%C3%A1ndez-mancilla</t>
        </is>
      </c>
      <c r="F12" s="70" t="inlineStr">
        <is>
          <t>Hola Francisco, trabajo con empresas del sector minero en digitalización de operaciones. En OpenCORE construimos sistemas de gestión de activos y trazabilidad para faenas. ¿Están evaluando mejorar el control de procesos críticos en Alessandri &amp; Cía. Ltda.?</t>
        </is>
      </c>
      <c r="G12" s="69" t="n"/>
    </row>
    <row r="13" ht="54" customHeight="1" s="38">
      <c r="A13" s="69" t="inlineStr">
        <is>
          <t>Alfa People Chile SpA</t>
        </is>
      </c>
      <c r="B13" s="69" t="inlineStr">
        <is>
          <t>Carlos</t>
        </is>
      </c>
      <c r="C13" s="69" t="inlineStr">
        <is>
          <t>CEO</t>
        </is>
      </c>
      <c r="D13" s="69" t="inlineStr">
        <is>
          <t>Industrial</t>
        </is>
      </c>
      <c r="E13" s="69" t="inlineStr">
        <is>
          <t>nan</t>
        </is>
      </c>
      <c r="F13" s="70" t="inlineStr">
        <is>
          <t>Hola Carlos, en OpenCORE desarrollamos software para operaciones industriales: gestión de activos, trazabilidad y control operacional a medida. ¿Hay algún proceso en Alfa People Chile SpA donde estén evaluando digitalizar o mejorar eficiencia?</t>
        </is>
      </c>
      <c r="G13" s="69" t="n"/>
    </row>
    <row r="14" ht="54" customHeight="1" s="38">
      <c r="A14" s="69" t="inlineStr">
        <is>
          <t>Aliservice</t>
        </is>
      </c>
      <c r="B14" s="69" t="inlineStr">
        <is>
          <t>Luis</t>
        </is>
      </c>
      <c r="C14" s="69" t="inlineStr">
        <is>
          <t>Gerente Adm y Finanzas</t>
        </is>
      </c>
      <c r="D14" s="69" t="inlineStr">
        <is>
          <t>Alimentación</t>
        </is>
      </c>
      <c r="E14" s="69" t="inlineStr">
        <is>
          <t>nan</t>
        </is>
      </c>
      <c r="F14" s="70" t="inlineStr">
        <is>
          <t>Hola Luis, vi que Aliservice opera en el sector alimentación o cadena de frío. En OpenCORE hacemos software de trazabilidad y control de calidad para este rubro. ¿Tienen desafíos en visibilidad de cadena de suministro o cumplimiento regulatorio?</t>
        </is>
      </c>
      <c r="G14" s="69" t="n"/>
    </row>
    <row r="15" ht="54" customHeight="1" s="38">
      <c r="A15" s="69" t="inlineStr">
        <is>
          <t>American Parts</t>
        </is>
      </c>
      <c r="B15" s="69" t="inlineStr">
        <is>
          <t>Patricio</t>
        </is>
      </c>
      <c r="C15" s="69" t="inlineStr">
        <is>
          <t>Jefe de Sistemas</t>
        </is>
      </c>
      <c r="D15" s="69" t="inlineStr">
        <is>
          <t>Industrial</t>
        </is>
      </c>
      <c r="E15" s="69" t="inlineStr">
        <is>
          <t>nan</t>
        </is>
      </c>
      <c r="F15" s="70" t="inlineStr">
        <is>
          <t>Hola Patricio, en OpenCORE desarrollamos software para operaciones industriales: gestión de activos, trazabilidad y control operacional a medida. ¿Hay algún proceso en American Parts donde estén evaluando digitalizar o mejorar eficiencia?</t>
        </is>
      </c>
      <c r="G15" s="69" t="n"/>
    </row>
    <row r="16" ht="54" customHeight="1" s="38">
      <c r="A16" s="69" t="inlineStr">
        <is>
          <t>Anakena Group</t>
        </is>
      </c>
      <c r="B16" s="69" t="inlineStr">
        <is>
          <t>Michael</t>
        </is>
      </c>
      <c r="C16" s="69" t="inlineStr">
        <is>
          <t>Jefe de Sistemas Producción</t>
        </is>
      </c>
      <c r="D16" s="69" t="inlineStr">
        <is>
          <t>Construcción</t>
        </is>
      </c>
      <c r="E16" s="69" t="inlineStr">
        <is>
          <t>https://cl.linkedin.com/in/michael-salameh-148509ab</t>
        </is>
      </c>
      <c r="F16" s="70" t="inlineStr">
        <is>
          <t>Hola Michael, vi que Anakena Group trabaja en proyectos de construcción e ingeniería. En OpenCORE hacemos software de control de avance, costos y subcontratos en terreno. ¿Tienen desafíos en la visibilidad de proyectos o control de avance?</t>
        </is>
      </c>
      <c r="G16" s="69" t="n"/>
    </row>
    <row r="17" ht="54" customHeight="1" s="38">
      <c r="A17" s="69" t="inlineStr">
        <is>
          <t>Ancor Tecmin</t>
        </is>
      </c>
      <c r="B17" s="69" t="inlineStr">
        <is>
          <t>Franco</t>
        </is>
      </c>
      <c r="C17" s="69" t="inlineStr">
        <is>
          <t>Jefe Automatización e Informática</t>
        </is>
      </c>
      <c r="D17" s="69" t="inlineStr">
        <is>
          <t>Industrial</t>
        </is>
      </c>
      <c r="E17" s="69" t="inlineStr">
        <is>
          <t>https://cl.linkedin.com/in/francoyanez</t>
        </is>
      </c>
      <c r="F17" s="70" t="inlineStr">
        <is>
          <t>Hola Franco, en OpenCORE desarrollamos software para operaciones industriales: gestión de activos, trazabilidad y control operacional a medida. ¿Hay algún proceso en Ancor Tecmin donde estén evaluando digitalizar o mejorar eficiencia?</t>
        </is>
      </c>
      <c r="G17" s="69" t="n"/>
    </row>
    <row r="18" ht="54" customHeight="1" s="38">
      <c r="A18" s="69" t="inlineStr">
        <is>
          <t>Andes Solar</t>
        </is>
      </c>
      <c r="B18" s="69" t="inlineStr">
        <is>
          <t>Felipe</t>
        </is>
      </c>
      <c r="C18" s="69" t="inlineStr">
        <is>
          <t>Jefe de Ingeniería</t>
        </is>
      </c>
      <c r="D18" s="69" t="inlineStr">
        <is>
          <t>Energía</t>
        </is>
      </c>
      <c r="E18" s="69" t="inlineStr">
        <is>
          <t>https://cl.linkedin.com/in/felipe-aguilera-moore</t>
        </is>
      </c>
      <c r="F18" s="70" t="inlineStr">
        <is>
          <t>Hola Felipe, en OpenCORE trabajamos con empresas del sector energético en sistemas de monitoreo y gestión de activos eléctricos. ¿Andes Solar está evaluando soluciones para mejorar la trazabilidad de operaciones?</t>
        </is>
      </c>
      <c r="G18" s="69" t="n"/>
    </row>
    <row r="19" ht="54" customHeight="1" s="38">
      <c r="A19" s="69" t="inlineStr">
        <is>
          <t>Anglo American Chile</t>
        </is>
      </c>
      <c r="B19" s="69" t="inlineStr">
        <is>
          <t>Rodrigo</t>
        </is>
      </c>
      <c r="C19" s="69" t="inlineStr">
        <is>
          <t>VP Tech &amp; Innov</t>
        </is>
      </c>
      <c r="D19" s="69" t="inlineStr">
        <is>
          <t>Minería</t>
        </is>
      </c>
      <c r="E19" s="69" t="inlineStr">
        <is>
          <t>https://cl.linkedin.com/in/rodrigo-subiabre-84130844</t>
        </is>
      </c>
      <c r="F19" s="70" t="inlineStr">
        <is>
          <t>Hola Rodrigo, trabajo con empresas del sector minero en digitalización de operaciones. En OpenCORE construimos sistemas de gestión de activos y trazabilidad para faenas. ¿Están evaluando mejorar el control de procesos críticos en Anglo American Chile?</t>
        </is>
      </c>
      <c r="G19" s="69" t="n"/>
    </row>
    <row r="20" ht="54" customHeight="1" s="38">
      <c r="A20" s="69" t="inlineStr">
        <is>
          <t>Artilec Ltda.</t>
        </is>
      </c>
      <c r="B20" s="69" t="inlineStr">
        <is>
          <t>Mayron</t>
        </is>
      </c>
      <c r="C20" s="69" t="inlineStr">
        <is>
          <t>Soporte Informática</t>
        </is>
      </c>
      <c r="D20" s="69" t="inlineStr">
        <is>
          <t>Minería</t>
        </is>
      </c>
      <c r="E20" s="69" t="inlineStr">
        <is>
          <t>https://cl.linkedin.com/in/mayron-araya-30a828b1</t>
        </is>
      </c>
      <c r="F20" s="70" t="inlineStr">
        <is>
          <t>Hola Mayron, trabajo con empresas del sector minero en digitalización de operaciones. En OpenCORE construimos sistemas de gestión de activos y trazabilidad para faenas. ¿Están evaluando mejorar el control de procesos críticos en Artilec Ltda.?</t>
        </is>
      </c>
      <c r="G20" s="69" t="n"/>
    </row>
    <row r="21" ht="54" customHeight="1" s="38">
      <c r="A21" s="69" t="inlineStr">
        <is>
          <t>AtPac Doka</t>
        </is>
      </c>
      <c r="B21" s="69" t="inlineStr">
        <is>
          <t>Aldo</t>
        </is>
      </c>
      <c r="C21" s="69" t="inlineStr">
        <is>
          <t>Technical Manager LATAM</t>
        </is>
      </c>
      <c r="D21" s="69" t="inlineStr">
        <is>
          <t>Construcción</t>
        </is>
      </c>
      <c r="E21" s="69" t="inlineStr">
        <is>
          <t>https://cl.linkedin.com/in/aldo-veas-2850534</t>
        </is>
      </c>
      <c r="F21" s="70" t="inlineStr">
        <is>
          <t>Hola Aldo, vi que AtPac Doka trabaja en proyectos de construcción e ingeniería. En OpenCORE hacemos software de control de avance, costos y subcontratos en terreno. ¿Tienen desafíos en la visibilidad de proyectos o control de avance?</t>
        </is>
      </c>
      <c r="G21" s="69" t="n"/>
    </row>
    <row r="22" ht="54" customHeight="1" s="38">
      <c r="A22" s="69" t="inlineStr">
        <is>
          <t>Atlas Renewable Energy</t>
        </is>
      </c>
      <c r="B22" s="69" t="inlineStr">
        <is>
          <t>Francisca</t>
        </is>
      </c>
      <c r="C22" s="69" t="inlineStr">
        <is>
          <t>Corporate IT Manager</t>
        </is>
      </c>
      <c r="D22" s="69" t="inlineStr">
        <is>
          <t>Energía</t>
        </is>
      </c>
      <c r="E22" s="69" t="inlineStr">
        <is>
          <t>https://cl.linkedin.com/in/franciscalatorrel</t>
        </is>
      </c>
      <c r="F22" s="70" t="inlineStr">
        <is>
          <t>Hola Francisca, en OpenCORE trabajamos con empresas del sector energético en sistemas de monitoreo y gestión de activos eléctricos. ¿Atlas Renewable Energy está evaluando soluciones para mejorar la trazabilidad de operaciones?</t>
        </is>
      </c>
      <c r="G22" s="69" t="n"/>
    </row>
    <row r="23" ht="54" customHeight="1" s="38">
      <c r="A23" s="69" t="inlineStr">
        <is>
          <t>BASF Chile S.A.</t>
        </is>
      </c>
      <c r="B23" s="69" t="inlineStr">
        <is>
          <t>Jonathan</t>
        </is>
      </c>
      <c r="C23" s="69" t="inlineStr">
        <is>
          <t>Gerente Digitalización</t>
        </is>
      </c>
      <c r="D23" s="69" t="inlineStr">
        <is>
          <t>Minería</t>
        </is>
      </c>
      <c r="E23" s="69" t="inlineStr">
        <is>
          <t>https://cr.linkedin.com/in/jonathan-rojas-diaz</t>
        </is>
      </c>
      <c r="F23" s="70" t="inlineStr">
        <is>
          <t>Hola Jonathan, trabajo con empresas del sector minero en digitalización de operaciones. En OpenCORE construimos sistemas de gestión de activos y trazabilidad para faenas. ¿Están evaluando mejorar el control de procesos críticos en BASF Chile S.A.?</t>
        </is>
      </c>
      <c r="G23" s="69" t="n"/>
    </row>
    <row r="24" ht="54" customHeight="1" s="38">
      <c r="A24" s="69" t="inlineStr">
        <is>
          <t>Bailac</t>
        </is>
      </c>
      <c r="B24" s="69" t="inlineStr">
        <is>
          <t>Raimundo</t>
        </is>
      </c>
      <c r="C24" s="69" t="inlineStr">
        <is>
          <t>GG</t>
        </is>
      </c>
      <c r="D24" s="69" t="inlineStr">
        <is>
          <t>Industrial</t>
        </is>
      </c>
      <c r="E24" s="69" t="inlineStr">
        <is>
          <t>https://cl.linkedin.com/in/raimundo-bailac-pereira-b53269104</t>
        </is>
      </c>
      <c r="F24" s="70" t="inlineStr">
        <is>
          <t>Hola Raimundo, en OpenCORE desarrollamos software para operaciones industriales: gestión de activos, trazabilidad y control operacional a medida. ¿Hay algún proceso en Bailac donde estén evaluando digitalizar o mejorar eficiencia?</t>
        </is>
      </c>
      <c r="G24" s="69" t="n"/>
    </row>
    <row r="25" ht="54" customHeight="1" s="38">
      <c r="A25" s="69" t="inlineStr">
        <is>
          <t>Bailac Capacita</t>
        </is>
      </c>
      <c r="B25" s="69" t="inlineStr">
        <is>
          <t>Raimundo</t>
        </is>
      </c>
      <c r="C25" s="69" t="inlineStr">
        <is>
          <t>GG</t>
        </is>
      </c>
      <c r="D25" s="69" t="inlineStr">
        <is>
          <t>Arriendo Maq.</t>
        </is>
      </c>
      <c r="E25" s="69" t="inlineStr">
        <is>
          <t>https://cl.linkedin.com/in/raimundo-bailac-pereira-b53269104</t>
        </is>
      </c>
      <c r="F25" s="70" t="inlineStr">
        <is>
          <t>Hola Raimundo, sé que Bailac Capacita trabaja con arriendo de equipos industriales. OpenCORE desarrolla software de control de flota y mantenimiento predictivo. ¿Tienen algún desafío en la gestión de equipos o disponibilidad de activos?</t>
        </is>
      </c>
      <c r="G25" s="69" t="n"/>
    </row>
    <row r="26" ht="54" customHeight="1" s="38">
      <c r="A26" s="69" t="inlineStr">
        <is>
          <t>Bailac Thor Saan Ltda.</t>
        </is>
      </c>
      <c r="B26" s="69" t="inlineStr">
        <is>
          <t>Raimundo</t>
        </is>
      </c>
      <c r="C26" s="69" t="inlineStr">
        <is>
          <t>GG</t>
        </is>
      </c>
      <c r="D26" s="69" t="inlineStr">
        <is>
          <t>Minería</t>
        </is>
      </c>
      <c r="E26" s="69" t="inlineStr">
        <is>
          <t>https://cl.linkedin.com/in/raimundo-bailac-pereira-b53269104</t>
        </is>
      </c>
      <c r="F26" s="70" t="inlineStr">
        <is>
          <t>Hola Raimundo, trabajo con empresas del sector minero en digitalización de operaciones. En OpenCORE construimos sistemas de gestión de activos y trazabilidad para faenas. ¿Están evaluando mejorar el control de procesos críticos en Bailac Thor Saan Ltda.?</t>
        </is>
      </c>
      <c r="G26" s="69" t="n"/>
    </row>
    <row r="27" ht="54" customHeight="1" s="38">
      <c r="A27" s="69" t="inlineStr">
        <is>
          <t>Barraca de Fierro San Joaquín SpA</t>
        </is>
      </c>
      <c r="B27" s="69" t="inlineStr">
        <is>
          <t>Martín</t>
        </is>
      </c>
      <c r="C27" s="69" t="inlineStr">
        <is>
          <t>CIO/CTO</t>
        </is>
      </c>
      <c r="D27" s="69" t="inlineStr">
        <is>
          <t>Minería</t>
        </is>
      </c>
      <c r="E27" s="69" t="inlineStr">
        <is>
          <t>https://cl.linkedin.com/in/martin-vera-poblete-1622582a4</t>
        </is>
      </c>
      <c r="F27" s="70" t="inlineStr">
        <is>
          <t>Hola Martín, trabajo con empresas del sector minero en digitalización de operaciones. En OpenCORE construimos sistemas de gestión de activos y trazabilidad para faenas. ¿Están evaluando mejorar el control de procesos críticos en Barraca de Fierro San Joaquín SpA?</t>
        </is>
      </c>
      <c r="G27" s="69" t="n"/>
    </row>
    <row r="28" ht="54" customHeight="1" s="38">
      <c r="A28" s="69" t="inlineStr">
        <is>
          <t>Bartech</t>
        </is>
      </c>
      <c r="B28" s="69" t="inlineStr">
        <is>
          <t>Raul</t>
        </is>
      </c>
      <c r="C28" s="69" t="inlineStr">
        <is>
          <t>Gerente Comercial y Desarrollo</t>
        </is>
      </c>
      <c r="D28" s="69" t="inlineStr">
        <is>
          <t>Industrial</t>
        </is>
      </c>
      <c r="E28" s="69" t="inlineStr">
        <is>
          <t>https://cl.linkedin.com/in/raul-lara-c-4626264b</t>
        </is>
      </c>
      <c r="F28" s="70" t="inlineStr">
        <is>
          <t>Hola Raul, en OpenCORE desarrollamos software para operaciones industriales: gestión de activos, trazabilidad y control operacional a medida. ¿Hay algún proceso en Bartech donde estén evaluando digitalizar o mejorar eficiencia?</t>
        </is>
      </c>
      <c r="G28" s="69" t="n"/>
    </row>
    <row r="29" ht="54" customHeight="1" s="38">
      <c r="A29" s="69" t="inlineStr">
        <is>
          <t>Bechtel Chile Ltda.</t>
        </is>
      </c>
      <c r="B29" s="69" t="inlineStr">
        <is>
          <t>Felipe</t>
        </is>
      </c>
      <c r="C29" s="69" t="inlineStr">
        <is>
          <t>Infrastructure Lead</t>
        </is>
      </c>
      <c r="D29" s="69" t="inlineStr">
        <is>
          <t>Minería</t>
        </is>
      </c>
      <c r="E29" s="69" t="inlineStr">
        <is>
          <t>https://cl.linkedin.com/in/felipe-espinoza-yentzen-377a3b67</t>
        </is>
      </c>
      <c r="F29" s="70" t="inlineStr">
        <is>
          <t>Hola Felipe, trabajo con empresas del sector minero en digitalización de operaciones. En OpenCORE construimos sistemas de gestión de activos y trazabilidad para faenas. ¿Están evaluando mejorar el control de procesos críticos en Bechtel Chile Ltda.?</t>
        </is>
      </c>
      <c r="G29" s="69" t="n"/>
    </row>
    <row r="30" ht="54" customHeight="1" s="38">
      <c r="A30" s="69" t="inlineStr">
        <is>
          <t>Beiben Truck</t>
        </is>
      </c>
      <c r="B30" s="69" t="inlineStr">
        <is>
          <t>Philipp</t>
        </is>
      </c>
      <c r="C30" s="69" t="inlineStr">
        <is>
          <t>CEO</t>
        </is>
      </c>
      <c r="D30" s="69" t="inlineStr">
        <is>
          <t>Industrial</t>
        </is>
      </c>
      <c r="E30" s="69" t="inlineStr">
        <is>
          <t>https://cl.linkedin.com/in/philipp-kaufmann-beiben-truck-94828180</t>
        </is>
      </c>
      <c r="F30" s="70" t="inlineStr">
        <is>
          <t>Hola Philipp, en OpenCORE desarrollamos software para operaciones industriales: gestión de activos, trazabilidad y control operacional a medida. ¿Hay algún proceso en Beiben Truck donde estén evaluando digitalizar o mejorar eficiencia?</t>
        </is>
      </c>
      <c r="G30" s="69" t="n"/>
    </row>
    <row r="31" ht="54" customHeight="1" s="38">
      <c r="A31" s="69" t="inlineStr">
        <is>
          <t>Bertech</t>
        </is>
      </c>
      <c r="B31" s="69" t="inlineStr">
        <is>
          <t>Pedro</t>
        </is>
      </c>
      <c r="C31" s="69" t="inlineStr">
        <is>
          <t>IT Manager</t>
        </is>
      </c>
      <c r="D31" s="69" t="inlineStr">
        <is>
          <t>Minería</t>
        </is>
      </c>
      <c r="E31" s="69" t="inlineStr">
        <is>
          <t>https://cl.linkedin.com/in/pedro-fernandez-parraguez</t>
        </is>
      </c>
      <c r="F31" s="70" t="inlineStr">
        <is>
          <t>Hola Pedro, trabajo con empresas del sector minero en digitalización de operaciones. En OpenCORE construimos sistemas de gestión de activos y trazabilidad para faenas. ¿Están evaluando mejorar el control de procesos críticos en Bertech?</t>
        </is>
      </c>
      <c r="G31" s="69" t="n"/>
    </row>
    <row r="32" ht="54" customHeight="1" s="38">
      <c r="A32" s="69" t="inlineStr">
        <is>
          <t>Biggi (Chile) S.A.</t>
        </is>
      </c>
      <c r="B32" s="69" t="inlineStr">
        <is>
          <t>Sergio</t>
        </is>
      </c>
      <c r="C32" s="69" t="inlineStr">
        <is>
          <t>Gerente General</t>
        </is>
      </c>
      <c r="D32" s="69" t="inlineStr">
        <is>
          <t>Alimentación</t>
        </is>
      </c>
      <c r="E32" s="69" t="inlineStr">
        <is>
          <t>nan</t>
        </is>
      </c>
      <c r="F32" s="70" t="inlineStr">
        <is>
          <t>Hola Sergio, vi que Biggi (Chile) S.A. opera en el sector alimentación o cadena de frío. En OpenCORE hacemos software de trazabilidad y control de calidad para este rubro. ¿Tienen desafíos en visibilidad de cadena de suministro o cumplimiento regulatorio?</t>
        </is>
      </c>
      <c r="G32" s="69" t="n"/>
    </row>
    <row r="33" ht="54" customHeight="1" s="38">
      <c r="A33" s="69" t="inlineStr">
        <is>
          <t>Bimex Ltda.</t>
        </is>
      </c>
      <c r="B33" s="69" t="inlineStr">
        <is>
          <t>Alberto</t>
        </is>
      </c>
      <c r="C33" s="69" t="inlineStr">
        <is>
          <t>General Manager</t>
        </is>
      </c>
      <c r="D33" s="69" t="inlineStr">
        <is>
          <t>Energía</t>
        </is>
      </c>
      <c r="E33" s="69" t="inlineStr">
        <is>
          <t>nan</t>
        </is>
      </c>
      <c r="F33" s="70" t="inlineStr">
        <is>
          <t>Hola Alberto, en OpenCORE trabajamos con empresas del sector energético en sistemas de monitoreo y gestión de activos eléctricos. ¿Bimex Ltda. está evaluando soluciones para mejorar la trazabilidad de operaciones?</t>
        </is>
      </c>
      <c r="G33" s="69" t="n"/>
    </row>
    <row r="34" ht="54" customHeight="1" s="38">
      <c r="A34" s="69" t="inlineStr">
        <is>
          <t>Biofiltro</t>
        </is>
      </c>
      <c r="B34" s="69" t="inlineStr">
        <is>
          <t>Ignacio</t>
        </is>
      </c>
      <c r="C34" s="69" t="inlineStr">
        <is>
          <t>Subgerente Proyectos</t>
        </is>
      </c>
      <c r="D34" s="69" t="inlineStr">
        <is>
          <t>Industrial</t>
        </is>
      </c>
      <c r="E34" s="69" t="inlineStr">
        <is>
          <t>https://cl.linkedin.com/in/ignacio-andr%C3%A9s-jofr%C3%A9-valenzuela-69902289</t>
        </is>
      </c>
      <c r="F34" s="70" t="inlineStr">
        <is>
          <t>Hola Ignacio, en OpenCORE desarrollamos software para operaciones industriales: gestión de activos, trazabilidad y control operacional a medida. ¿Hay algún proceso en Biofiltro donde estén evaluando digitalizar o mejorar eficiencia?</t>
        </is>
      </c>
      <c r="G34" s="69" t="n"/>
    </row>
    <row r="35" ht="54" customHeight="1" s="38">
      <c r="A35" s="69" t="inlineStr">
        <is>
          <t>Biotec Chile S.A.</t>
        </is>
      </c>
      <c r="B35" s="69" t="inlineStr">
        <is>
          <t>Fabián</t>
        </is>
      </c>
      <c r="C35" s="69" t="inlineStr">
        <is>
          <t>Gerente TI y Transf. Digital</t>
        </is>
      </c>
      <c r="D35" s="69" t="inlineStr">
        <is>
          <t>Industrial</t>
        </is>
      </c>
      <c r="E35" s="69" t="inlineStr">
        <is>
          <t>https://cl.linkedin.com/in/fabi%C3%A1n-deramond-44064918</t>
        </is>
      </c>
      <c r="F35" s="70" t="inlineStr">
        <is>
          <t>Hola Fabián, en OpenCORE desarrollamos software para operaciones industriales: gestión de activos, trazabilidad y control operacional a medida. ¿Hay algún proceso en Biotec Chile S.A. donde estén evaluando digitalizar o mejorar eficiencia?</t>
        </is>
      </c>
      <c r="G35" s="69" t="n"/>
    </row>
    <row r="36" ht="54" customHeight="1" s="38">
      <c r="A36" s="69" t="inlineStr">
        <is>
          <t>Bombas de Pozo Ltda.</t>
        </is>
      </c>
      <c r="B36" s="69" t="inlineStr">
        <is>
          <t>Mauricio</t>
        </is>
      </c>
      <c r="C36" s="69" t="inlineStr">
        <is>
          <t>Socio Técnico</t>
        </is>
      </c>
      <c r="D36" s="69" t="inlineStr">
        <is>
          <t>Energía</t>
        </is>
      </c>
      <c r="E36" s="69" t="inlineStr">
        <is>
          <t>nan</t>
        </is>
      </c>
      <c r="F36" s="70" t="inlineStr">
        <is>
          <t>Hola Mauricio, en OpenCORE trabajamos con empresas del sector energético en sistemas de monitoreo y gestión de activos eléctricos. ¿Bombas de Pozo Ltda. está evaluando soluciones para mejorar la trazabilidad de operaciones?</t>
        </is>
      </c>
      <c r="G36" s="69" t="n"/>
    </row>
    <row r="37" ht="54" customHeight="1" s="38">
      <c r="A37" s="69" t="inlineStr">
        <is>
          <t>Bosch Rexroth Chile</t>
        </is>
      </c>
      <c r="B37" s="69" t="inlineStr">
        <is>
          <t>Oscar</t>
        </is>
      </c>
      <c r="C37" s="69" t="inlineStr">
        <is>
          <t>Jefe Proyectos TI</t>
        </is>
      </c>
      <c r="D37" s="69" t="inlineStr">
        <is>
          <t>Logística</t>
        </is>
      </c>
      <c r="E37" s="69" t="inlineStr">
        <is>
          <t>nan</t>
        </is>
      </c>
      <c r="F37" s="70" t="inlineStr">
        <is>
          <t>Hola Oscar, vi que Bosch Rexroth Chile opera en logística y transporte. En OpenCORE desarrollamos plataformas que conectan tracking, WMS y ERP en tiempo real. ¿Tienen desafíos con visibilidad de carga o trazabilidad operativa?</t>
        </is>
      </c>
      <c r="G37" s="69" t="n"/>
    </row>
    <row r="38" ht="54" customHeight="1" s="38">
      <c r="A38" s="69" t="inlineStr">
        <is>
          <t>Bottai S.A.</t>
        </is>
      </c>
      <c r="B38" s="69" t="inlineStr">
        <is>
          <t>Rodrigo</t>
        </is>
      </c>
      <c r="C38" s="69" t="inlineStr">
        <is>
          <t>Gerente Comercial</t>
        </is>
      </c>
      <c r="D38" s="69" t="inlineStr">
        <is>
          <t>Industrial</t>
        </is>
      </c>
      <c r="E38" s="69" t="inlineStr">
        <is>
          <t>https://cl.linkedin.com/in/rodrigogimenezfernandez</t>
        </is>
      </c>
      <c r="F38" s="70" t="inlineStr">
        <is>
          <t>Hola Rodrigo, en OpenCORE desarrollamos software para operaciones industriales: gestión de activos, trazabilidad y control operacional a medida. ¿Hay algún proceso en Bottai S.A. donde estén evaluando digitalizar o mejorar eficiencia?</t>
        </is>
      </c>
      <c r="G38" s="69" t="n"/>
    </row>
    <row r="39" ht="54" customHeight="1" s="38">
      <c r="A39" s="69" t="inlineStr">
        <is>
          <t>Bradken Chile</t>
        </is>
      </c>
      <c r="B39" s="69" t="inlineStr">
        <is>
          <t>Juan</t>
        </is>
      </c>
      <c r="C39" s="69" t="inlineStr">
        <is>
          <t>IT Manager</t>
        </is>
      </c>
      <c r="D39" s="69" t="inlineStr">
        <is>
          <t>Industrial</t>
        </is>
      </c>
      <c r="E39" s="69" t="inlineStr">
        <is>
          <t>nan</t>
        </is>
      </c>
      <c r="F39" s="70" t="inlineStr">
        <is>
          <t>Hola Juan, en OpenCORE desarrollamos software para operaciones industriales: gestión de activos, trazabilidad y control operacional a medida. ¿Hay algún proceso en Bradken Chile donde estén evaluando digitalizar o mejorar eficiencia?</t>
        </is>
      </c>
      <c r="G39" s="69" t="n"/>
    </row>
    <row r="40" ht="54" customHeight="1" s="38">
      <c r="A40" s="69" t="inlineStr">
        <is>
          <t>Budge Chile SpA</t>
        </is>
      </c>
      <c r="B40" s="69" t="inlineStr">
        <is>
          <t>Rodrigo</t>
        </is>
      </c>
      <c r="C40" s="69" t="inlineStr">
        <is>
          <t>CEO Chile</t>
        </is>
      </c>
      <c r="D40" s="69" t="inlineStr">
        <is>
          <t>Industrial</t>
        </is>
      </c>
      <c r="E40" s="69" t="inlineStr">
        <is>
          <t>https://cl.linkedin.com/in/relizondoj</t>
        </is>
      </c>
      <c r="F40" s="70" t="inlineStr">
        <is>
          <t>Hola Rodrigo, en OpenCORE desarrollamos software para operaciones industriales: gestión de activos, trazabilidad y control operacional a medida. ¿Hay algún proceso en Budge Chile SpA donde estén evaluando digitalizar o mejorar eficiencia?</t>
        </is>
      </c>
      <c r="G40" s="69" t="n"/>
    </row>
    <row r="41" ht="54" customHeight="1" s="38">
      <c r="A41" s="69" t="inlineStr">
        <is>
          <t>CEIM - Centro de Entrenamiento Industrial y Minero</t>
        </is>
      </c>
      <c r="B41" s="69" t="inlineStr">
        <is>
          <t>Milton</t>
        </is>
      </c>
      <c r="C41" s="69" t="inlineStr">
        <is>
          <t>Gerente Desarrollo Competencias</t>
        </is>
      </c>
      <c r="D41" s="69" t="inlineStr">
        <is>
          <t>Minería</t>
        </is>
      </c>
      <c r="E41" s="69" t="inlineStr">
        <is>
          <t>https://cl.linkedin.com/in/milton-flores-pardo</t>
        </is>
      </c>
      <c r="F41" s="70" t="inlineStr">
        <is>
          <t>Hola Milton, trabajo con empresas del sector minero en digitalización de operaciones. En OpenCORE construimos sistemas de gestión de activos y trazabilidad para faenas. ¿Están evaluando mejorar el control de procesos críticos en CEIM - Centro de Entrenamiento Industrial y Minero?</t>
        </is>
      </c>
      <c r="G41" s="69" t="n"/>
    </row>
    <row r="42" ht="54" customHeight="1" s="38">
      <c r="A42" s="69" t="inlineStr">
        <is>
          <t>CEIM Ltda. - Certificaciones y Servicios</t>
        </is>
      </c>
      <c r="B42" s="69" t="inlineStr">
        <is>
          <t>Milton</t>
        </is>
      </c>
      <c r="C42" s="69" t="inlineStr">
        <is>
          <t>Gerente Desarrollo Competencias</t>
        </is>
      </c>
      <c r="D42" s="69" t="inlineStr">
        <is>
          <t>Minería</t>
        </is>
      </c>
      <c r="E42" s="69" t="inlineStr">
        <is>
          <t>https://cl.linkedin.com/in/milton-flores-pardo</t>
        </is>
      </c>
      <c r="F42" s="70" t="inlineStr">
        <is>
          <t>Hola Milton, trabajo con empresas del sector minero en digitalización de operaciones. En OpenCORE construimos sistemas de gestión de activos y trazabilidad para faenas. ¿Están evaluando mejorar el control de procesos críticos en CEIM Ltda. - Certificaciones y Servicios?</t>
        </is>
      </c>
      <c r="G42" s="69" t="n"/>
    </row>
    <row r="43" ht="54" customHeight="1" s="38">
      <c r="A43" s="69" t="inlineStr">
        <is>
          <t>CGE C</t>
        </is>
      </c>
      <c r="B43" s="69" t="inlineStr">
        <is>
          <t>Cristian</t>
        </is>
      </c>
      <c r="C43" s="69" t="inlineStr">
        <is>
          <t>Chief Digital Officer (CDO</t>
        </is>
      </c>
      <c r="D43" s="69" t="inlineStr">
        <is>
          <t>Arriendo Maq.</t>
        </is>
      </c>
      <c r="E43" s="69" t="inlineStr">
        <is>
          <t>https://cl.linkedin.com/in/cristian-ormaz%C3%A1bal</t>
        </is>
      </c>
      <c r="F43" s="70" t="inlineStr">
        <is>
          <t>Hola Cristian, sé que CGE C trabaja con arriendo de equipos industriales. OpenCORE desarrolla software de control de flota y mantenimiento predictivo. ¿Tienen algún desafío en la gestión de equipos o disponibilidad de activos?</t>
        </is>
      </c>
      <c r="G43" s="69" t="n"/>
    </row>
    <row r="44" ht="54" customHeight="1" s="38">
      <c r="A44" s="69" t="inlineStr">
        <is>
          <t>Canon Chile S.A.</t>
        </is>
      </c>
      <c r="B44" s="69" t="inlineStr">
        <is>
          <t>Aaron</t>
        </is>
      </c>
      <c r="C44" s="69" t="inlineStr">
        <is>
          <t>Gerente de TI</t>
        </is>
      </c>
      <c r="D44" s="69" t="inlineStr">
        <is>
          <t>Industrial</t>
        </is>
      </c>
      <c r="E44" s="69" t="inlineStr">
        <is>
          <t>https://cl.linkedin.com/in/aaron-fuentes-calder%C3%B3n-5a239a58</t>
        </is>
      </c>
      <c r="F44" s="70" t="inlineStr">
        <is>
          <t>Hola Aaron, en OpenCORE desarrollamos software para operaciones industriales: gestión de activos, trazabilidad y control operacional a medida. ¿Hay algún proceso en Canon Chile S.A. donde estén evaluando digitalizar o mejorar eficiencia?</t>
        </is>
      </c>
      <c r="G44" s="69" t="n"/>
    </row>
    <row r="45" ht="54" customHeight="1" s="38">
      <c r="A45" s="69" t="inlineStr">
        <is>
          <t>Caxtor</t>
        </is>
      </c>
      <c r="B45" s="69" t="inlineStr">
        <is>
          <t>Brian</t>
        </is>
      </c>
      <c r="C45" s="69" t="inlineStr">
        <is>
          <t>Gte Comercial</t>
        </is>
      </c>
      <c r="D45" s="69" t="inlineStr">
        <is>
          <t>Energía</t>
        </is>
      </c>
      <c r="E45" s="69" t="inlineStr">
        <is>
          <t>https://cl.linkedin.com/in/brian-smith-hanne-901a5a3b</t>
        </is>
      </c>
      <c r="F45" s="70" t="inlineStr">
        <is>
          <t>Hola Brian, en OpenCORE trabajamos con empresas del sector energético en sistemas de monitoreo y gestión de activos eléctricos. ¿Caxtor está evaluando soluciones para mejorar la trazabilidad de operaciones?</t>
        </is>
      </c>
      <c r="G45" s="69" t="n"/>
    </row>
    <row r="46" ht="54" customHeight="1" s="38">
      <c r="A46" s="69" t="inlineStr">
        <is>
          <t>Centro Médico del Trabajador (CMT)</t>
        </is>
      </c>
      <c r="B46" s="69" t="inlineStr">
        <is>
          <t>Ignacio</t>
        </is>
      </c>
      <c r="C46" s="69" t="inlineStr">
        <is>
          <t>Director Innovación</t>
        </is>
      </c>
      <c r="D46" s="69" t="inlineStr">
        <is>
          <t>Industrial</t>
        </is>
      </c>
      <c r="E46" s="69" t="inlineStr">
        <is>
          <t>https://cl.linkedin.com/in/ignacio-henderson-gonzalez-08108754</t>
        </is>
      </c>
      <c r="F46" s="70" t="inlineStr">
        <is>
          <t>Hola Ignacio, en OpenCORE desarrollamos software para operaciones industriales: gestión de activos, trazabilidad y control operacional a medida. ¿Hay algún proceso en Centro Médico del Trabajador (CMT) donde estén evaluando digitalizar o mejorar eficiencia?</t>
        </is>
      </c>
      <c r="G46" s="69" t="n"/>
    </row>
    <row r="47" ht="54" customHeight="1" s="38">
      <c r="A47" s="69" t="inlineStr">
        <is>
          <t>Codelco Chile División Minera Gabriela Mistral</t>
        </is>
      </c>
      <c r="B47" s="69" t="inlineStr">
        <is>
          <t>José</t>
        </is>
      </c>
      <c r="C47" s="69" t="inlineStr">
        <is>
          <t>Gerente Corp Tecnología</t>
        </is>
      </c>
      <c r="D47" s="69" t="inlineStr">
        <is>
          <t>Minería</t>
        </is>
      </c>
      <c r="E47" s="69" t="inlineStr">
        <is>
          <t>https://cl.linkedin.com/in/jose-ramon-abatte-14853839</t>
        </is>
      </c>
      <c r="F47" s="70" t="inlineStr">
        <is>
          <t>Hola José, trabajo con empresas del sector minero en digitalización de operaciones. En OpenCORE construimos sistemas de gestión de activos y trazabilidad para faenas. ¿Están evaluando mejorar el control de procesos críticos en Codelco Chile División Minera Gabriela Mistral?</t>
        </is>
      </c>
      <c r="G47" s="69" t="n"/>
    </row>
    <row r="48" ht="54" customHeight="1" s="38">
      <c r="A48" s="69" t="inlineStr">
        <is>
          <t>Codelco Chile División Salvador</t>
        </is>
      </c>
      <c r="B48" s="69" t="inlineStr">
        <is>
          <t>José</t>
        </is>
      </c>
      <c r="C48" s="69" t="inlineStr">
        <is>
          <t>Gerente Corp Tecnología</t>
        </is>
      </c>
      <c r="D48" s="69" t="inlineStr">
        <is>
          <t>Minería</t>
        </is>
      </c>
      <c r="E48" s="69" t="inlineStr">
        <is>
          <t>https://cl.linkedin.com/in/jose-ramon-abatte-14853839</t>
        </is>
      </c>
      <c r="F48" s="70" t="inlineStr">
        <is>
          <t>Hola José, trabajo con empresas del sector minero en digitalización de operaciones. En OpenCORE construimos sistemas de gestión de activos y trazabilidad para faenas. ¿Están evaluando mejorar el control de procesos críticos en Codelco Chile División Salvador?</t>
        </is>
      </c>
      <c r="G48" s="69" t="n"/>
    </row>
    <row r="49" ht="54" customHeight="1" s="38">
      <c r="A49" s="69" t="inlineStr">
        <is>
          <t>CodelcoTech</t>
        </is>
      </c>
      <c r="B49" s="69" t="inlineStr">
        <is>
          <t>José</t>
        </is>
      </c>
      <c r="C49" s="69" t="inlineStr">
        <is>
          <t>Gerente Corp Tecnología</t>
        </is>
      </c>
      <c r="D49" s="69" t="inlineStr">
        <is>
          <t>Minería</t>
        </is>
      </c>
      <c r="E49" s="69" t="inlineStr">
        <is>
          <t>https://cl.linkedin.com/in/jose-ramon-abatte-14853839</t>
        </is>
      </c>
      <c r="F49" s="70" t="inlineStr">
        <is>
          <t>Hola José, trabajo con empresas del sector minero en digitalización de operaciones. En OpenCORE construimos sistemas de gestión de activos y trazabilidad para faenas. ¿Están evaluando mejorar el control de procesos críticos en CodelcoTech?</t>
        </is>
      </c>
      <c r="G49" s="69" t="n"/>
    </row>
    <row r="50" ht="54" customHeight="1" s="38">
      <c r="A50" s="69" t="inlineStr">
        <is>
          <t>Comaco Servicios Logísticos SpA</t>
        </is>
      </c>
      <c r="B50" s="69" t="inlineStr">
        <is>
          <t>Ariel</t>
        </is>
      </c>
      <c r="C50" s="69" t="inlineStr">
        <is>
          <t>Jefe Proyectos TI</t>
        </is>
      </c>
      <c r="D50" s="69" t="inlineStr">
        <is>
          <t>Arriendo Maq.</t>
        </is>
      </c>
      <c r="E50" s="69" t="inlineStr">
        <is>
          <t>https://cl.linkedin.com/in/ariel-viveros-s%C3%A1ez-a2883650</t>
        </is>
      </c>
      <c r="F50" s="70" t="inlineStr">
        <is>
          <t>Hola Ariel, sé que Comaco Servicios Logísticos SpA trabaja con arriendo de equipos industriales. OpenCORE desarrolla software de control de flota y mantenimiento predictivo. ¿Tienen algún desafío en la gestión de equipos o disponibilidad de activos?</t>
        </is>
      </c>
      <c r="G50" s="69" t="n"/>
    </row>
    <row r="51" ht="54" customHeight="1" s="38">
      <c r="A51" s="69" t="inlineStr">
        <is>
          <t>Comgrap Ltda. / 3D - BIM</t>
        </is>
      </c>
      <c r="B51" s="69" t="inlineStr">
        <is>
          <t>Ricardo</t>
        </is>
      </c>
      <c r="C51" s="69" t="inlineStr">
        <is>
          <t>Gerente General</t>
        </is>
      </c>
      <c r="D51" s="69" t="inlineStr">
        <is>
          <t>Minería</t>
        </is>
      </c>
      <c r="E51" s="69" t="inlineStr">
        <is>
          <t>https://cl.linkedin.com/in/ricardo-rizzi-limone-8b456b31</t>
        </is>
      </c>
      <c r="F51" s="70" t="inlineStr">
        <is>
          <t>Hola Ricardo, trabajo con empresas del sector minero en digitalización de operaciones. En OpenCORE construimos sistemas de gestión de activos y trazabilidad para faenas. ¿Están evaluando mejorar el control de procesos críticos en Comgrap Ltda. / 3D - BIM?</t>
        </is>
      </c>
      <c r="G51" s="69" t="n"/>
    </row>
    <row r="52" ht="54" customHeight="1" s="38">
      <c r="A52" s="69" t="inlineStr">
        <is>
          <t>Constructora Inarco S.A.</t>
        </is>
      </c>
      <c r="B52" s="69" t="inlineStr">
        <is>
          <t>Hugo</t>
        </is>
      </c>
      <c r="C52" s="69" t="inlineStr">
        <is>
          <t>SubGerente TI</t>
        </is>
      </c>
      <c r="D52" s="69" t="inlineStr">
        <is>
          <t>Construcción</t>
        </is>
      </c>
      <c r="E52" s="69" t="inlineStr">
        <is>
          <t>https://cl.linkedin.com/in/mu%C3%B1oz-hugo-02ab903b</t>
        </is>
      </c>
      <c r="F52" s="70" t="inlineStr">
        <is>
          <t>Hola Hugo, vi que Constructora Inarco S.A. trabaja en proyectos de construcción e ingeniería. En OpenCORE hacemos software de control de avance, costos y subcontratos en terreno. ¿Tienen desafíos en la visibilidad de proyectos o control de avance?</t>
        </is>
      </c>
      <c r="G52" s="69" t="n"/>
    </row>
    <row r="53" ht="54" customHeight="1" s="38">
      <c r="A53" s="69" t="inlineStr">
        <is>
          <t>Datamine</t>
        </is>
      </c>
      <c r="B53" s="69" t="inlineStr">
        <is>
          <t>Elio</t>
        </is>
      </c>
      <c r="C53" s="69" t="inlineStr">
        <is>
          <t>Gerente General Hispanoamerica</t>
        </is>
      </c>
      <c r="D53" s="69" t="inlineStr">
        <is>
          <t>Minería</t>
        </is>
      </c>
      <c r="E53" s="69" t="inlineStr">
        <is>
          <t>https://cl.linkedin.com/in/elio-cespedes-b-61763331</t>
        </is>
      </c>
      <c r="F53" s="70" t="inlineStr">
        <is>
          <t>Hola Elio, trabajo con empresas del sector minero en digitalización de operaciones. En OpenCORE construimos sistemas de gestión de activos y trazabilidad para faenas. ¿Están evaluando mejorar el control de procesos críticos en Datamine?</t>
        </is>
      </c>
      <c r="G53" s="69" t="n"/>
    </row>
    <row r="54" ht="54" customHeight="1" s="38">
      <c r="A54" s="69" t="inlineStr">
        <is>
          <t>Dyno Nobel Explosivos Chile</t>
        </is>
      </c>
      <c r="B54" s="69" t="inlineStr">
        <is>
          <t>Julio</t>
        </is>
      </c>
      <c r="C54" s="69" t="inlineStr">
        <is>
          <t>CIO &amp; CISO</t>
        </is>
      </c>
      <c r="D54" s="69" t="inlineStr">
        <is>
          <t>Industrial</t>
        </is>
      </c>
      <c r="E54" s="69" t="inlineStr">
        <is>
          <t>https://cl.linkedin.com/in/julio-solari-40571b13</t>
        </is>
      </c>
      <c r="F54" s="70" t="inlineStr">
        <is>
          <t>Hola Julio, en OpenCORE desarrollamos software para operaciones industriales: gestión de activos, trazabilidad y control operacional a medida. ¿Hay algún proceso en Dyno Nobel Explosivos Chile donde estén evaluando digitalizar o mejorar eficiencia?</t>
        </is>
      </c>
      <c r="G54" s="69" t="n"/>
    </row>
    <row r="55" ht="54" customHeight="1" s="38">
      <c r="A55" s="69" t="inlineStr">
        <is>
          <t>ELB - Transportes Libertador</t>
        </is>
      </c>
      <c r="B55" s="69" t="inlineStr">
        <is>
          <t>Miguel</t>
        </is>
      </c>
      <c r="C55" s="69" t="inlineStr">
        <is>
          <t>Jefe de Sistemas</t>
        </is>
      </c>
      <c r="D55" s="69" t="inlineStr">
        <is>
          <t>Logística</t>
        </is>
      </c>
      <c r="E55" s="69" t="inlineStr">
        <is>
          <t>https://cl.linkedin.com/in/miguel-angel-alvarez-vergara-81b750b6</t>
        </is>
      </c>
      <c r="F55" s="70" t="inlineStr">
        <is>
          <t>Hola Miguel, vi que ELB - Transportes Libertador opera en logística y transporte. En OpenCORE desarrollamos plataformas que conectan tracking, WMS y ERP en tiempo real. ¿Tienen desafíos con visibilidad de carga o trazabilidad operativa?</t>
        </is>
      </c>
      <c r="G55" s="69" t="n"/>
    </row>
    <row r="56" ht="54" customHeight="1" s="38">
      <c r="A56" s="69" t="inlineStr">
        <is>
          <t>EPM Chile S.A.</t>
        </is>
      </c>
      <c r="B56" s="69" t="inlineStr">
        <is>
          <t>Fernando</t>
        </is>
      </c>
      <c r="C56" s="69" t="inlineStr">
        <is>
          <t>Gerente General (Tech Decision Maker</t>
        </is>
      </c>
      <c r="D56" s="69" t="inlineStr">
        <is>
          <t>Construcción</t>
        </is>
      </c>
      <c r="E56" s="69" t="inlineStr">
        <is>
          <t>nan</t>
        </is>
      </c>
      <c r="F56" s="70" t="inlineStr">
        <is>
          <t>Hola Fernando, vi que EPM Chile S.A. trabaja en proyectos de construcción e ingeniería. En OpenCORE hacemos software de control de avance, costos y subcontratos en terreno. ¿Tienen desafíos en la visibilidad de proyectos o control de avance?</t>
        </is>
      </c>
      <c r="G56" s="69" t="n"/>
    </row>
    <row r="57" ht="54" customHeight="1" s="38">
      <c r="A57" s="69" t="inlineStr">
        <is>
          <t>Eaton Chile</t>
        </is>
      </c>
      <c r="B57" s="69" t="inlineStr">
        <is>
          <t>Miguel</t>
        </is>
      </c>
      <c r="C57" s="69" t="inlineStr">
        <is>
          <t>Project Manager</t>
        </is>
      </c>
      <c r="D57" s="69" t="inlineStr">
        <is>
          <t>Energía</t>
        </is>
      </c>
      <c r="E57" s="69" t="inlineStr">
        <is>
          <t>https://cl.linkedin.com/in/miguel-gonzalez-moraga-b3a91962</t>
        </is>
      </c>
      <c r="F57" s="70" t="inlineStr">
        <is>
          <t>Hola Miguel, en OpenCORE trabajamos con empresas del sector energético en sistemas de monitoreo y gestión de activos eléctricos. ¿Eaton Chile está evaluando soluciones para mejorar la trazabilidad de operaciones?</t>
        </is>
      </c>
      <c r="G57" s="69" t="n"/>
    </row>
    <row r="58" ht="54" customHeight="1" s="38">
      <c r="A58" s="69" t="inlineStr">
        <is>
          <t>Ecopreneur Chile S.A.</t>
        </is>
      </c>
      <c r="B58" s="69" t="inlineStr">
        <is>
          <t>Claudio</t>
        </is>
      </c>
      <c r="C58" s="69" t="inlineStr">
        <is>
          <t>Jefe de Tecnologías</t>
        </is>
      </c>
      <c r="D58" s="69" t="inlineStr">
        <is>
          <t>Industrial</t>
        </is>
      </c>
      <c r="E58" s="69" t="inlineStr">
        <is>
          <t>https://cl.linkedin.com/in/claudiofredes/es</t>
        </is>
      </c>
      <c r="F58" s="70" t="inlineStr">
        <is>
          <t>Hola Claudio, en OpenCORE desarrollamos software para operaciones industriales: gestión de activos, trazabilidad y control operacional a medida. ¿Hay algún proceso en Ecopreneur Chile S.A. donde estén evaluando digitalizar o mejorar eficiencia?</t>
        </is>
      </c>
      <c r="G58" s="69" t="n"/>
    </row>
    <row r="59" ht="54" customHeight="1" s="38">
      <c r="A59" s="69" t="inlineStr">
        <is>
          <t>Electroram Telecomunicaciones Ltda.</t>
        </is>
      </c>
      <c r="B59" s="69" t="inlineStr">
        <is>
          <t>Martha</t>
        </is>
      </c>
      <c r="C59" s="69" t="inlineStr">
        <is>
          <t>Gerente Innovación</t>
        </is>
      </c>
      <c r="D59" s="69" t="inlineStr">
        <is>
          <t>TI/Telecom</t>
        </is>
      </c>
      <c r="E59" s="69" t="inlineStr">
        <is>
          <t>https://cl.linkedin.com/in/martha-aguilera-alderete-850117121</t>
        </is>
      </c>
      <c r="F59" s="70" t="inlineStr">
        <is>
          <t>Hola Martha, en OpenCORE desarrollamos software industrial a medida para empresas que digitalizan procesos críticos. ¿Trabajan con clientes industriales donde podría haber sinergia con Electroram Telecomunicaciones Ltda.?</t>
        </is>
      </c>
      <c r="G59" s="69" t="n"/>
    </row>
    <row r="60" ht="54" customHeight="1" s="38">
      <c r="A60" s="69" t="inlineStr">
        <is>
          <t>Elfle Comercial Dos Ltda.</t>
        </is>
      </c>
      <c r="B60" s="69" t="inlineStr">
        <is>
          <t>Gabriel</t>
        </is>
      </c>
      <c r="C60" s="69" t="inlineStr">
        <is>
          <t>Encargado TI</t>
        </is>
      </c>
      <c r="D60" s="69" t="inlineStr">
        <is>
          <t>Energía</t>
        </is>
      </c>
      <c r="E60" s="69" t="inlineStr">
        <is>
          <t>https://cl.linkedin.com/in/gabriel-andres-perez-gonzalez-b72648129</t>
        </is>
      </c>
      <c r="F60" s="70" t="inlineStr">
        <is>
          <t>Hola Gabriel, en OpenCORE trabajamos con empresas del sector energético en sistemas de monitoreo y gestión de activos eléctricos. ¿Elfle Comercial Dos Ltda. está evaluando soluciones para mejorar la trazabilidad de operaciones?</t>
        </is>
      </c>
      <c r="G60" s="69" t="n"/>
    </row>
    <row r="61" ht="54" customHeight="1" s="38">
      <c r="A61" s="69" t="inlineStr">
        <is>
          <t>Empresas Perrot</t>
        </is>
      </c>
      <c r="B61" s="69" t="inlineStr">
        <is>
          <t>Mario</t>
        </is>
      </c>
      <c r="C61" s="69" t="inlineStr">
        <is>
          <t>Gerente TI &amp; Digital</t>
        </is>
      </c>
      <c r="D61" s="69" t="inlineStr">
        <is>
          <t>Logística</t>
        </is>
      </c>
      <c r="E61" s="69" t="inlineStr">
        <is>
          <t>https://cl.linkedin.com/in/marioceronmorales/es</t>
        </is>
      </c>
      <c r="F61" s="70" t="inlineStr">
        <is>
          <t>Hola Mario, vi que Empresas Perrot opera en logística y transporte. En OpenCORE desarrollamos plataformas que conectan tracking, WMS y ERP en tiempo real. ¿Tienen desafíos con visibilidad de carga o trazabilidad operativa?</t>
        </is>
      </c>
      <c r="G61" s="69" t="n"/>
    </row>
    <row r="62" ht="54" customHeight="1" s="38">
      <c r="A62" s="69" t="inlineStr">
        <is>
          <t>Enaex Servicios</t>
        </is>
      </c>
      <c r="B62" s="69" t="inlineStr">
        <is>
          <t>Jose</t>
        </is>
      </c>
      <c r="C62" s="69" t="inlineStr">
        <is>
          <t>Gerente Tecnologia</t>
        </is>
      </c>
      <c r="D62" s="69" t="inlineStr">
        <is>
          <t>Industrial</t>
        </is>
      </c>
      <c r="E62" s="69" t="inlineStr">
        <is>
          <t>https://cl.linkedin.com/in/jcastrogorostiza</t>
        </is>
      </c>
      <c r="F62" s="70" t="inlineStr">
        <is>
          <t>Hola Jose, en OpenCORE desarrollamos software para operaciones industriales: gestión de activos, trazabilidad y control operacional a medida. ¿Hay algún proceso en Enaex Servicios donde estén evaluando digitalizar o mejorar eficiencia?</t>
        </is>
      </c>
      <c r="G62" s="69" t="n"/>
    </row>
    <row r="63" ht="54" customHeight="1" s="38">
      <c r="A63" s="69" t="inlineStr">
        <is>
          <t>Enapac</t>
        </is>
      </c>
      <c r="B63" s="69" t="inlineStr">
        <is>
          <t>Jorge</t>
        </is>
      </c>
      <c r="C63" s="69" t="inlineStr">
        <is>
          <t>Gerente TI</t>
        </is>
      </c>
      <c r="D63" s="69" t="inlineStr">
        <is>
          <t>Industrial</t>
        </is>
      </c>
      <c r="E63" s="69" t="inlineStr">
        <is>
          <t>https://cl.linkedin.com/in/jorge-jaque-gerente-ti</t>
        </is>
      </c>
      <c r="F63" s="70" t="inlineStr">
        <is>
          <t>Hola Jorge, en OpenCORE desarrollamos software para operaciones industriales: gestión de activos, trazabilidad y control operacional a medida. ¿Hay algún proceso en Enapac donde estén evaluando digitalizar o mejorar eficiencia?</t>
        </is>
      </c>
      <c r="G63" s="69" t="n"/>
    </row>
    <row r="64" ht="54" customHeight="1" s="38">
      <c r="A64" s="69" t="inlineStr">
        <is>
          <t>Energías Industriales S.A. (EISA)</t>
        </is>
      </c>
      <c r="B64" s="69" t="inlineStr">
        <is>
          <t>Mario</t>
        </is>
      </c>
      <c r="C64" s="69" t="inlineStr">
        <is>
          <t>Gerente de Operaciones</t>
        </is>
      </c>
      <c r="D64" s="69" t="inlineStr">
        <is>
          <t>Arriendo Maq.</t>
        </is>
      </c>
      <c r="E64" s="69" t="inlineStr">
        <is>
          <t>https://cl.linkedin.com/in/mario-tapia-sottorff</t>
        </is>
      </c>
      <c r="F64" s="70" t="inlineStr">
        <is>
          <t>Hola Mario, sé que Energías Industriales S.A. (EISA) trabaja con arriendo de equipos industriales. OpenCORE desarrolla software de control de flota y mantenimiento predictivo. ¿Tienen algún desafío en la gestión de equipos o disponibilidad de activos?</t>
        </is>
      </c>
      <c r="G64" s="69" t="n"/>
    </row>
    <row r="65" ht="54" customHeight="1" s="38">
      <c r="A65" s="69" t="inlineStr">
        <is>
          <t>Engineering Composites SpA</t>
        </is>
      </c>
      <c r="B65" s="69" t="inlineStr">
        <is>
          <t>Alfredo</t>
        </is>
      </c>
      <c r="C65" s="69" t="inlineStr">
        <is>
          <t>Jefe de Operaciones TI</t>
        </is>
      </c>
      <c r="D65" s="69" t="inlineStr">
        <is>
          <t>Industrial</t>
        </is>
      </c>
      <c r="E65" s="69" t="inlineStr">
        <is>
          <t>https://cl.linkedin.com/in/alfredo-jose-gonzalez-gonzalez-5aa14235</t>
        </is>
      </c>
      <c r="F65" s="70" t="inlineStr">
        <is>
          <t>Hola Alfredo, en OpenCORE desarrollamos software para operaciones industriales: gestión de activos, trazabilidad y control operacional a medida. ¿Hay algún proceso en Engineering Composites SpA donde estén evaluando digitalizar o mejorar eficiencia?</t>
        </is>
      </c>
      <c r="G65" s="69" t="n"/>
    </row>
    <row r="66" ht="54" customHeight="1" s="38">
      <c r="A66" s="69" t="inlineStr">
        <is>
          <t>Esri Chile S.A.</t>
        </is>
      </c>
      <c r="B66" s="69" t="inlineStr">
        <is>
          <t>Ignacio</t>
        </is>
      </c>
      <c r="C66" s="69" t="inlineStr">
        <is>
          <t>IT Leader</t>
        </is>
      </c>
      <c r="D66" s="69" t="inlineStr">
        <is>
          <t>Industrial</t>
        </is>
      </c>
      <c r="E66" s="69" t="inlineStr">
        <is>
          <t>https://cl.linkedin.com/in/ignacio-vergara-lopez-50a109199</t>
        </is>
      </c>
      <c r="F66" s="70" t="inlineStr">
        <is>
          <t>Hola Ignacio, en OpenCORE desarrollamos software para operaciones industriales: gestión de activos, trazabilidad y control operacional a medida. ¿Hay algún proceso en Esri Chile S.A. donde estén evaluando digitalizar o mejorar eficiencia?</t>
        </is>
      </c>
      <c r="G66" s="69" t="n"/>
    </row>
    <row r="67" ht="54" customHeight="1" s="38">
      <c r="A67" s="69" t="inlineStr">
        <is>
          <t>Euro Rent a Car</t>
        </is>
      </c>
      <c r="B67" s="69" t="inlineStr">
        <is>
          <t>Christian</t>
        </is>
      </c>
      <c r="C67" s="69" t="inlineStr">
        <is>
          <t>Sub-Gerente TI</t>
        </is>
      </c>
      <c r="D67" s="69" t="inlineStr">
        <is>
          <t>Arriendo Maq.</t>
        </is>
      </c>
      <c r="E67" s="69" t="inlineStr">
        <is>
          <t>https://cl.linkedin.com/in/christian-meza-b7518292</t>
        </is>
      </c>
      <c r="F67" s="70" t="inlineStr">
        <is>
          <t>Hola Christian, sé que Euro Rent a Car trabaja con arriendo de equipos industriales. OpenCORE desarrolla software de control de flota y mantenimiento predictivo. ¿Tienen algún desafío en la gestión de equipos o disponibilidad de activos?</t>
        </is>
      </c>
      <c r="G67" s="69" t="n"/>
    </row>
    <row r="68" ht="54" customHeight="1" s="38">
      <c r="A68" s="69" t="inlineStr">
        <is>
          <t>Faiveley Transport Chile (Wabtec Corporation)</t>
        </is>
      </c>
      <c r="B68" s="69" t="inlineStr">
        <is>
          <t>Sergio</t>
        </is>
      </c>
      <c r="C68" s="69" t="inlineStr">
        <is>
          <t>Country Manager</t>
        </is>
      </c>
      <c r="D68" s="69" t="inlineStr">
        <is>
          <t>TI/Telecom</t>
        </is>
      </c>
      <c r="E68" s="69" t="inlineStr">
        <is>
          <t>https://cl.linkedin.com/in/sergio-brito-p</t>
        </is>
      </c>
      <c r="F68" s="70" t="inlineStr">
        <is>
          <t>Hola Sergio, en OpenCORE desarrollamos software industrial a medida para empresas que digitalizan procesos críticos. ¿Trabajan con clientes industriales donde podría haber sinergia con Faiveley Transport Chile (Wabtec Corporation)?</t>
        </is>
      </c>
      <c r="G68" s="69" t="n"/>
    </row>
    <row r="69" ht="54" customHeight="1" s="38">
      <c r="A69" s="69" t="inlineStr">
        <is>
          <t>Fenner Dunlop Chile S.A.</t>
        </is>
      </c>
      <c r="B69" s="69" t="inlineStr">
        <is>
          <t>Manuel</t>
        </is>
      </c>
      <c r="C69" s="69" t="inlineStr">
        <is>
          <t>IT Engineer</t>
        </is>
      </c>
      <c r="D69" s="69" t="inlineStr">
        <is>
          <t>Minería</t>
        </is>
      </c>
      <c r="E69" s="69" t="inlineStr">
        <is>
          <t>https://cl.linkedin.com/in/miguel-garcia-63b554134</t>
        </is>
      </c>
      <c r="F69" s="70" t="inlineStr">
        <is>
          <t>Hola Manuel, trabajo con empresas del sector minero en digitalización de operaciones. En OpenCORE construimos sistemas de gestión de activos y trazabilidad para faenas. ¿Están evaluando mejorar el control de procesos críticos en Fenner Dunlop Chile S.A.?</t>
        </is>
      </c>
      <c r="G69" s="69" t="n"/>
    </row>
    <row r="70" ht="54" customHeight="1" s="38">
      <c r="A70" s="69" t="inlineStr">
        <is>
          <t>Ferrocentro - Maestranza Maipú</t>
        </is>
      </c>
      <c r="B70" s="69" t="inlineStr">
        <is>
          <t>Gerente</t>
        </is>
      </c>
      <c r="C70" s="69" t="inlineStr">
        <is>
          <t>Gerente General</t>
        </is>
      </c>
      <c r="D70" s="69" t="inlineStr">
        <is>
          <t>Minería</t>
        </is>
      </c>
      <c r="E70" s="69" t="inlineStr">
        <is>
          <t>https://cl.linkedin.com/in/luis-m%C3%A1rquez-026a1659</t>
        </is>
      </c>
      <c r="F70" s="70" t="inlineStr">
        <is>
          <t>Hola Gerente, trabajo con empresas del sector minero en digitalización de operaciones. En OpenCORE construimos sistemas de gestión de activos y trazabilidad para faenas. ¿Están evaluando mejorar el control de procesos críticos en Ferrocentro - Maestranza Maipú?</t>
        </is>
      </c>
      <c r="G70" s="69" t="n"/>
    </row>
    <row r="71" ht="54" customHeight="1" s="38">
      <c r="A71" s="69" t="inlineStr">
        <is>
          <t>Fertec</t>
        </is>
      </c>
      <c r="B71" s="69" t="inlineStr">
        <is>
          <t>Camilo</t>
        </is>
      </c>
      <c r="C71" s="69" t="inlineStr">
        <is>
          <t>Soporte TI</t>
        </is>
      </c>
      <c r="D71" s="69" t="inlineStr">
        <is>
          <t>Industrial</t>
        </is>
      </c>
      <c r="E71" s="69" t="inlineStr">
        <is>
          <t>https://cl.linkedin.com/in/camilo-rom%C3%A1n-celis-955b2081</t>
        </is>
      </c>
      <c r="F71" s="70" t="inlineStr">
        <is>
          <t>Hola Camilo, en OpenCORE desarrollamos software para operaciones industriales: gestión de activos, trazabilidad y control operacional a medida. ¿Hay algún proceso en Fertec donde estén evaluando digitalizar o mejorar eficiencia?</t>
        </is>
      </c>
      <c r="G71" s="69" t="n"/>
    </row>
    <row r="72" ht="54" customHeight="1" s="38">
      <c r="A72" s="69" t="inlineStr">
        <is>
          <t>Festo S.A.</t>
        </is>
      </c>
      <c r="B72" s="69" t="inlineStr">
        <is>
          <t>Mauricio</t>
        </is>
      </c>
      <c r="C72" s="69" t="inlineStr">
        <is>
          <t>Regional Head of IT</t>
        </is>
      </c>
      <c r="D72" s="69" t="inlineStr">
        <is>
          <t>Automatiz.</t>
        </is>
      </c>
      <c r="E72" s="69" t="inlineStr">
        <is>
          <t>nan</t>
        </is>
      </c>
      <c r="F72" s="70" t="inlineStr">
        <is>
          <t>Hola Mauricio, vi que Festo S.A. trabaja en automatización industrial. En OpenCORE desarrollamos capas de software sobre sistemas SCADA/PLC para análisis y gestión de datos operacionales. ¿Hay proyectos de digitalización en carpeta?</t>
        </is>
      </c>
      <c r="G72" s="69" t="n"/>
    </row>
    <row r="73" ht="54" customHeight="1" s="38">
      <c r="A73" s="69" t="inlineStr">
        <is>
          <t>FitFlow</t>
        </is>
      </c>
      <c r="B73" s="69" t="inlineStr">
        <is>
          <t>Bruno</t>
        </is>
      </c>
      <c r="C73" s="69" t="inlineStr">
        <is>
          <t>Gerente de Operaciones (IT Resp</t>
        </is>
      </c>
      <c r="D73" s="69" t="inlineStr">
        <is>
          <t>Industrial</t>
        </is>
      </c>
      <c r="E73" s="69" t="inlineStr">
        <is>
          <t>https://pe.linkedin.com/in/brunoturrarol</t>
        </is>
      </c>
      <c r="F73" s="70" t="inlineStr">
        <is>
          <t>Hola Bruno, en OpenCORE desarrollamos software para operaciones industriales: gestión de activos, trazabilidad y control operacional a medida. ¿Hay algún proceso en FitFlow donde estén evaluando digitalizar o mejorar eficiencia?</t>
        </is>
      </c>
      <c r="G73" s="69" t="n"/>
    </row>
    <row r="74" ht="54" customHeight="1" s="38">
      <c r="A74" s="69" t="inlineStr">
        <is>
          <t>Flender SpA</t>
        </is>
      </c>
      <c r="B74" s="69" t="inlineStr">
        <is>
          <t>Javier</t>
        </is>
      </c>
      <c r="C74" s="69" t="inlineStr">
        <is>
          <t>Gerente Centro Servicios</t>
        </is>
      </c>
      <c r="D74" s="69" t="inlineStr">
        <is>
          <t>Industrial</t>
        </is>
      </c>
      <c r="E74" s="69" t="inlineStr">
        <is>
          <t>https://cl.linkedin.com/in/javier-iglesias-23599543</t>
        </is>
      </c>
      <c r="F74" s="70" t="inlineStr">
        <is>
          <t>Hola Javier, en OpenCORE desarrollamos software para operaciones industriales: gestión de activos, trazabilidad y control operacional a medida. ¿Hay algún proceso en Flender SpA donde estén evaluando digitalizar o mejorar eficiencia?</t>
        </is>
      </c>
      <c r="G74" s="69" t="n"/>
    </row>
    <row r="75" ht="54" customHeight="1" s="38">
      <c r="A75" s="69" t="inlineStr">
        <is>
          <t>Flexco de Chile SpA</t>
        </is>
      </c>
      <c r="B75" s="69" t="inlineStr">
        <is>
          <t>Franklin</t>
        </is>
      </c>
      <c r="C75" s="69" t="inlineStr">
        <is>
          <t>Gerente Operaciones</t>
        </is>
      </c>
      <c r="D75" s="69" t="inlineStr">
        <is>
          <t>Repuestos</t>
        </is>
      </c>
      <c r="E75" s="69" t="inlineStr">
        <is>
          <t>https://cl.linkedin.com/in/franklin-jos%C3%A9-mendoza-rosario-7b667575</t>
        </is>
      </c>
      <c r="F75" s="70" t="inlineStr">
        <is>
          <t>Hola Franklin, en OpenCORE construimos software para empresas de repuestos y mantención: control de stock, trazabilidad de fallas y planificación de mantenimiento. ¿Tienen algún dolor en gestión de inventario o tiempo de respuesta?</t>
        </is>
      </c>
      <c r="G75" s="69" t="n"/>
    </row>
    <row r="76" ht="54" customHeight="1" s="38">
      <c r="A76" s="69" t="inlineStr">
        <is>
          <t>Fourthane</t>
        </is>
      </c>
      <c r="B76" s="69" t="inlineStr">
        <is>
          <t>Gerente</t>
        </is>
      </c>
      <c r="C76" s="69" t="inlineStr">
        <is>
          <t>Gerente Innovación</t>
        </is>
      </c>
      <c r="D76" s="69" t="inlineStr">
        <is>
          <t>Repuestos</t>
        </is>
      </c>
      <c r="E76" s="69" t="inlineStr">
        <is>
          <t>https://cl.linkedin.com/in/maria-ignacia-fourt-pimentel</t>
        </is>
      </c>
      <c r="F76" s="70" t="inlineStr">
        <is>
          <t>Hola Gerente, en OpenCORE construimos software para empresas de repuestos y mantención: control de stock, trazabilidad de fallas y planificación de mantenimiento. ¿Tienen algún dolor en gestión de inventario o tiempo de respuesta?</t>
        </is>
      </c>
      <c r="G76" s="69" t="n"/>
    </row>
    <row r="77" ht="54" customHeight="1" s="38">
      <c r="A77" s="69" t="inlineStr">
        <is>
          <t>Freeport-Mcmoran South America</t>
        </is>
      </c>
      <c r="B77" s="69" t="inlineStr">
        <is>
          <t>Mario</t>
        </is>
      </c>
      <c r="C77" s="69" t="inlineStr">
        <is>
          <t>Country Manager</t>
        </is>
      </c>
      <c r="D77" s="69" t="inlineStr">
        <is>
          <t>Minería</t>
        </is>
      </c>
      <c r="E77" s="69" t="inlineStr">
        <is>
          <t>https://cl.linkedin.com/in/mariolarenasgonzalez</t>
        </is>
      </c>
      <c r="F77" s="70" t="inlineStr">
        <is>
          <t>Hola Mario, trabajo con empresas del sector minero en digitalización de operaciones. En OpenCORE construimos sistemas de gestión de activos y trazabilidad para faenas. ¿Están evaluando mejorar el control de procesos críticos en Freeport-Mcmoran South America?</t>
        </is>
      </c>
      <c r="G77" s="69" t="n"/>
    </row>
    <row r="78" ht="54" customHeight="1" s="38">
      <c r="A78" s="69" t="inlineStr">
        <is>
          <t>Fundación Ceduc - UCN (Centro de Educación y Capacitación de la U. Católica del Norte)</t>
        </is>
      </c>
      <c r="B78" s="69" t="inlineStr">
        <is>
          <t>Claudio</t>
        </is>
      </c>
      <c r="C78" s="69" t="inlineStr">
        <is>
          <t>Jefe TI</t>
        </is>
      </c>
      <c r="D78" s="69" t="inlineStr">
        <is>
          <t>Minería</t>
        </is>
      </c>
      <c r="E78" s="69" t="inlineStr">
        <is>
          <t>https://cl.linkedin.com/in/claudio-fredes-f-7492456a</t>
        </is>
      </c>
      <c r="F78" s="70" t="inlineStr">
        <is>
          <t>Hola Claudio, trabajo con empresas del sector minero en digitalización de operaciones. En OpenCORE construimos sistemas de gestión de activos y trazabilidad para faenas. ¿Están evaluando mejorar el control de procesos críticos en Fundación Ceduc - UCN (Centro de Educación y Capacitación de la U. Católica del Norte)?</t>
        </is>
      </c>
      <c r="G78" s="69" t="n"/>
    </row>
    <row r="79" ht="54" customHeight="1" s="38">
      <c r="A79" s="69" t="inlineStr">
        <is>
          <t>Fundación Chile</t>
        </is>
      </c>
      <c r="B79" s="69" t="inlineStr">
        <is>
          <t>Iván</t>
        </is>
      </c>
      <c r="C79" s="69" t="inlineStr">
        <is>
          <t>Subgerente Tecnología</t>
        </is>
      </c>
      <c r="D79" s="69" t="inlineStr">
        <is>
          <t>Servicios</t>
        </is>
      </c>
      <c r="E79" s="69" t="inlineStr">
        <is>
          <t>https://cl.linkedin.com/in/ivancordova76</t>
        </is>
      </c>
      <c r="F79" s="70" t="inlineStr">
        <is>
          <t>Hola Iván, en OpenCORE desarrollamos software para empresas de servicios profesionales que buscan digitalizar la gestión de proyectos y clientes. ¿Hay algún proceso en Fundación Chile que estén evaluando optimizar?</t>
        </is>
      </c>
      <c r="G79" s="69" t="n"/>
    </row>
    <row r="80" ht="54" customHeight="1" s="38">
      <c r="A80" s="69" t="inlineStr">
        <is>
          <t>Fundición Chagres - Anglo American Sur</t>
        </is>
      </c>
      <c r="B80" s="69" t="inlineStr">
        <is>
          <t>Rodrigo</t>
        </is>
      </c>
      <c r="C80" s="69" t="inlineStr">
        <is>
          <t>VP Tech &amp; Innov</t>
        </is>
      </c>
      <c r="D80" s="69" t="inlineStr">
        <is>
          <t>Minería</t>
        </is>
      </c>
      <c r="E80" s="69" t="inlineStr">
        <is>
          <t>https://cl.linkedin.com/in/rodrigo-subiabre-84130844</t>
        </is>
      </c>
      <c r="F80" s="70" t="inlineStr">
        <is>
          <t>Hola Rodrigo, trabajo con empresas del sector minero en digitalización de operaciones. En OpenCORE construimos sistemas de gestión de activos y trazabilidad para faenas. ¿Están evaluando mejorar el control de procesos críticos en Fundición Chagres - Anglo American Sur?</t>
        </is>
      </c>
      <c r="G80" s="69" t="n"/>
    </row>
    <row r="81" ht="54" customHeight="1" s="38">
      <c r="A81" s="69" t="inlineStr">
        <is>
          <t>GE Mining</t>
        </is>
      </c>
      <c r="B81" s="69" t="inlineStr">
        <is>
          <t>Franco</t>
        </is>
      </c>
      <c r="C81" s="69" t="inlineStr">
        <is>
          <t>Digital Mining</t>
        </is>
      </c>
      <c r="D81" s="69" t="inlineStr">
        <is>
          <t>Minería</t>
        </is>
      </c>
      <c r="E81" s="69" t="inlineStr">
        <is>
          <t>https://cl.linkedin.com/in/franco-francino-65b32810</t>
        </is>
      </c>
      <c r="F81" s="70" t="inlineStr">
        <is>
          <t>Hola Franco, trabajo con empresas del sector minero en digitalización de operaciones. En OpenCORE construimos sistemas de gestión de activos y trazabilidad para faenas. ¿Están evaluando mejorar el control de procesos críticos en GE Mining?</t>
        </is>
      </c>
      <c r="G81" s="69" t="n"/>
    </row>
    <row r="82" ht="54" customHeight="1" s="38">
      <c r="A82" s="69" t="inlineStr">
        <is>
          <t>GEA Chile</t>
        </is>
      </c>
      <c r="B82" s="69" t="inlineStr">
        <is>
          <t>Francisco</t>
        </is>
      </c>
      <c r="C82" s="69" t="inlineStr">
        <is>
          <t>Soluciones Digitales</t>
        </is>
      </c>
      <c r="D82" s="69" t="inlineStr">
        <is>
          <t>Industrial</t>
        </is>
      </c>
      <c r="E82" s="69" t="inlineStr">
        <is>
          <t>https://cl.linkedin.com/in/francisco-mi%C3%B1o-kraus-21782715</t>
        </is>
      </c>
      <c r="F82" s="70" t="inlineStr">
        <is>
          <t>Hola Francisco, en OpenCORE desarrollamos software para operaciones industriales: gestión de activos, trazabilidad y control operacional a medida. ¿Hay algún proceso en GEA Chile donde estén evaluando digitalizar o mejorar eficiencia?</t>
        </is>
      </c>
      <c r="G82" s="69" t="n"/>
    </row>
    <row r="83" ht="54" customHeight="1" s="38">
      <c r="A83" s="69" t="inlineStr">
        <is>
          <t>GL Group</t>
        </is>
      </c>
      <c r="B83" s="69" t="inlineStr">
        <is>
          <t>Luis</t>
        </is>
      </c>
      <c r="C83" s="69" t="inlineStr">
        <is>
          <t>Gerente Operaciones</t>
        </is>
      </c>
      <c r="D83" s="69" t="inlineStr">
        <is>
          <t>Industrial</t>
        </is>
      </c>
      <c r="E83" s="69" t="inlineStr">
        <is>
          <t>https://cl.linkedin.com/in/luis-caravello-98417366</t>
        </is>
      </c>
      <c r="F83" s="70" t="inlineStr">
        <is>
          <t>Hola Luis, en OpenCORE desarrollamos software para operaciones industriales: gestión de activos, trazabilidad y control operacional a medida. ¿Hay algún proceso en GL Group donde estén evaluando digitalizar o mejorar eficiencia?</t>
        </is>
      </c>
      <c r="G83" s="69" t="n"/>
    </row>
    <row r="84" ht="54" customHeight="1" s="38">
      <c r="A84" s="69" t="inlineStr">
        <is>
          <t>GPS Chile SpA</t>
        </is>
      </c>
      <c r="B84" s="69" t="inlineStr">
        <is>
          <t>Tomás</t>
        </is>
      </c>
      <c r="C84" s="69" t="inlineStr">
        <is>
          <t>Gte Innovación y Producto</t>
        </is>
      </c>
      <c r="D84" s="69" t="inlineStr">
        <is>
          <t>Industrial</t>
        </is>
      </c>
      <c r="E84" s="69" t="inlineStr">
        <is>
          <t>https://cl.linkedin.com/in/tomas-gantes</t>
        </is>
      </c>
      <c r="F84" s="70" t="inlineStr">
        <is>
          <t>Hola Tomás, en OpenCORE desarrollamos software para operaciones industriales: gestión de activos, trazabilidad y control operacional a medida. ¿Hay algún proceso en GPS Chile SpA donde estén evaluando digitalizar o mejorar eficiencia?</t>
        </is>
      </c>
      <c r="G84" s="69" t="n"/>
    </row>
    <row r="85" ht="54" customHeight="1" s="38">
      <c r="A85" s="69" t="inlineStr">
        <is>
          <t>Gasco</t>
        </is>
      </c>
      <c r="B85" s="69" t="inlineStr">
        <is>
          <t>Guillermo</t>
        </is>
      </c>
      <c r="C85" s="69" t="inlineStr">
        <is>
          <t>Gte Corp Tecnología</t>
        </is>
      </c>
      <c r="D85" s="69" t="inlineStr">
        <is>
          <t>Energía</t>
        </is>
      </c>
      <c r="E85" s="69" t="inlineStr">
        <is>
          <t>https://cl.linkedin.com/in/guillermo-salazar-pe%C3%B1a-78096333</t>
        </is>
      </c>
      <c r="F85" s="70" t="inlineStr">
        <is>
          <t>Hola Guillermo, en OpenCORE trabajamos con empresas del sector energético en sistemas de monitoreo y gestión de activos eléctricos. ¿Gasco está evaluando soluciones para mejorar la trazabilidad de operaciones?</t>
        </is>
      </c>
      <c r="G85" s="69" t="n"/>
    </row>
    <row r="86" ht="54" customHeight="1" s="38">
      <c r="A86" s="69" t="inlineStr">
        <is>
          <t>Gauss Control</t>
        </is>
      </c>
      <c r="B86" s="69" t="inlineStr">
        <is>
          <t>José</t>
        </is>
      </c>
      <c r="C86" s="69" t="inlineStr">
        <is>
          <t>Founder/CEO</t>
        </is>
      </c>
      <c r="D86" s="69" t="inlineStr">
        <is>
          <t>TI/Telecom</t>
        </is>
      </c>
      <c r="E86" s="69" t="inlineStr">
        <is>
          <t>https://cl.linkedin.com/in/jos%C3%A9-rafael-campino-444a2239</t>
        </is>
      </c>
      <c r="F86" s="70" t="inlineStr">
        <is>
          <t>Hola José, en OpenCORE desarrollamos software industrial a medida para empresas que digitalizan procesos críticos. ¿Trabajan con clientes industriales donde podría haber sinergia con Gauss Control?</t>
        </is>
      </c>
      <c r="G86" s="69" t="n"/>
    </row>
    <row r="87" ht="54" customHeight="1" s="38">
      <c r="A87" s="69" t="inlineStr">
        <is>
          <t>Geo Operaciones Ltda.</t>
        </is>
      </c>
      <c r="B87" s="69" t="inlineStr">
        <is>
          <t>Ricardo</t>
        </is>
      </c>
      <c r="C87" s="69" t="inlineStr">
        <is>
          <t>Jefe de Informática</t>
        </is>
      </c>
      <c r="D87" s="69" t="inlineStr">
        <is>
          <t>Minería</t>
        </is>
      </c>
      <c r="E87" s="69" t="inlineStr">
        <is>
          <t>nan</t>
        </is>
      </c>
      <c r="F87" s="70" t="inlineStr">
        <is>
          <t>Hola Ricardo, trabajo con empresas del sector minero en digitalización de operaciones. En OpenCORE construimos sistemas de gestión de activos y trazabilidad para faenas. ¿Están evaluando mejorar el control de procesos críticos en Geo Operaciones Ltda.?</t>
        </is>
      </c>
      <c r="G87" s="69" t="n"/>
    </row>
    <row r="88" ht="54" customHeight="1" s="38">
      <c r="A88" s="69" t="inlineStr">
        <is>
          <t>Geobarra Exins S.A.</t>
        </is>
      </c>
      <c r="B88" s="69" t="inlineStr">
        <is>
          <t>Emilio</t>
        </is>
      </c>
      <c r="C88" s="69" t="inlineStr">
        <is>
          <t>Gerente de Operaciones</t>
        </is>
      </c>
      <c r="D88" s="69" t="inlineStr">
        <is>
          <t>Industrial</t>
        </is>
      </c>
      <c r="E88" s="69" t="inlineStr">
        <is>
          <t>https://cl.linkedin.com/in/emilio-hern%C3%A1n-brice%C3%B1o-henr%C3%ADquez-2666a8292</t>
        </is>
      </c>
      <c r="F88" s="70" t="inlineStr">
        <is>
          <t>Hola Emilio, en OpenCORE desarrollamos software para operaciones industriales: gestión de activos, trazabilidad y control operacional a medida. ¿Hay algún proceso en Geobarra Exins S.A. donde estén evaluando digitalizar o mejorar eficiencia?</t>
        </is>
      </c>
      <c r="G88" s="69" t="n"/>
    </row>
    <row r="89" ht="54" customHeight="1" s="38">
      <c r="A89" s="69" t="inlineStr">
        <is>
          <t>Gestión Ambiental Consultores S.A.</t>
        </is>
      </c>
      <c r="B89" s="69" t="inlineStr">
        <is>
          <t>Daniel</t>
        </is>
      </c>
      <c r="C89" s="69" t="inlineStr">
        <is>
          <t>Jefe de TI</t>
        </is>
      </c>
      <c r="D89" s="69" t="inlineStr">
        <is>
          <t>Servicios</t>
        </is>
      </c>
      <c r="E89" s="69" t="inlineStr">
        <is>
          <t>nan</t>
        </is>
      </c>
      <c r="F89" s="70" t="inlineStr">
        <is>
          <t>Hola Daniel, en OpenCORE desarrollamos software para empresas de servicios profesionales que buscan digitalizar la gestión de proyectos y clientes. ¿Hay algún proceso en Gestión Ambiental Consultores S.A. que estén evaluando optimizar?</t>
        </is>
      </c>
      <c r="G89" s="69" t="n"/>
    </row>
    <row r="90" ht="54" customHeight="1" s="38">
      <c r="A90" s="69" t="inlineStr">
        <is>
          <t>Glencore Chile</t>
        </is>
      </c>
      <c r="B90" s="69" t="inlineStr">
        <is>
          <t>Javier</t>
        </is>
      </c>
      <c r="C90" s="69" t="inlineStr">
        <is>
          <t>Regional IT Leader</t>
        </is>
      </c>
      <c r="D90" s="69" t="inlineStr">
        <is>
          <t>Minería</t>
        </is>
      </c>
      <c r="E90" s="69" t="inlineStr">
        <is>
          <t>https://cl.linkedin.com/in/javier-zamudio-2334ba2</t>
        </is>
      </c>
      <c r="F90" s="70" t="inlineStr">
        <is>
          <t>Hola Javier, trabajo con empresas del sector minero en digitalización de operaciones. En OpenCORE construimos sistemas de gestión de activos y trazabilidad para faenas. ¿Están evaluando mejorar el control de procesos críticos en Glencore Chile?</t>
        </is>
      </c>
      <c r="G90" s="69" t="n"/>
    </row>
    <row r="91" ht="54" customHeight="1" s="38">
      <c r="A91" s="69" t="inlineStr">
        <is>
          <t>Grafton Recruitment</t>
        </is>
      </c>
      <c r="B91" s="69" t="inlineStr">
        <is>
          <t>Marcelo</t>
        </is>
      </c>
      <c r="C91" s="69" t="inlineStr">
        <is>
          <t>Analista TI</t>
        </is>
      </c>
      <c r="D91" s="69" t="inlineStr">
        <is>
          <t>Industrial</t>
        </is>
      </c>
      <c r="E91" s="69" t="inlineStr">
        <is>
          <t>nan</t>
        </is>
      </c>
      <c r="F91" s="70" t="inlineStr">
        <is>
          <t>Hola Marcelo, en OpenCORE desarrollamos software para operaciones industriales: gestión de activos, trazabilidad y control operacional a medida. ¿Hay algún proceso en Grafton Recruitment donde estén evaluando digitalizar o mejorar eficiencia?</t>
        </is>
      </c>
      <c r="G91" s="69" t="n"/>
    </row>
    <row r="92" ht="54" customHeight="1" s="38">
      <c r="A92" s="69" t="inlineStr">
        <is>
          <t>Grandleasing</t>
        </is>
      </c>
      <c r="B92" s="69" t="inlineStr">
        <is>
          <t>Marco</t>
        </is>
      </c>
      <c r="C92" s="69" t="inlineStr">
        <is>
          <t>Jefe de TI</t>
        </is>
      </c>
      <c r="D92" s="69" t="inlineStr">
        <is>
          <t>Energía</t>
        </is>
      </c>
      <c r="E92" s="69" t="inlineStr">
        <is>
          <t>https://cl.linkedin.com/in/marco-rojas-8814601aa</t>
        </is>
      </c>
      <c r="F92" s="70" t="inlineStr">
        <is>
          <t>Hola Marco, en OpenCORE trabajamos con empresas del sector energético en sistemas de monitoreo y gestión de activos eléctricos. ¿Grandleasing está evaluando soluciones para mejorar la trazabilidad de operaciones?</t>
        </is>
      </c>
      <c r="G92" s="69" t="n"/>
    </row>
    <row r="93" ht="54" customHeight="1" s="38">
      <c r="A93" s="69" t="inlineStr">
        <is>
          <t>Grupo Avanza</t>
        </is>
      </c>
      <c r="B93" s="69" t="inlineStr">
        <is>
          <t>Carlos</t>
        </is>
      </c>
      <c r="C93" s="69" t="inlineStr">
        <is>
          <t>Gerente Avanza Tech</t>
        </is>
      </c>
      <c r="D93" s="69" t="inlineStr">
        <is>
          <t>Industrial</t>
        </is>
      </c>
      <c r="E93" s="69" t="inlineStr">
        <is>
          <t>https://cl.linkedin.com/in/carlos-recabarren-46487627</t>
        </is>
      </c>
      <c r="F93" s="70" t="inlineStr">
        <is>
          <t>Hola Carlos, en OpenCORE desarrollamos software para operaciones industriales: gestión de activos, trazabilidad y control operacional a medida. ¿Hay algún proceso en Grupo Avanza donde estén evaluando digitalizar o mejorar eficiencia?</t>
        </is>
      </c>
      <c r="G93" s="69" t="n"/>
    </row>
    <row r="94" ht="54" customHeight="1" s="38">
      <c r="A94" s="69" t="inlineStr">
        <is>
          <t>Grupo Eulen Chile</t>
        </is>
      </c>
      <c r="B94" s="69" t="inlineStr">
        <is>
          <t>Pablo</t>
        </is>
      </c>
      <c r="C94" s="69" t="inlineStr">
        <is>
          <t>Gerente Op. Seg. Electrónica</t>
        </is>
      </c>
      <c r="D94" s="69" t="inlineStr">
        <is>
          <t>Seguridad/EPP</t>
        </is>
      </c>
      <c r="E94" s="69" t="inlineStr">
        <is>
          <t>https://cl.linkedin.com/in/pablo-ignacio-flores-7aa484106</t>
        </is>
      </c>
      <c r="F94" s="70" t="inlineStr">
        <is>
          <t>Hola Pablo, trabajo con distribuidores de EPP e industria química. En OpenCORE desarrollamos plataformas B2B para inventario, pedidos y trazabilidad. ¿Grupo Eulen Chile tiene desafíos en gestión de inventario o canal de ventas B2B?</t>
        </is>
      </c>
      <c r="G94" s="69" t="n"/>
    </row>
    <row r="95" ht="54" customHeight="1" s="38">
      <c r="A95" s="69" t="inlineStr">
        <is>
          <t>Grúas y Equipos Cruz del Sur</t>
        </is>
      </c>
      <c r="B95" s="69" t="inlineStr">
        <is>
          <t>José</t>
        </is>
      </c>
      <c r="C95" s="69" t="inlineStr">
        <is>
          <t>Gerente TI Corporativo</t>
        </is>
      </c>
      <c r="D95" s="69" t="inlineStr">
        <is>
          <t>Arriendo Maq.</t>
        </is>
      </c>
      <c r="E95" s="69" t="inlineStr">
        <is>
          <t>https://cl.linkedin.com/in/jos%C3%A9-andr%C3%A3%C2%A9s-castro-borquez-0036b2225</t>
        </is>
      </c>
      <c r="F95" s="70" t="inlineStr">
        <is>
          <t>Hola José, sé que Grúas y Equipos Cruz del Sur trabaja con arriendo de equipos industriales. OpenCORE desarrolla software de control de flota y mantenimiento predictivo. ¿Tienen algún desafío en la gestión de equipos o disponibilidad de activos?</t>
        </is>
      </c>
      <c r="G95" s="69" t="n"/>
    </row>
    <row r="96" ht="54" customHeight="1" s="38">
      <c r="A96" s="69" t="inlineStr">
        <is>
          <t>HidroMobile S.A.</t>
        </is>
      </c>
      <c r="B96" s="69" t="inlineStr">
        <is>
          <t>Fernando</t>
        </is>
      </c>
      <c r="C96" s="69" t="inlineStr">
        <is>
          <t>Jefe de Sistemas Logísticos</t>
        </is>
      </c>
      <c r="D96" s="69" t="inlineStr">
        <is>
          <t>Energía</t>
        </is>
      </c>
      <c r="E96" s="69" t="inlineStr">
        <is>
          <t>https://cl.linkedin.com/in/fernando-mattus</t>
        </is>
      </c>
      <c r="F96" s="70" t="inlineStr">
        <is>
          <t>Hola Fernando, en OpenCORE trabajamos con empresas del sector energético en sistemas de monitoreo y gestión de activos eléctricos. ¿HidroMobile S.A. está evaluando soluciones para mejorar la trazabilidad de operaciones?</t>
        </is>
      </c>
      <c r="G96" s="69" t="n"/>
    </row>
    <row r="97" ht="54" customHeight="1" s="38">
      <c r="A97" s="69" t="inlineStr">
        <is>
          <t>HidroTattersall</t>
        </is>
      </c>
      <c r="B97" s="69" t="inlineStr">
        <is>
          <t>Ivan</t>
        </is>
      </c>
      <c r="C97" s="69" t="inlineStr">
        <is>
          <t>Gerente General</t>
        </is>
      </c>
      <c r="D97" s="69" t="inlineStr">
        <is>
          <t>Industrial</t>
        </is>
      </c>
      <c r="E97" s="69" t="inlineStr">
        <is>
          <t>https://cl.linkedin.com/in/ivan-correa-1a99a02a</t>
        </is>
      </c>
      <c r="F97" s="70" t="inlineStr">
        <is>
          <t>Hola Ivan, en OpenCORE desarrollamos software para operaciones industriales: gestión de activos, trazabilidad y control operacional a medida. ¿Hay algún proceso en HidroTattersall donde estén evaluando digitalizar o mejorar eficiencia?</t>
        </is>
      </c>
      <c r="G97" s="69" t="n"/>
    </row>
    <row r="98" ht="54" customHeight="1" s="38">
      <c r="A98" s="69" t="inlineStr">
        <is>
          <t>Hidronor Chile</t>
        </is>
      </c>
      <c r="B98" s="69" t="inlineStr">
        <is>
          <t>Jorge</t>
        </is>
      </c>
      <c r="C98" s="69" t="inlineStr">
        <is>
          <t>Gerente General</t>
        </is>
      </c>
      <c r="D98" s="69" t="inlineStr">
        <is>
          <t>Logística</t>
        </is>
      </c>
      <c r="E98" s="69" t="inlineStr">
        <is>
          <t>https://cl.linkedin.com/in/jorge-stagno-9a4a511a</t>
        </is>
      </c>
      <c r="F98" s="70" t="inlineStr">
        <is>
          <t>Hola Jorge, vi que Hidronor Chile opera en logística y transporte. En OpenCORE desarrollamos plataformas que conectan tracking, WMS y ERP en tiempo real. ¿Tienen desafíos con visibilidad de carga o trazabilidad operativa?</t>
        </is>
      </c>
      <c r="G98" s="69" t="n"/>
    </row>
    <row r="99" ht="54" customHeight="1" s="38">
      <c r="A99" s="69" t="inlineStr">
        <is>
          <t>Hino Chile</t>
        </is>
      </c>
      <c r="B99" s="69" t="inlineStr">
        <is>
          <t>Antonio</t>
        </is>
      </c>
      <c r="C99" s="69" t="inlineStr">
        <is>
          <t>Gerente General</t>
        </is>
      </c>
      <c r="D99" s="69" t="inlineStr">
        <is>
          <t>Logística</t>
        </is>
      </c>
      <c r="E99" s="69" t="inlineStr">
        <is>
          <t>https://cl.linkedin.com/in/antoniobelartfabbri</t>
        </is>
      </c>
      <c r="F99" s="70" t="inlineStr">
        <is>
          <t>Hola Antonio, vi que Hino Chile opera en logística y transporte. En OpenCORE desarrollamos plataformas que conectan tracking, WMS y ERP en tiempo real. ¿Tienen desafíos con visibilidad de carga o trazabilidad operativa?</t>
        </is>
      </c>
      <c r="G99" s="69" t="n"/>
    </row>
    <row r="100" ht="54" customHeight="1" s="38">
      <c r="A100" s="69" t="inlineStr">
        <is>
          <t>Hytera Chile</t>
        </is>
      </c>
      <c r="B100" s="69" t="inlineStr">
        <is>
          <t>Claudio</t>
        </is>
      </c>
      <c r="C100" s="69" t="inlineStr">
        <is>
          <t>Ingeniero Superior Campo</t>
        </is>
      </c>
      <c r="D100" s="69" t="inlineStr">
        <is>
          <t>Industrial</t>
        </is>
      </c>
      <c r="E100" s="69" t="inlineStr">
        <is>
          <t>https://cl.linkedin.com/in/claudio-l%C3%B3pez-410a654a</t>
        </is>
      </c>
      <c r="F100" s="70" t="inlineStr">
        <is>
          <t>Hola Claudio, en OpenCORE desarrollamos software para operaciones industriales: gestión de activos, trazabilidad y control operacional a medida. ¿Hay algún proceso en Hytera Chile donde estén evaluando digitalizar o mejorar eficiencia?</t>
        </is>
      </c>
      <c r="G100" s="69" t="n"/>
    </row>
    <row r="101" ht="54" customHeight="1" s="38">
      <c r="A101" s="69" t="inlineStr">
        <is>
          <t>Icheck Cargo International Logistics</t>
        </is>
      </c>
      <c r="B101" s="69" t="inlineStr">
        <is>
          <t>Ingrid</t>
        </is>
      </c>
      <c r="C101" s="69" t="inlineStr">
        <is>
          <t>CEO &amp; Co-Founder</t>
        </is>
      </c>
      <c r="D101" s="69" t="inlineStr">
        <is>
          <t>Logística</t>
        </is>
      </c>
      <c r="E101" s="69" t="inlineStr">
        <is>
          <t>https://cl.linkedin.com/in/ingrid-montecino-diaz-5a95b024</t>
        </is>
      </c>
      <c r="F101" s="70" t="inlineStr">
        <is>
          <t>Hola Ingrid, vi que Icheck Cargo International Logistics opera en logística y transporte. En OpenCORE desarrollamos plataformas que conectan tracking, WMS y ERP en tiempo real. ¿Tienen desafíos con visibilidad de carga o trazabilidad operativa?</t>
        </is>
      </c>
      <c r="G101" s="69" t="n"/>
    </row>
    <row r="102" ht="54" customHeight="1" s="38">
      <c r="A102" s="69" t="inlineStr">
        <is>
          <t>Ienlace SpA</t>
        </is>
      </c>
      <c r="B102" s="69" t="inlineStr">
        <is>
          <t>Eduardo</t>
        </is>
      </c>
      <c r="C102" s="69" t="inlineStr">
        <is>
          <t>Gerente General</t>
        </is>
      </c>
      <c r="D102" s="69" t="inlineStr">
        <is>
          <t>Industrial</t>
        </is>
      </c>
      <c r="E102" s="69" t="inlineStr">
        <is>
          <t>https://cl.linkedin.com/in/eduardo-vial-lavin-61016710</t>
        </is>
      </c>
      <c r="F102" s="70" t="inlineStr">
        <is>
          <t>Hola Eduardo, en OpenCORE desarrollamos software para operaciones industriales: gestión de activos, trazabilidad y control operacional a medida. ¿Hay algún proceso en Ienlace SpA donde estén evaluando digitalizar o mejorar eficiencia?</t>
        </is>
      </c>
      <c r="G102" s="69" t="n"/>
    </row>
    <row r="103" ht="54" customHeight="1" s="38">
      <c r="A103" s="69" t="inlineStr">
        <is>
          <t>Indemin S.A.</t>
        </is>
      </c>
      <c r="B103" s="69" t="inlineStr">
        <is>
          <t>Gerente</t>
        </is>
      </c>
      <c r="C103" s="69" t="inlineStr">
        <is>
          <t>Gerente Servicios</t>
        </is>
      </c>
      <c r="D103" s="69" t="inlineStr">
        <is>
          <t>Industrial</t>
        </is>
      </c>
      <c r="E103" s="69" t="inlineStr">
        <is>
          <t>nan</t>
        </is>
      </c>
      <c r="F103" s="70" t="inlineStr">
        <is>
          <t>Hola Gerente, en OpenCORE desarrollamos software para operaciones industriales: gestión de activos, trazabilidad y control operacional a medida. ¿Hay algún proceso en Indemin S.A. donde estén evaluando digitalizar o mejorar eficiencia?</t>
        </is>
      </c>
      <c r="G103" s="69" t="n"/>
    </row>
    <row r="104" ht="54" customHeight="1" s="38">
      <c r="A104" s="69" t="inlineStr">
        <is>
          <t>Ipacer S.A.</t>
        </is>
      </c>
      <c r="B104" s="69" t="inlineStr">
        <is>
          <t>Marco</t>
        </is>
      </c>
      <c r="C104" s="69" t="inlineStr">
        <is>
          <t>Gerente Comercial</t>
        </is>
      </c>
      <c r="D104" s="69" t="inlineStr">
        <is>
          <t>Minería</t>
        </is>
      </c>
      <c r="E104" s="69" t="inlineStr">
        <is>
          <t>https://cl.linkedin.com/in/marco-gonzalez-16346714</t>
        </is>
      </c>
      <c r="F104" s="70" t="inlineStr">
        <is>
          <t>Hola Marco, trabajo con empresas del sector minero en digitalización de operaciones. En OpenCORE construimos sistemas de gestión de activos y trazabilidad para faenas. ¿Están evaluando mejorar el control de procesos críticos en Ipacer S.A.?</t>
        </is>
      </c>
      <c r="G104" s="69" t="n"/>
    </row>
    <row r="105" ht="54" customHeight="1" s="38">
      <c r="A105" s="69" t="inlineStr">
        <is>
          <t>Iron Mountain</t>
        </is>
      </c>
      <c r="B105" s="69" t="inlineStr">
        <is>
          <t>Manuel</t>
        </is>
      </c>
      <c r="C105" s="69" t="inlineStr">
        <is>
          <t>IT Manager LATAM</t>
        </is>
      </c>
      <c r="D105" s="69" t="inlineStr">
        <is>
          <t>Logística</t>
        </is>
      </c>
      <c r="E105" s="69" t="inlineStr">
        <is>
          <t>https://cl.linkedin.com/in/manuel-alejandro-carrasco-labr%C3%ADn-28826121a</t>
        </is>
      </c>
      <c r="F105" s="70" t="inlineStr">
        <is>
          <t>Hola Manuel, vi que Iron Mountain opera en logística y transporte. En OpenCORE desarrollamos plataformas que conectan tracking, WMS y ERP en tiempo real. ¿Tienen desafíos con visibilidad de carga o trazabilidad operativa?</t>
        </is>
      </c>
      <c r="G105" s="69" t="n"/>
    </row>
    <row r="106" ht="54" customHeight="1" s="38">
      <c r="A106" s="69" t="inlineStr">
        <is>
          <t>Isoplast SpA</t>
        </is>
      </c>
      <c r="B106" s="69" t="inlineStr">
        <is>
          <t>Sergio</t>
        </is>
      </c>
      <c r="C106" s="69" t="inlineStr">
        <is>
          <t>Gerente Operaciones</t>
        </is>
      </c>
      <c r="D106" s="69" t="inlineStr">
        <is>
          <t>Industrial</t>
        </is>
      </c>
      <c r="E106" s="69" t="inlineStr">
        <is>
          <t>https://cl.linkedin.com/in/sergio-javier-mart%C3%ADnez-vizcarra-b768b01b</t>
        </is>
      </c>
      <c r="F106" s="70" t="inlineStr">
        <is>
          <t>Hola Sergio, en OpenCORE desarrollamos software para operaciones industriales: gestión de activos, trazabilidad y control operacional a medida. ¿Hay algún proceso en Isoplast SpA donde estén evaluando digitalizar o mejorar eficiencia?</t>
        </is>
      </c>
      <c r="G106" s="69" t="n"/>
    </row>
    <row r="107" ht="54" customHeight="1" s="38">
      <c r="A107" s="69" t="inlineStr">
        <is>
          <t>Itasca S.A.</t>
        </is>
      </c>
      <c r="B107" s="69" t="inlineStr">
        <is>
          <t>Martin</t>
        </is>
      </c>
      <c r="C107" s="69" t="inlineStr">
        <is>
          <t>Gerente General</t>
        </is>
      </c>
      <c r="D107" s="69" t="inlineStr">
        <is>
          <t>Construcción</t>
        </is>
      </c>
      <c r="E107" s="69" t="inlineStr">
        <is>
          <t>https://cl.linkedin.com/in/martin-brown-5290b232</t>
        </is>
      </c>
      <c r="F107" s="70" t="inlineStr">
        <is>
          <t>Hola Martin, vi que Itasca S.A. trabaja en proyectos de construcción e ingeniería. En OpenCORE hacemos software de control de avance, costos y subcontratos en terreno. ¿Tienen desafíos en la visibilidad de proyectos o control de avance?</t>
        </is>
      </c>
      <c r="G107" s="69" t="n"/>
    </row>
    <row r="108" ht="54" customHeight="1" s="38">
      <c r="A108" s="69" t="inlineStr">
        <is>
          <t>Johnson Controls Chile S.A.</t>
        </is>
      </c>
      <c r="B108" s="69" t="inlineStr">
        <is>
          <t>Mauricio</t>
        </is>
      </c>
      <c r="C108" s="69" t="inlineStr">
        <is>
          <t>Jefe de Sistemas Chile</t>
        </is>
      </c>
      <c r="D108" s="69" t="inlineStr">
        <is>
          <t>Alimentación</t>
        </is>
      </c>
      <c r="E108" s="69" t="inlineStr">
        <is>
          <t>https://cl.linkedin.com/in/mauricio-morales-berrios-41bb6233</t>
        </is>
      </c>
      <c r="F108" s="70" t="inlineStr">
        <is>
          <t>Hola Mauricio, vi que Johnson Controls Chile S.A. opera en el sector alimentación o cadena de frío. En OpenCORE hacemos software de trazabilidad y control de calidad para este rubro. ¿Tienen desafíos en visibilidad de cadena de suministro o cumplimiento regulatorio?</t>
        </is>
      </c>
      <c r="G108" s="69" t="n"/>
    </row>
    <row r="109" ht="54" customHeight="1" s="38">
      <c r="A109" s="69" t="inlineStr">
        <is>
          <t>Jomial Ltda.</t>
        </is>
      </c>
      <c r="B109" s="69" t="inlineStr">
        <is>
          <t>José</t>
        </is>
      </c>
      <c r="C109" s="69" t="inlineStr">
        <is>
          <t>Director Soluciones</t>
        </is>
      </c>
      <c r="D109" s="69" t="inlineStr">
        <is>
          <t>Energía</t>
        </is>
      </c>
      <c r="E109" s="69" t="inlineStr">
        <is>
          <t>nan</t>
        </is>
      </c>
      <c r="F109" s="70" t="inlineStr">
        <is>
          <t>Hola José, en OpenCORE trabajamos con empresas del sector energético en sistemas de monitoreo y gestión de activos eléctricos. ¿Jomial Ltda. está evaluando soluciones para mejorar la trazabilidad de operaciones?</t>
        </is>
      </c>
      <c r="G109" s="69" t="n"/>
    </row>
    <row r="110" ht="54" customHeight="1" s="38">
      <c r="A110" s="69" t="inlineStr">
        <is>
          <t>Jorpa Ingeniería S.A.</t>
        </is>
      </c>
      <c r="B110" s="69" t="inlineStr">
        <is>
          <t>José</t>
        </is>
      </c>
      <c r="C110" s="69" t="inlineStr">
        <is>
          <t>Gerente Operaciones</t>
        </is>
      </c>
      <c r="D110" s="69" t="inlineStr">
        <is>
          <t>Industrial</t>
        </is>
      </c>
      <c r="E110" s="69" t="inlineStr">
        <is>
          <t>https://cl.linkedin.com/in/jose-montes-riquelme-7b0b6b107</t>
        </is>
      </c>
      <c r="F110" s="70" t="inlineStr">
        <is>
          <t>Hola José, en OpenCORE desarrollamos software para operaciones industriales: gestión de activos, trazabilidad y control operacional a medida. ¿Hay algún proceso en Jorpa Ingeniería S.A. donde estén evaluando digitalizar o mejorar eficiencia?</t>
        </is>
      </c>
      <c r="G110" s="69" t="n"/>
    </row>
    <row r="111" ht="54" customHeight="1" s="38">
      <c r="A111" s="69" t="inlineStr">
        <is>
          <t>Keepex</t>
        </is>
      </c>
      <c r="B111" s="69" t="inlineStr">
        <is>
          <t>Camilo</t>
        </is>
      </c>
      <c r="C111" s="69" t="inlineStr">
        <is>
          <t>Innovation &amp; Development Manager</t>
        </is>
      </c>
      <c r="D111" s="69" t="inlineStr">
        <is>
          <t>Industrial</t>
        </is>
      </c>
      <c r="E111" s="69" t="inlineStr">
        <is>
          <t>https://cl.linkedin.com/in/camilo-andr%C3%A9s-concha-sermini-9783a017</t>
        </is>
      </c>
      <c r="F111" s="70" t="inlineStr">
        <is>
          <t>Hola Camilo, en OpenCORE desarrollamos software para operaciones industriales: gestión de activos, trazabilidad y control operacional a medida. ¿Hay algún proceso en Keepex donde estén evaluando digitalizar o mejorar eficiencia?</t>
        </is>
      </c>
      <c r="G111" s="69" t="n"/>
    </row>
    <row r="112" ht="54" customHeight="1" s="38">
      <c r="A112" s="69" t="inlineStr">
        <is>
          <t>Kibernum S.A.</t>
        </is>
      </c>
      <c r="B112" s="69" t="inlineStr">
        <is>
          <t>Christian</t>
        </is>
      </c>
      <c r="C112" s="69" t="inlineStr">
        <is>
          <t>CTO</t>
        </is>
      </c>
      <c r="D112" s="69" t="inlineStr">
        <is>
          <t>TI/Telecom</t>
        </is>
      </c>
      <c r="E112" s="69" t="inlineStr">
        <is>
          <t>https://cl.linkedin.com/in/christiancancino</t>
        </is>
      </c>
      <c r="F112" s="70" t="inlineStr">
        <is>
          <t>Hola Christian, en OpenCORE desarrollamos software industrial a medida para empresas que digitalizan procesos críticos. ¿Trabajan con clientes industriales donde podría haber sinergia con Kibernum S.A.?</t>
        </is>
      </c>
      <c r="G112" s="69" t="n"/>
    </row>
    <row r="113" ht="54" customHeight="1" s="38">
      <c r="A113" s="69" t="inlineStr">
        <is>
          <t>Kinross Minera de Chile</t>
        </is>
      </c>
      <c r="B113" s="69" t="inlineStr">
        <is>
          <t>Felipe</t>
        </is>
      </c>
      <c r="C113" s="69" t="inlineStr">
        <is>
          <t>Supervisor Soporte IT</t>
        </is>
      </c>
      <c r="D113" s="69" t="inlineStr">
        <is>
          <t>Minería</t>
        </is>
      </c>
      <c r="E113" s="69" t="inlineStr">
        <is>
          <t>https://cl.linkedin.com/in/felipe-barraza-abalos-46ba0650</t>
        </is>
      </c>
      <c r="F113" s="70" t="inlineStr">
        <is>
          <t>Hola Felipe, trabajo con empresas del sector minero en digitalización de operaciones. En OpenCORE construimos sistemas de gestión de activos y trazabilidad para faenas. ¿Están evaluando mejorar el control de procesos críticos en Kinross Minera de Chile?</t>
        </is>
      </c>
      <c r="G113" s="69" t="n"/>
    </row>
    <row r="114" ht="54" customHeight="1" s="38">
      <c r="A114" s="69" t="inlineStr">
        <is>
          <t>Knight Piésold Consulting</t>
        </is>
      </c>
      <c r="B114" s="69" t="inlineStr">
        <is>
          <t>Andoni</t>
        </is>
      </c>
      <c r="C114" s="69" t="inlineStr">
        <is>
          <t>Encargado de TI</t>
        </is>
      </c>
      <c r="D114" s="69" t="inlineStr">
        <is>
          <t>Industrial</t>
        </is>
      </c>
      <c r="E114" s="69" t="inlineStr">
        <is>
          <t>https://cl.linkedin.com/in/andoni-sagardia-hidalgo-12828b3b</t>
        </is>
      </c>
      <c r="F114" s="70" t="inlineStr">
        <is>
          <t>Hola Andoni, en OpenCORE desarrollamos software para operaciones industriales: gestión de activos, trazabilidad y control operacional a medida. ¿Hay algún proceso en Knight Piésold Consulting donde estén evaluando digitalizar o mejorar eficiencia?</t>
        </is>
      </c>
      <c r="G114" s="69" t="n"/>
    </row>
    <row r="115" ht="54" customHeight="1" s="38">
      <c r="A115" s="69" t="inlineStr">
        <is>
          <t>Krontec SpA</t>
        </is>
      </c>
      <c r="B115" s="69" t="inlineStr">
        <is>
          <t>Guido</t>
        </is>
      </c>
      <c r="C115" s="69" t="inlineStr">
        <is>
          <t>General Manager</t>
        </is>
      </c>
      <c r="D115" s="69" t="inlineStr">
        <is>
          <t>Automatiz.</t>
        </is>
      </c>
      <c r="E115" s="69" t="inlineStr">
        <is>
          <t>nan</t>
        </is>
      </c>
      <c r="F115" s="70" t="inlineStr">
        <is>
          <t>Hola Guido, vi que Krontec SpA trabaja en automatización industrial. En OpenCORE desarrollamos capas de software sobre sistemas SCADA/PLC para análisis y gestión de datos operacionales. ¿Hay proyectos de digitalización en carpeta?</t>
        </is>
      </c>
      <c r="G115" s="69" t="n"/>
    </row>
    <row r="116" ht="54" customHeight="1" s="38">
      <c r="A116" s="69" t="inlineStr">
        <is>
          <t>Lamaignere Chile S.A.</t>
        </is>
      </c>
      <c r="B116" s="69" t="inlineStr">
        <is>
          <t>Alejandra</t>
        </is>
      </c>
      <c r="C116" s="69" t="inlineStr">
        <is>
          <t>Country Manager</t>
        </is>
      </c>
      <c r="D116" s="69" t="inlineStr">
        <is>
          <t>Logística</t>
        </is>
      </c>
      <c r="E116" s="69" t="inlineStr">
        <is>
          <t>https://cl.linkedin.com/in/alejandra-olivia-ayala-troncoso-392637a5</t>
        </is>
      </c>
      <c r="F116" s="70" t="inlineStr">
        <is>
          <t>Hola Alejandra, vi que Lamaignere Chile S.A. opera en logística y transporte. En OpenCORE desarrollamos plataformas que conectan tracking, WMS y ERP en tiempo real. ¿Tienen desafíos con visibilidad de carga o trazabilidad operativa?</t>
        </is>
      </c>
      <c r="G116" s="69" t="n"/>
    </row>
    <row r="117" ht="54" customHeight="1" s="38">
      <c r="A117" s="69" t="inlineStr">
        <is>
          <t>Latam Airlines</t>
        </is>
      </c>
      <c r="B117" s="69" t="inlineStr">
        <is>
          <t>Juliana</t>
        </is>
      </c>
      <c r="C117" s="69" t="inlineStr">
        <is>
          <t>VP IT &amp; Digital</t>
        </is>
      </c>
      <c r="D117" s="69" t="inlineStr">
        <is>
          <t>Logística</t>
        </is>
      </c>
      <c r="E117" s="69" t="inlineStr">
        <is>
          <t>https://cl.linkedin.com/in/juliana-rios-7679803</t>
        </is>
      </c>
      <c r="F117" s="70" t="inlineStr">
        <is>
          <t>Hola Juliana, vi que Latam Airlines opera en logística y transporte. En OpenCORE desarrollamos plataformas que conectan tracking, WMS y ERP en tiempo real. ¿Tienen desafíos con visibilidad de carga o trazabilidad operativa?</t>
        </is>
      </c>
      <c r="G117" s="69" t="n"/>
    </row>
    <row r="118" ht="54" customHeight="1" s="38">
      <c r="A118" s="69" t="inlineStr">
        <is>
          <t>Latam Trade Capital</t>
        </is>
      </c>
      <c r="B118" s="69" t="inlineStr">
        <is>
          <t>Francisco</t>
        </is>
      </c>
      <c r="C118" s="69" t="inlineStr">
        <is>
          <t>Gerente Ops &amp; Tecnología</t>
        </is>
      </c>
      <c r="D118" s="69" t="inlineStr">
        <is>
          <t>Industrial</t>
        </is>
      </c>
      <c r="E118" s="69" t="inlineStr">
        <is>
          <t>https://cl.linkedin.com/in/francisco-hormazabal-b18a1a1b</t>
        </is>
      </c>
      <c r="F118" s="70" t="inlineStr">
        <is>
          <t>Hola Francisco, en OpenCORE desarrollamos software para operaciones industriales: gestión de activos, trazabilidad y control operacional a medida. ¿Hay algún proceso en Latam Trade Capital donde estén evaluando digitalizar o mejorar eficiencia?</t>
        </is>
      </c>
      <c r="G118" s="69" t="n"/>
    </row>
    <row r="119" ht="54" customHeight="1" s="38">
      <c r="A119" s="69" t="inlineStr">
        <is>
          <t>Latin America Power S.A.</t>
        </is>
      </c>
      <c r="B119" s="69" t="inlineStr">
        <is>
          <t>Sebastian</t>
        </is>
      </c>
      <c r="C119" s="69" t="inlineStr">
        <is>
          <t>Jefe de TI</t>
        </is>
      </c>
      <c r="D119" s="69" t="inlineStr">
        <is>
          <t>Energía</t>
        </is>
      </c>
      <c r="E119" s="69" t="inlineStr">
        <is>
          <t>nan</t>
        </is>
      </c>
      <c r="F119" s="70" t="inlineStr">
        <is>
          <t>Hola Sebastian, en OpenCORE trabajamos con empresas del sector energético en sistemas de monitoreo y gestión de activos eléctricos. ¿Latin America Power S.A. está evaluando soluciones para mejorar la trazabilidad de operaciones?</t>
        </is>
      </c>
      <c r="G119" s="69" t="n"/>
    </row>
    <row r="120" ht="54" customHeight="1" s="38">
      <c r="A120" s="69" t="inlineStr">
        <is>
          <t>Limfosep S.A.</t>
        </is>
      </c>
      <c r="B120" s="69" t="inlineStr">
        <is>
          <t>Pablo</t>
        </is>
      </c>
      <c r="C120" s="69" t="inlineStr">
        <is>
          <t>Gerente General</t>
        </is>
      </c>
      <c r="D120" s="69" t="inlineStr">
        <is>
          <t>Industrial</t>
        </is>
      </c>
      <c r="E120" s="69" t="inlineStr">
        <is>
          <t>https://cl.linkedin.com/in/pablo-leiva-14a517112</t>
        </is>
      </c>
      <c r="F120" s="70" t="inlineStr">
        <is>
          <t>Hola Pablo, en OpenCORE desarrollamos software para operaciones industriales: gestión de activos, trazabilidad y control operacional a medida. ¿Hay algún proceso en Limfosep S.A. donde estén evaluando digitalizar o mejorar eficiencia?</t>
        </is>
      </c>
      <c r="G120" s="69" t="n"/>
    </row>
    <row r="121" ht="54" customHeight="1" s="38">
      <c r="A121" s="69" t="inlineStr">
        <is>
          <t>Lorbrand S.A.</t>
        </is>
      </c>
      <c r="B121" s="69" t="inlineStr">
        <is>
          <t>Felipe</t>
        </is>
      </c>
      <c r="C121" s="69" t="inlineStr">
        <is>
          <t>Gerente General</t>
        </is>
      </c>
      <c r="D121" s="69" t="inlineStr">
        <is>
          <t>Repuestos</t>
        </is>
      </c>
      <c r="E121" s="69" t="inlineStr">
        <is>
          <t>https://cl.linkedin.com/in/felipe-alvial-navarrete-6a1a1a1b</t>
        </is>
      </c>
      <c r="F121" s="70" t="inlineStr">
        <is>
          <t>Hola Felipe, en OpenCORE construimos software para empresas de repuestos y mantención: control de stock, trazabilidad de fallas y planificación de mantenimiento. ¿Tienen algún dolor en gestión de inventario o tiempo de respuesta?</t>
        </is>
      </c>
      <c r="G121" s="69" t="n"/>
    </row>
    <row r="122" ht="54" customHeight="1" s="38">
      <c r="A122" s="69" t="inlineStr">
        <is>
          <t>Luksic Zuanic S.A.</t>
        </is>
      </c>
      <c r="B122" s="69" t="inlineStr">
        <is>
          <t>Yerko</t>
        </is>
      </c>
      <c r="C122" s="69" t="inlineStr">
        <is>
          <t>Gerente Comercial (Decision Maker</t>
        </is>
      </c>
      <c r="D122" s="69" t="inlineStr">
        <is>
          <t>Energía</t>
        </is>
      </c>
      <c r="E122" s="69" t="inlineStr">
        <is>
          <t>https://cl.linkedin.com/in/yerko-zuanic-43677016</t>
        </is>
      </c>
      <c r="F122" s="70" t="inlineStr">
        <is>
          <t>Hola Yerko, en OpenCORE trabajamos con empresas del sector energético en sistemas de monitoreo y gestión de activos eléctricos. ¿Luksic Zuanic S.A. está evaluando soluciones para mejorar la trazabilidad de operaciones?</t>
        </is>
      </c>
      <c r="G122" s="69" t="n"/>
    </row>
    <row r="123" ht="54" customHeight="1" s="38">
      <c r="A123" s="69" t="inlineStr">
        <is>
          <t>Lundin Mining</t>
        </is>
      </c>
      <c r="B123" s="69" t="inlineStr">
        <is>
          <t>Sergio</t>
        </is>
      </c>
      <c r="C123" s="69" t="inlineStr">
        <is>
          <t>Regional IT Manager</t>
        </is>
      </c>
      <c r="D123" s="69" t="inlineStr">
        <is>
          <t>Minería</t>
        </is>
      </c>
      <c r="E123" s="69" t="inlineStr">
        <is>
          <t>https://cl.linkedin.com/in/sergio-retamal-soto-5b0b6b107</t>
        </is>
      </c>
      <c r="F123" s="70" t="inlineStr">
        <is>
          <t>Hola Sergio, trabajo con empresas del sector minero en digitalización de operaciones. En OpenCORE construimos sistemas de gestión de activos y trazabilidad para faenas. ¿Están evaluando mejorar el control de procesos críticos en Lundin Mining?</t>
        </is>
      </c>
      <c r="G123" s="69" t="n"/>
    </row>
    <row r="124" ht="54" customHeight="1" s="38">
      <c r="A124" s="69" t="inlineStr">
        <is>
          <t>Maestranza e Ingeniería Lo Espejo S.A.</t>
        </is>
      </c>
      <c r="B124" s="69" t="inlineStr">
        <is>
          <t>Marcos</t>
        </is>
      </c>
      <c r="C124" s="69" t="inlineStr">
        <is>
          <t>IT Manager</t>
        </is>
      </c>
      <c r="D124" s="69" t="inlineStr">
        <is>
          <t>Industrial</t>
        </is>
      </c>
      <c r="E124" s="69" t="inlineStr">
        <is>
          <t>https://cl.linkedin.com/in/marcossarzoza</t>
        </is>
      </c>
      <c r="F124" s="70" t="inlineStr">
        <is>
          <t>Hola Marcos, en OpenCORE desarrollamos software para operaciones industriales: gestión de activos, trazabilidad y control operacional a medida. ¿Hay algún proceso en Maestranza e Ingeniería Lo Espejo S.A. donde estén evaluando digitalizar o mejorar eficiencia?</t>
        </is>
      </c>
      <c r="G124" s="69" t="n"/>
    </row>
    <row r="125" ht="54" customHeight="1" s="38">
      <c r="A125" s="69" t="inlineStr">
        <is>
          <t>Maqsur Ltda.</t>
        </is>
      </c>
      <c r="B125" s="69" t="inlineStr">
        <is>
          <t>Guillermo</t>
        </is>
      </c>
      <c r="C125" s="69" t="inlineStr">
        <is>
          <t>Gerente General</t>
        </is>
      </c>
      <c r="D125" s="69" t="inlineStr">
        <is>
          <t>Industrial</t>
        </is>
      </c>
      <c r="E125" s="69" t="inlineStr">
        <is>
          <t>nan</t>
        </is>
      </c>
      <c r="F125" s="70" t="inlineStr">
        <is>
          <t>Hola Guillermo, en OpenCORE desarrollamos software para operaciones industriales: gestión de activos, trazabilidad y control operacional a medida. ¿Hay algún proceso en Maqsur Ltda. donde estén evaluando digitalizar o mejorar eficiencia?</t>
        </is>
      </c>
      <c r="G125" s="69" t="n"/>
    </row>
    <row r="126" ht="54" customHeight="1" s="38">
      <c r="A126" s="69" t="inlineStr">
        <is>
          <t>Mateco Chile</t>
        </is>
      </c>
      <c r="B126" s="69" t="inlineStr">
        <is>
          <t>Andres</t>
        </is>
      </c>
      <c r="C126" s="69" t="inlineStr">
        <is>
          <t>Responsable de IT</t>
        </is>
      </c>
      <c r="D126" s="69" t="inlineStr">
        <is>
          <t>Industrial</t>
        </is>
      </c>
      <c r="E126" s="69" t="inlineStr">
        <is>
          <t>https://cl.linkedin.com/in/andres-rojas-m-154a1a70</t>
        </is>
      </c>
      <c r="F126" s="70" t="inlineStr">
        <is>
          <t>Hola Andres, en OpenCORE desarrollamos software para operaciones industriales: gestión de activos, trazabilidad y control operacional a medida. ¿Hay algún proceso en Mateco Chile donde estén evaluando digitalizar o mejorar eficiencia?</t>
        </is>
      </c>
      <c r="G126" s="69" t="n"/>
    </row>
    <row r="127" ht="54" customHeight="1" s="38">
      <c r="A127" s="69" t="inlineStr">
        <is>
          <t>Mauricio Hochschild Ingeniería y Servicios</t>
        </is>
      </c>
      <c r="B127" s="69" t="inlineStr">
        <is>
          <t>Eduardo</t>
        </is>
      </c>
      <c r="C127" s="69" t="inlineStr">
        <is>
          <t>Jefe de Sistemas</t>
        </is>
      </c>
      <c r="D127" s="69" t="inlineStr">
        <is>
          <t>Arriendo Maq.</t>
        </is>
      </c>
      <c r="E127" s="69" t="inlineStr">
        <is>
          <t>nan</t>
        </is>
      </c>
      <c r="F127" s="70" t="inlineStr">
        <is>
          <t>Hola Eduardo, sé que Mauricio Hochschild Ingeniería y Servicios trabaja con arriendo de equipos industriales. OpenCORE desarrolla software de control de flota y mantenimiento predictivo. ¿Tienen algún desafío en la gestión de equipos o disponibilidad de activos?</t>
        </is>
      </c>
      <c r="G127" s="69" t="n"/>
    </row>
    <row r="128" ht="54" customHeight="1" s="38">
      <c r="A128" s="69" t="inlineStr">
        <is>
          <t>Metaproject Group</t>
        </is>
      </c>
      <c r="B128" s="69" t="inlineStr">
        <is>
          <t>Isabel</t>
        </is>
      </c>
      <c r="C128" s="69" t="inlineStr">
        <is>
          <t>Gerente TI</t>
        </is>
      </c>
      <c r="D128" s="69" t="inlineStr">
        <is>
          <t>Construcción</t>
        </is>
      </c>
      <c r="E128" s="69" t="inlineStr">
        <is>
          <t>https://cl.linkedin.com/in/isabel-pe%C3%B1ailillo-mba-06019a18</t>
        </is>
      </c>
      <c r="F128" s="70" t="inlineStr">
        <is>
          <t>Hola Isabel, vi que Metaproject Group trabaja en proyectos de construcción e ingeniería. En OpenCORE hacemos software de control de avance, costos y subcontratos en terreno. ¿Tienen desafíos en la visibilidad de proyectos o control de avance?</t>
        </is>
      </c>
      <c r="G128" s="69" t="n"/>
    </row>
    <row r="129" ht="54" customHeight="1" s="38">
      <c r="A129" s="69" t="inlineStr">
        <is>
          <t>Metecno S.A.</t>
        </is>
      </c>
      <c r="B129" s="69" t="inlineStr">
        <is>
          <t>Nancy</t>
        </is>
      </c>
      <c r="C129" s="69" t="inlineStr">
        <is>
          <t>Encargada de Sistemas</t>
        </is>
      </c>
      <c r="D129" s="69" t="inlineStr">
        <is>
          <t>Minería</t>
        </is>
      </c>
      <c r="E129" s="69" t="inlineStr">
        <is>
          <t>https://cl.linkedin.com/in/nancy-p-d%C3%ADaz-s%C3%A1nchez-717088152</t>
        </is>
      </c>
      <c r="F129" s="70" t="inlineStr">
        <is>
          <t>Hola Nancy, trabajo con empresas del sector minero en digitalización de operaciones. En OpenCORE construimos sistemas de gestión de activos y trazabilidad para faenas. ¿Están evaluando mejorar el control de procesos críticos en Metecno S.A.?</t>
        </is>
      </c>
      <c r="G129" s="69" t="n"/>
    </row>
    <row r="130" ht="54" customHeight="1" s="38">
      <c r="A130" s="69" t="inlineStr">
        <is>
          <t>Metrika Ltda.</t>
        </is>
      </c>
      <c r="B130" s="69" t="inlineStr">
        <is>
          <t>Maximiliano</t>
        </is>
      </c>
      <c r="C130" s="69" t="inlineStr">
        <is>
          <t>Socio Fundador</t>
        </is>
      </c>
      <c r="D130" s="69" t="inlineStr">
        <is>
          <t>Seguridad/EPP</t>
        </is>
      </c>
      <c r="E130" s="69" t="inlineStr">
        <is>
          <t>https://cl.linkedin.com/in/maximiliano-gonz%C3%A1lez-gonz%C3%A1lez-84521515</t>
        </is>
      </c>
      <c r="F130" s="70" t="inlineStr">
        <is>
          <t>Hola Maximiliano, trabajo con distribuidores de EPP e industria química. En OpenCORE desarrollamos plataformas B2B para inventario, pedidos y trazabilidad. ¿Metrika Ltda. tiene desafíos en gestión de inventario o canal de ventas B2B?</t>
        </is>
      </c>
      <c r="G130" s="69" t="n"/>
    </row>
    <row r="131" ht="54" customHeight="1" s="38">
      <c r="A131" s="69" t="inlineStr">
        <is>
          <t>Microgeo</t>
        </is>
      </c>
      <c r="B131" s="69" t="inlineStr">
        <is>
          <t>Rodrigo</t>
        </is>
      </c>
      <c r="C131" s="69" t="inlineStr">
        <is>
          <t>Gte. Innovación / CTO</t>
        </is>
      </c>
      <c r="D131" s="69" t="inlineStr">
        <is>
          <t>Industrial</t>
        </is>
      </c>
      <c r="E131" s="69" t="inlineStr">
        <is>
          <t>https://cl.linkedin.com/in/rodrigo-herrera-pacheco</t>
        </is>
      </c>
      <c r="F131" s="70" t="inlineStr">
        <is>
          <t>Hola Rodrigo, en OpenCORE desarrollamos software para operaciones industriales: gestión de activos, trazabilidad y control operacional a medida. ¿Hay algún proceso en Microgeo donde estén evaluando digitalizar o mejorar eficiencia?</t>
        </is>
      </c>
      <c r="G131" s="69" t="n"/>
    </row>
    <row r="132" ht="54" customHeight="1" s="38">
      <c r="A132" s="69" t="inlineStr">
        <is>
          <t>Mincon Chile S.A.</t>
        </is>
      </c>
      <c r="B132" s="69" t="inlineStr">
        <is>
          <t>Jean</t>
        </is>
      </c>
      <c r="C132" s="69" t="inlineStr">
        <is>
          <t>Gerente General</t>
        </is>
      </c>
      <c r="D132" s="69" t="inlineStr">
        <is>
          <t>Industrial</t>
        </is>
      </c>
      <c r="E132" s="69" t="inlineStr">
        <is>
          <t>nan</t>
        </is>
      </c>
      <c r="F132" s="70" t="inlineStr">
        <is>
          <t>Hola Jean, en OpenCORE desarrollamos software para operaciones industriales: gestión de activos, trazabilidad y control operacional a medida. ¿Hay algún proceso en Mincon Chile S.A. donde estén evaluando digitalizar o mejorar eficiencia?</t>
        </is>
      </c>
      <c r="G132" s="69" t="n"/>
    </row>
    <row r="133" ht="54" customHeight="1" s="38">
      <c r="A133" s="69" t="inlineStr">
        <is>
          <t>Mindugar</t>
        </is>
      </c>
      <c r="B133" s="69" t="inlineStr">
        <is>
          <t>Ignacio</t>
        </is>
      </c>
      <c r="C133" s="69" t="inlineStr">
        <is>
          <t>Gerente Informática</t>
        </is>
      </c>
      <c r="D133" s="69" t="inlineStr">
        <is>
          <t>Logística</t>
        </is>
      </c>
      <c r="E133" s="69" t="inlineStr">
        <is>
          <t>nan</t>
        </is>
      </c>
      <c r="F133" s="70" t="inlineStr">
        <is>
          <t>Hola Ignacio, vi que Mindugar opera en logística y transporte. En OpenCORE desarrollamos plataformas que conectan tracking, WMS y ERP en tiempo real. ¿Tienen desafíos con visibilidad de carga o trazabilidad operativa?</t>
        </is>
      </c>
      <c r="G133" s="69" t="n"/>
    </row>
    <row r="134" ht="54" customHeight="1" s="38">
      <c r="A134" s="69" t="inlineStr">
        <is>
          <t>Minera San Pedro S.A.</t>
        </is>
      </c>
      <c r="B134" s="69" t="inlineStr">
        <is>
          <t>Andrés</t>
        </is>
      </c>
      <c r="C134" s="69" t="inlineStr">
        <is>
          <t>GG</t>
        </is>
      </c>
      <c r="D134" s="69" t="inlineStr">
        <is>
          <t>Minería</t>
        </is>
      </c>
      <c r="E134" s="69" t="inlineStr">
        <is>
          <t>nan</t>
        </is>
      </c>
      <c r="F134" s="70" t="inlineStr">
        <is>
          <t>Hola Andrés, trabajo con empresas del sector minero en digitalización de operaciones. En OpenCORE construimos sistemas de gestión de activos y trazabilidad para faenas. ¿Están evaluando mejorar el control de procesos críticos en Minera San Pedro S.A.?</t>
        </is>
      </c>
      <c r="G134" s="69" t="n"/>
    </row>
    <row r="135" ht="54" customHeight="1" s="38">
      <c r="A135" s="69" t="inlineStr">
        <is>
          <t>Mining TAG</t>
        </is>
      </c>
      <c r="B135" s="69" t="inlineStr">
        <is>
          <t>Carlos</t>
        </is>
      </c>
      <c r="C135" s="69" t="inlineStr">
        <is>
          <t>Gerente General &amp; Digital Hub</t>
        </is>
      </c>
      <c r="D135" s="69" t="inlineStr">
        <is>
          <t>Minería</t>
        </is>
      </c>
      <c r="E135" s="69" t="inlineStr">
        <is>
          <t>nan</t>
        </is>
      </c>
      <c r="F135" s="70" t="inlineStr">
        <is>
          <t>Hola Carlos, trabajo con empresas del sector minero en digitalización de operaciones. En OpenCORE construimos sistemas de gestión de activos y trazabilidad para faenas. ¿Están evaluando mejorar el control de procesos críticos en Mining TAG?</t>
        </is>
      </c>
      <c r="G135" s="69" t="n"/>
    </row>
    <row r="136" ht="54" customHeight="1" s="38">
      <c r="A136" s="69" t="inlineStr">
        <is>
          <t>Monitoring SpA</t>
        </is>
      </c>
      <c r="B136" s="69" t="inlineStr">
        <is>
          <t>Rodrigo</t>
        </is>
      </c>
      <c r="C136" s="69" t="inlineStr">
        <is>
          <t>CTO</t>
        </is>
      </c>
      <c r="D136" s="69" t="inlineStr">
        <is>
          <t>Servicios</t>
        </is>
      </c>
      <c r="E136" s="69" t="inlineStr">
        <is>
          <t>nan</t>
        </is>
      </c>
      <c r="F136" s="70" t="inlineStr">
        <is>
          <t>Hola Rodrigo, en OpenCORE desarrollamos software para empresas de servicios profesionales que buscan digitalizar la gestión de proyectos y clientes. ¿Hay algún proceso en Monitoring SpA que estén evaluando optimizar?</t>
        </is>
      </c>
      <c r="G136" s="69" t="n"/>
    </row>
    <row r="137" ht="54" customHeight="1" s="38">
      <c r="A137" s="69" t="inlineStr">
        <is>
          <t>Mountain Drilling Ltda.</t>
        </is>
      </c>
      <c r="B137" s="69" t="inlineStr">
        <is>
          <t>Oscar</t>
        </is>
      </c>
      <c r="C137" s="69" t="inlineStr">
        <is>
          <t>Gerente Gestion y Desarrollo</t>
        </is>
      </c>
      <c r="D137" s="69" t="inlineStr">
        <is>
          <t>Industrial</t>
        </is>
      </c>
      <c r="E137" s="69" t="inlineStr">
        <is>
          <t>nan</t>
        </is>
      </c>
      <c r="F137" s="70" t="inlineStr">
        <is>
          <t>Hola Oscar, en OpenCORE desarrollamos software para operaciones industriales: gestión de activos, trazabilidad y control operacional a medida. ¿Hay algún proceso en Mountain Drilling Ltda. donde estén evaluando digitalizar o mejorar eficiencia?</t>
        </is>
      </c>
      <c r="G137" s="69" t="n"/>
    </row>
    <row r="138" ht="54" customHeight="1" s="38">
      <c r="A138" s="69" t="inlineStr">
        <is>
          <t>Multotec Chile S.A.</t>
        </is>
      </c>
      <c r="B138" s="69" t="inlineStr">
        <is>
          <t>Mario</t>
        </is>
      </c>
      <c r="C138" s="69" t="inlineStr">
        <is>
          <t>CEO/Gerente General</t>
        </is>
      </c>
      <c r="D138" s="69" t="inlineStr">
        <is>
          <t>Minería</t>
        </is>
      </c>
      <c r="E138" s="69" t="inlineStr">
        <is>
          <t>nan</t>
        </is>
      </c>
      <c r="F138" s="70" t="inlineStr">
        <is>
          <t>Hola Mario, trabajo con empresas del sector minero en digitalización de operaciones. En OpenCORE construimos sistemas de gestión de activos y trazabilidad para faenas. ¿Están evaluando mejorar el control de procesos críticos en Multotec Chile S.A.?</t>
        </is>
      </c>
      <c r="G138" s="69" t="n"/>
    </row>
    <row r="139" ht="54" customHeight="1" s="38">
      <c r="A139" s="69" t="inlineStr">
        <is>
          <t>NDU Ingeniería Ltda.</t>
        </is>
      </c>
      <c r="B139" s="69" t="inlineStr">
        <is>
          <t>Tania</t>
        </is>
      </c>
      <c r="C139" s="69" t="inlineStr">
        <is>
          <t>Gerente General</t>
        </is>
      </c>
      <c r="D139" s="69" t="inlineStr">
        <is>
          <t>Energía</t>
        </is>
      </c>
      <c r="E139" s="69" t="inlineStr">
        <is>
          <t>nan</t>
        </is>
      </c>
      <c r="F139" s="70" t="inlineStr">
        <is>
          <t>Hola Tania, en OpenCORE trabajamos con empresas del sector energético en sistemas de monitoreo y gestión de activos eléctricos. ¿NDU Ingeniería Ltda. está evaluando soluciones para mejorar la trazabilidad de operaciones?</t>
        </is>
      </c>
      <c r="G139" s="69" t="n"/>
    </row>
    <row r="140" ht="54" customHeight="1" s="38">
      <c r="A140" s="69" t="inlineStr">
        <is>
          <t>Neptuno Pumps</t>
        </is>
      </c>
      <c r="B140" s="69" t="inlineStr">
        <is>
          <t>Sergio</t>
        </is>
      </c>
      <c r="C140" s="69" t="inlineStr">
        <is>
          <t>CTO</t>
        </is>
      </c>
      <c r="D140" s="69" t="inlineStr">
        <is>
          <t>Repuestos</t>
        </is>
      </c>
      <c r="E140" s="69" t="inlineStr">
        <is>
          <t>nan</t>
        </is>
      </c>
      <c r="F140" s="70" t="inlineStr">
        <is>
          <t>Hola Sergio, en OpenCORE construimos software para empresas de repuestos y mantención: control de stock, trazabilidad de fallas y planificación de mantenimiento. ¿Tienen algún dolor en gestión de inventario o tiempo de respuesta?</t>
        </is>
      </c>
      <c r="G140" s="69" t="n"/>
    </row>
    <row r="141" ht="54" customHeight="1" s="38">
      <c r="A141" s="69" t="inlineStr">
        <is>
          <t>Nicolaides Tratamiento de Aguas S.A.</t>
        </is>
      </c>
      <c r="B141" s="69" t="inlineStr">
        <is>
          <t>Victor</t>
        </is>
      </c>
      <c r="C141" s="69" t="inlineStr">
        <is>
          <t>Jefe de Informatica</t>
        </is>
      </c>
      <c r="D141" s="69" t="inlineStr">
        <is>
          <t>Seguridad/EPP</t>
        </is>
      </c>
      <c r="E141" s="69" t="inlineStr">
        <is>
          <t>nan</t>
        </is>
      </c>
      <c r="F141" s="70" t="inlineStr">
        <is>
          <t>Hola Victor, trabajo con distribuidores de EPP e industria química. En OpenCORE desarrollamos plataformas B2B para inventario, pedidos y trazabilidad. ¿Nicolaides Tratamiento de Aguas S.A. tiene desafíos en gestión de inventario o canal de ventas B2B?</t>
        </is>
      </c>
      <c r="G141" s="69" t="n"/>
    </row>
    <row r="142" ht="54" customHeight="1" s="38">
      <c r="A142" s="69" t="inlineStr">
        <is>
          <t>Nómade Chile</t>
        </is>
      </c>
      <c r="B142" s="69" t="inlineStr">
        <is>
          <t>Randolph</t>
        </is>
      </c>
      <c r="C142" s="69" t="inlineStr">
        <is>
          <t>CEO</t>
        </is>
      </c>
      <c r="D142" s="69" t="inlineStr">
        <is>
          <t>Minería</t>
        </is>
      </c>
      <c r="E142" s="69" t="inlineStr">
        <is>
          <t>nan</t>
        </is>
      </c>
      <c r="F142" s="70" t="inlineStr">
        <is>
          <t>Hola Randolph, trabajo con empresas del sector minero en digitalización de operaciones. En OpenCORE construimos sistemas de gestión de activos y trazabilidad para faenas. ¿Están evaluando mejorar el control de procesos críticos en Nómade Chile?</t>
        </is>
      </c>
      <c r="G142" s="69" t="n"/>
    </row>
    <row r="143" ht="54" customHeight="1" s="38">
      <c r="A143" s="69" t="inlineStr">
        <is>
          <t>Perforock</t>
        </is>
      </c>
      <c r="B143" s="69" t="inlineStr">
        <is>
          <t>Patricio</t>
        </is>
      </c>
      <c r="C143" s="69" t="inlineStr">
        <is>
          <t>Gerente General</t>
        </is>
      </c>
      <c r="D143" s="69" t="inlineStr">
        <is>
          <t>Minería</t>
        </is>
      </c>
      <c r="E143" s="69" t="inlineStr">
        <is>
          <t>nan</t>
        </is>
      </c>
      <c r="F143" s="70" t="inlineStr">
        <is>
          <t>Hola Patricio, trabajo con empresas del sector minero en digitalización de operaciones. En OpenCORE construimos sistemas de gestión de activos y trazabilidad para faenas. ¿Están evaluando mejorar el control de procesos críticos en Perforock?</t>
        </is>
      </c>
      <c r="G143" s="69" t="n"/>
    </row>
    <row r="144" ht="54" customHeight="1" s="38">
      <c r="A144" s="69" t="inlineStr">
        <is>
          <t>Pernostock Ltda.</t>
        </is>
      </c>
      <c r="B144" s="69" t="inlineStr">
        <is>
          <t>Alberto</t>
        </is>
      </c>
      <c r="C144" s="69" t="inlineStr">
        <is>
          <t>General Manager</t>
        </is>
      </c>
      <c r="D144" s="69" t="inlineStr">
        <is>
          <t>Minería</t>
        </is>
      </c>
      <c r="E144" s="69" t="inlineStr">
        <is>
          <t>nan</t>
        </is>
      </c>
      <c r="F144" s="70" t="inlineStr">
        <is>
          <t>Hola Alberto, trabajo con empresas del sector minero en digitalización de operaciones. En OpenCORE construimos sistemas de gestión de activos y trazabilidad para faenas. ¿Están evaluando mejorar el control de procesos críticos en Pernostock Ltda.?</t>
        </is>
      </c>
      <c r="G144" s="69" t="n"/>
    </row>
    <row r="145" ht="54" customHeight="1" s="38">
      <c r="A145" s="69" t="inlineStr">
        <is>
          <t>Pesamatic S.A.</t>
        </is>
      </c>
      <c r="B145" s="69" t="inlineStr">
        <is>
          <t>Carlos</t>
        </is>
      </c>
      <c r="C145" s="69" t="inlineStr">
        <is>
          <t>Jefe Post Venta</t>
        </is>
      </c>
      <c r="D145" s="69" t="inlineStr">
        <is>
          <t>Automatiz.</t>
        </is>
      </c>
      <c r="E145" s="69" t="inlineStr">
        <is>
          <t>nan</t>
        </is>
      </c>
      <c r="F145" s="70" t="inlineStr">
        <is>
          <t>Hola Carlos, vi que Pesamatic S.A. trabaja en automatización industrial. En OpenCORE desarrollamos capas de software sobre sistemas SCADA/PLC para análisis y gestión de datos operacionales. ¿Hay proyectos de digitalización en carpeta?</t>
        </is>
      </c>
      <c r="G145" s="69" t="n"/>
    </row>
    <row r="146" ht="54" customHeight="1" s="38">
      <c r="A146" s="69" t="inlineStr">
        <is>
          <t>Phoenix Contact Chile S.A.</t>
        </is>
      </c>
      <c r="B146" s="69" t="inlineStr">
        <is>
          <t>Eduardo</t>
        </is>
      </c>
      <c r="C146" s="69" t="inlineStr">
        <is>
          <t>Tech Lead / Product Manager</t>
        </is>
      </c>
      <c r="D146" s="69" t="inlineStr">
        <is>
          <t>Energía</t>
        </is>
      </c>
      <c r="E146" s="69" t="inlineStr">
        <is>
          <t>nan</t>
        </is>
      </c>
      <c r="F146" s="70" t="inlineStr">
        <is>
          <t>Hola Eduardo, en OpenCORE trabajamos con empresas del sector energético en sistemas de monitoreo y gestión de activos eléctricos. ¿Phoenix Contact Chile S.A. está evaluando soluciones para mejorar la trazabilidad de operaciones?</t>
        </is>
      </c>
      <c r="G146" s="69" t="n"/>
    </row>
    <row r="147" ht="54" customHeight="1" s="38">
      <c r="A147" s="69" t="inlineStr">
        <is>
          <t>Piddo, Jorge Piddo y Cía. Ltda.</t>
        </is>
      </c>
      <c r="B147" s="69" t="inlineStr">
        <is>
          <t>Efraín</t>
        </is>
      </c>
      <c r="C147" s="69" t="inlineStr">
        <is>
          <t>Gerente Ingeniería</t>
        </is>
      </c>
      <c r="D147" s="69" t="inlineStr">
        <is>
          <t>Industrial</t>
        </is>
      </c>
      <c r="E147" s="69" t="inlineStr">
        <is>
          <t>nan</t>
        </is>
      </c>
      <c r="F147" s="70" t="inlineStr">
        <is>
          <t>Hola Efraín, en OpenCORE desarrollamos software para operaciones industriales: gestión de activos, trazabilidad y control operacional a medida. ¿Hay algún proceso en Piddo, Jorge Piddo y Cía. Ltda. donde estén evaluando digitalizar o mejorar eficiencia?</t>
        </is>
      </c>
      <c r="G147" s="69" t="n"/>
    </row>
    <row r="148" ht="54" customHeight="1" s="38">
      <c r="A148" s="69" t="inlineStr">
        <is>
          <t>Pizarreño S.A.</t>
        </is>
      </c>
      <c r="B148" s="69" t="inlineStr">
        <is>
          <t>Cristian</t>
        </is>
      </c>
      <c r="C148" s="69" t="inlineStr">
        <is>
          <t>Jefe de Sistemas</t>
        </is>
      </c>
      <c r="D148" s="69" t="inlineStr">
        <is>
          <t>Construcción</t>
        </is>
      </c>
      <c r="E148" s="69" t="inlineStr">
        <is>
          <t>nan</t>
        </is>
      </c>
      <c r="F148" s="70" t="inlineStr">
        <is>
          <t>Hola Cristian, vi que Pizarreño S.A. trabaja en proyectos de construcción e ingeniería. En OpenCORE hacemos software de control de avance, costos y subcontratos en terreno. ¿Tienen desafíos en la visibilidad de proyectos o control de avance?</t>
        </is>
      </c>
      <c r="G148" s="69" t="n"/>
    </row>
    <row r="149" ht="54" customHeight="1" s="38">
      <c r="A149" s="69" t="inlineStr">
        <is>
          <t>Plastigen</t>
        </is>
      </c>
      <c r="B149" s="69" t="inlineStr">
        <is>
          <t>Erika</t>
        </is>
      </c>
      <c r="C149" s="69" t="inlineStr">
        <is>
          <t>Gerente TI</t>
        </is>
      </c>
      <c r="D149" s="69" t="inlineStr">
        <is>
          <t>Industrial</t>
        </is>
      </c>
      <c r="E149" s="69" t="inlineStr">
        <is>
          <t>nan</t>
        </is>
      </c>
      <c r="F149" s="70" t="inlineStr">
        <is>
          <t>Hola Erika, en OpenCORE desarrollamos software para operaciones industriales: gestión de activos, trazabilidad y control operacional a medida. ¿Hay algún proceso en Plastigen donde estén evaluando digitalizar o mejorar eficiencia?</t>
        </is>
      </c>
      <c r="G149" s="69" t="n"/>
    </row>
    <row r="150" ht="54" customHeight="1" s="38">
      <c r="A150" s="69" t="inlineStr">
        <is>
          <t>Plásticos Haddad S.A.</t>
        </is>
      </c>
      <c r="B150" s="69" t="inlineStr">
        <is>
          <t>Carlos</t>
        </is>
      </c>
      <c r="C150" s="69" t="inlineStr">
        <is>
          <t>Ing. Informática</t>
        </is>
      </c>
      <c r="D150" s="69" t="inlineStr">
        <is>
          <t>Industrial</t>
        </is>
      </c>
      <c r="E150" s="69" t="inlineStr">
        <is>
          <t>nan</t>
        </is>
      </c>
      <c r="F150" s="70" t="inlineStr">
        <is>
          <t>Hola Carlos, en OpenCORE desarrollamos software para operaciones industriales: gestión de activos, trazabilidad y control operacional a medida. ¿Hay algún proceso en Plásticos Haddad S.A. donde estén evaluando digitalizar o mejorar eficiencia?</t>
        </is>
      </c>
      <c r="G150" s="69" t="n"/>
    </row>
    <row r="151" ht="54" customHeight="1" s="38">
      <c r="A151" s="69" t="inlineStr">
        <is>
          <t>Polimin Ltda.</t>
        </is>
      </c>
      <c r="B151" s="69" t="inlineStr">
        <is>
          <t>Carlos</t>
        </is>
      </c>
      <c r="C151" s="69" t="inlineStr">
        <is>
          <t>Gerente General</t>
        </is>
      </c>
      <c r="D151" s="69" t="inlineStr">
        <is>
          <t>Industrial</t>
        </is>
      </c>
      <c r="E151" s="69" t="inlineStr">
        <is>
          <t>nan</t>
        </is>
      </c>
      <c r="F151" s="70" t="inlineStr">
        <is>
          <t>Hola Carlos, en OpenCORE desarrollamos software para operaciones industriales: gestión de activos, trazabilidad y control operacional a medida. ¿Hay algún proceso en Polimin Ltda. donde estén evaluando digitalizar o mejorar eficiencia?</t>
        </is>
      </c>
      <c r="G151" s="69" t="n"/>
    </row>
    <row r="152" ht="54" customHeight="1" s="38">
      <c r="A152" s="69" t="inlineStr">
        <is>
          <t>Politec S.A.</t>
        </is>
      </c>
      <c r="B152" s="69" t="inlineStr">
        <is>
          <t>Julio</t>
        </is>
      </c>
      <c r="C152" s="69" t="inlineStr">
        <is>
          <t>Gerente de Operaciones</t>
        </is>
      </c>
      <c r="D152" s="69" t="inlineStr">
        <is>
          <t>Industrial</t>
        </is>
      </c>
      <c r="E152" s="69" t="inlineStr">
        <is>
          <t>nan</t>
        </is>
      </c>
      <c r="F152" s="70" t="inlineStr">
        <is>
          <t>Hola Julio, en OpenCORE desarrollamos software para operaciones industriales: gestión de activos, trazabilidad y control operacional a medida. ¿Hay algún proceso en Politec S.A. donde estén evaluando digitalizar o mejorar eficiencia?</t>
        </is>
      </c>
      <c r="G152" s="69" t="n"/>
    </row>
    <row r="153" ht="54" customHeight="1" s="38">
      <c r="A153" s="69" t="inlineStr">
        <is>
          <t>Polymershapes</t>
        </is>
      </c>
      <c r="B153" s="69" t="inlineStr">
        <is>
          <t>Daniel</t>
        </is>
      </c>
      <c r="C153" s="69" t="inlineStr">
        <is>
          <t>Country Manager</t>
        </is>
      </c>
      <c r="D153" s="69" t="inlineStr">
        <is>
          <t>Industrial</t>
        </is>
      </c>
      <c r="E153" s="69" t="inlineStr">
        <is>
          <t>nan</t>
        </is>
      </c>
      <c r="F153" s="70" t="inlineStr">
        <is>
          <t>Hola Daniel, en OpenCORE desarrollamos software para operaciones industriales: gestión de activos, trazabilidad y control operacional a medida. ¿Hay algún proceso en Polymershapes donde estén evaluando digitalizar o mejorar eficiencia?</t>
        </is>
      </c>
      <c r="G153" s="69" t="n"/>
    </row>
    <row r="154" ht="54" customHeight="1" s="38">
      <c r="A154" s="69" t="inlineStr">
        <is>
          <t>Precisión S.A.</t>
        </is>
      </c>
      <c r="B154" s="69" t="inlineStr">
        <is>
          <t>Mario</t>
        </is>
      </c>
      <c r="C154" s="69" t="inlineStr">
        <is>
          <t>Arquitecto de TI / DevOps</t>
        </is>
      </c>
      <c r="D154" s="69" t="inlineStr">
        <is>
          <t>Minería</t>
        </is>
      </c>
      <c r="E154" s="69" t="inlineStr">
        <is>
          <t>nan</t>
        </is>
      </c>
      <c r="F154" s="70" t="inlineStr">
        <is>
          <t>Hola Mario, trabajo con empresas del sector minero en digitalización de operaciones. En OpenCORE construimos sistemas de gestión de activos y trazabilidad para faenas. ¿Están evaluando mejorar el control de procesos críticos en Precisión S.A.?</t>
        </is>
      </c>
      <c r="G154" s="69" t="n"/>
    </row>
    <row r="155" ht="54" customHeight="1" s="38">
      <c r="A155" s="69" t="inlineStr">
        <is>
          <t>Prieto Abogados SpA</t>
        </is>
      </c>
      <c r="B155" s="69" t="inlineStr">
        <is>
          <t>Waldo</t>
        </is>
      </c>
      <c r="C155" s="69" t="inlineStr">
        <is>
          <t>Gerente de TI</t>
        </is>
      </c>
      <c r="D155" s="69" t="inlineStr">
        <is>
          <t>Minería</t>
        </is>
      </c>
      <c r="E155" s="69" t="inlineStr">
        <is>
          <t>nan</t>
        </is>
      </c>
      <c r="F155" s="70" t="inlineStr">
        <is>
          <t>Hola Waldo, trabajo con empresas del sector minero en digitalización de operaciones. En OpenCORE construimos sistemas de gestión de activos y trazabilidad para faenas. ¿Están evaluando mejorar el control de procesos críticos en Prieto Abogados SpA?</t>
        </is>
      </c>
      <c r="G155" s="69" t="n"/>
    </row>
    <row r="156" ht="54" customHeight="1" s="38">
      <c r="A156" s="69" t="inlineStr">
        <is>
          <t>Prilogic</t>
        </is>
      </c>
      <c r="B156" s="69" t="inlineStr">
        <is>
          <t>Rodrigo</t>
        </is>
      </c>
      <c r="C156" s="69" t="inlineStr">
        <is>
          <t>Gerente General</t>
        </is>
      </c>
      <c r="D156" s="69" t="inlineStr">
        <is>
          <t>Seguridad/EPP</t>
        </is>
      </c>
      <c r="E156" s="69" t="inlineStr">
        <is>
          <t>nan</t>
        </is>
      </c>
      <c r="F156" s="70" t="inlineStr">
        <is>
          <t>Hola Rodrigo, trabajo con distribuidores de EPP e industria química. En OpenCORE desarrollamos plataformas B2B para inventario, pedidos y trazabilidad. ¿Prilogic tiene desafíos en gestión de inventario o canal de ventas B2B?</t>
        </is>
      </c>
      <c r="G156" s="69" t="n"/>
    </row>
    <row r="157" ht="54" customHeight="1" s="38">
      <c r="A157" s="69" t="inlineStr">
        <is>
          <t>Proindar S.A.</t>
        </is>
      </c>
      <c r="B157" s="69" t="inlineStr">
        <is>
          <t>José</t>
        </is>
      </c>
      <c r="C157" s="69" t="inlineStr">
        <is>
          <t>IT Manager</t>
        </is>
      </c>
      <c r="D157" s="69" t="inlineStr">
        <is>
          <t>Industrial</t>
        </is>
      </c>
      <c r="E157" s="69" t="inlineStr">
        <is>
          <t>nan</t>
        </is>
      </c>
      <c r="F157" s="70" t="inlineStr">
        <is>
          <t>Hola José, en OpenCORE desarrollamos software para operaciones industriales: gestión de activos, trazabilidad y control operacional a medida. ¿Hay algún proceso en Proindar S.A. donde estén evaluando digitalizar o mejorar eficiencia?</t>
        </is>
      </c>
      <c r="G157" s="69" t="n"/>
    </row>
    <row r="158" ht="54" customHeight="1" s="38">
      <c r="A158" s="69" t="inlineStr">
        <is>
          <t>Proingas S.A.</t>
        </is>
      </c>
      <c r="B158" s="69" t="inlineStr">
        <is>
          <t>Sandra</t>
        </is>
      </c>
      <c r="C158" s="69" t="inlineStr">
        <is>
          <t>Systems/IT Mgr</t>
        </is>
      </c>
      <c r="D158" s="69" t="inlineStr">
        <is>
          <t>Industrial</t>
        </is>
      </c>
      <c r="E158" s="69" t="inlineStr">
        <is>
          <t>nan</t>
        </is>
      </c>
      <c r="F158" s="70" t="inlineStr">
        <is>
          <t>Hola Sandra, en OpenCORE desarrollamos software para operaciones industriales: gestión de activos, trazabilidad y control operacional a medida. ¿Hay algún proceso en Proingas S.A. donde estén evaluando digitalizar o mejorar eficiencia?</t>
        </is>
      </c>
      <c r="G158" s="69" t="n"/>
    </row>
    <row r="159" ht="54" customHeight="1" s="38">
      <c r="A159" s="69" t="inlineStr">
        <is>
          <t>Pucará S.A.</t>
        </is>
      </c>
      <c r="B159" s="69" t="inlineStr">
        <is>
          <t>Roberto</t>
        </is>
      </c>
      <c r="C159" s="69" t="inlineStr">
        <is>
          <t>Gte Desarrollo y Operaciones</t>
        </is>
      </c>
      <c r="D159" s="69" t="inlineStr">
        <is>
          <t>Construcción</t>
        </is>
      </c>
      <c r="E159" s="69" t="inlineStr">
        <is>
          <t>nan</t>
        </is>
      </c>
      <c r="F159" s="70" t="inlineStr">
        <is>
          <t>Hola Roberto, vi que Pucará S.A. trabaja en proyectos de construcción e ingeniería. En OpenCORE hacemos software de control de avance, costos y subcontratos en terreno. ¿Tienen desafíos en la visibilidad de proyectos o control de avance?</t>
        </is>
      </c>
      <c r="G159" s="69" t="n"/>
    </row>
    <row r="160" ht="54" customHeight="1" s="38">
      <c r="A160" s="69" t="inlineStr">
        <is>
          <t>Puerto Antofagasta</t>
        </is>
      </c>
      <c r="B160" s="69" t="inlineStr">
        <is>
          <t>Carlos</t>
        </is>
      </c>
      <c r="C160" s="69" t="inlineStr">
        <is>
          <t>Jefe TI</t>
        </is>
      </c>
      <c r="D160" s="69" t="inlineStr">
        <is>
          <t>Puertos</t>
        </is>
      </c>
      <c r="E160" s="69" t="inlineStr">
        <is>
          <t>nan</t>
        </is>
      </c>
      <c r="F160" s="70" t="inlineStr">
        <is>
          <t>Hola Carlos, en OpenCORE desarrollamos soluciones para operadores portuarios: TOS, control de patio y trazabilidad de carga. ¿Hay algún proceso en Puerto Antofagasta donde estén buscando mayor digitalización?</t>
        </is>
      </c>
      <c r="G160" s="69" t="n"/>
    </row>
    <row r="161" ht="54" customHeight="1" s="38">
      <c r="A161" s="69" t="inlineStr">
        <is>
          <t>Puerto de Mejillones</t>
        </is>
      </c>
      <c r="B161" s="69" t="inlineStr">
        <is>
          <t>Alberto</t>
        </is>
      </c>
      <c r="C161" s="69" t="inlineStr">
        <is>
          <t>Jefe TI &amp; Transf Digital</t>
        </is>
      </c>
      <c r="D161" s="69" t="inlineStr">
        <is>
          <t>Puertos</t>
        </is>
      </c>
      <c r="E161" s="69" t="inlineStr">
        <is>
          <t>nan</t>
        </is>
      </c>
      <c r="F161" s="70" t="inlineStr">
        <is>
          <t>Hola Alberto, en OpenCORE desarrollamos soluciones para operadores portuarios: TOS, control de patio y trazabilidad de carga. ¿Hay algún proceso en Puerto de Mejillones donde estén buscando mayor digitalización?</t>
        </is>
      </c>
      <c r="G161" s="69" t="n"/>
    </row>
    <row r="162" ht="54" customHeight="1" s="38">
      <c r="A162" s="69" t="inlineStr">
        <is>
          <t>Química Industrial Spes S.A.</t>
        </is>
      </c>
      <c r="B162" s="69" t="inlineStr">
        <is>
          <t>Natalia</t>
        </is>
      </c>
      <c r="C162" s="69" t="inlineStr">
        <is>
          <t>Director Técnico</t>
        </is>
      </c>
      <c r="D162" s="69" t="inlineStr">
        <is>
          <t>Seguridad/EPP</t>
        </is>
      </c>
      <c r="E162" s="69" t="inlineStr">
        <is>
          <t>nan</t>
        </is>
      </c>
      <c r="F162" s="70" t="inlineStr">
        <is>
          <t>Hola Natalia, trabajo con distribuidores de EPP e industria química. En OpenCORE desarrollamos plataformas B2B para inventario, pedidos y trazabilidad. ¿Química Industrial Spes S.A. tiene desafíos en gestión de inventario o canal de ventas B2B?</t>
        </is>
      </c>
      <c r="G162" s="69" t="n"/>
    </row>
    <row r="163" ht="54" customHeight="1" s="38">
      <c r="A163" s="69" t="inlineStr">
        <is>
          <t>RGM Mallas de Alambre Ltda.</t>
        </is>
      </c>
      <c r="B163" s="69" t="inlineStr">
        <is>
          <t>Daniel</t>
        </is>
      </c>
      <c r="C163" s="69" t="inlineStr">
        <is>
          <t>Connectivity &amp; Net Eng.</t>
        </is>
      </c>
      <c r="D163" s="69" t="inlineStr">
        <is>
          <t>Industrial</t>
        </is>
      </c>
      <c r="E163" s="69" t="inlineStr">
        <is>
          <t>nan</t>
        </is>
      </c>
      <c r="F163" s="70" t="inlineStr">
        <is>
          <t>Hola Daniel, en OpenCORE desarrollamos software para operaciones industriales: gestión de activos, trazabilidad y control operacional a medida. ¿Hay algún proceso en RGM Mallas de Alambre Ltda. donde estén evaluando digitalizar o mejorar eficiencia?</t>
        </is>
      </c>
      <c r="G163" s="69" t="n"/>
    </row>
    <row r="164" ht="54" customHeight="1" s="38">
      <c r="A164" s="69" t="inlineStr">
        <is>
          <t>RHI Chile S.A.</t>
        </is>
      </c>
      <c r="B164" s="69" t="inlineStr">
        <is>
          <t>Luis</t>
        </is>
      </c>
      <c r="C164" s="69" t="inlineStr">
        <is>
          <t>Sales Mgr / CRM Boss</t>
        </is>
      </c>
      <c r="D164" s="69" t="inlineStr">
        <is>
          <t>Industrial</t>
        </is>
      </c>
      <c r="E164" s="69" t="inlineStr">
        <is>
          <t>nan</t>
        </is>
      </c>
      <c r="F164" s="70" t="inlineStr">
        <is>
          <t>Hola Luis, en OpenCORE desarrollamos software para operaciones industriales: gestión de activos, trazabilidad y control operacional a medida. ¿Hay algún proceso en RHI Chile S.A. donde estén evaluando digitalizar o mejorar eficiencia?</t>
        </is>
      </c>
      <c r="G164" s="69" t="n"/>
    </row>
    <row r="165" ht="54" customHeight="1" s="38">
      <c r="A165" s="69" t="inlineStr">
        <is>
          <t>Randstad</t>
        </is>
      </c>
      <c r="B165" s="69" t="inlineStr">
        <is>
          <t>Gustavo</t>
        </is>
      </c>
      <c r="C165" s="69" t="inlineStr">
        <is>
          <t>Gerente de Tecnología</t>
        </is>
      </c>
      <c r="D165" s="69" t="inlineStr">
        <is>
          <t>Industrial</t>
        </is>
      </c>
      <c r="E165" s="69" t="inlineStr">
        <is>
          <t>nan</t>
        </is>
      </c>
      <c r="F165" s="70" t="inlineStr">
        <is>
          <t>Hola Gustavo, en OpenCORE desarrollamos software para operaciones industriales: gestión de activos, trazabilidad y control operacional a medida. ¿Hay algún proceso en Randstad donde estén evaluando digitalizar o mejorar eficiencia?</t>
        </is>
      </c>
      <c r="G165" s="69" t="n"/>
    </row>
    <row r="166" ht="54" customHeight="1" s="38">
      <c r="A166" s="69" t="inlineStr">
        <is>
          <t>Reimaq y Cía. Ltda.</t>
        </is>
      </c>
      <c r="B166" s="69" t="inlineStr">
        <is>
          <t>Pablo</t>
        </is>
      </c>
      <c r="C166" s="69" t="inlineStr">
        <is>
          <t>Gerente General</t>
        </is>
      </c>
      <c r="D166" s="69" t="inlineStr">
        <is>
          <t>Minería</t>
        </is>
      </c>
      <c r="E166" s="69" t="inlineStr">
        <is>
          <t>nan</t>
        </is>
      </c>
      <c r="F166" s="70" t="inlineStr">
        <is>
          <t>Hola Pablo, trabajo con empresas del sector minero en digitalización de operaciones. En OpenCORE construimos sistemas de gestión de activos y trazabilidad para faenas. ¿Están evaluando mejorar el control de procesos críticos en Reimaq y Cía. Ltda.?</t>
        </is>
      </c>
      <c r="G166" s="69" t="n"/>
    </row>
    <row r="167" ht="54" customHeight="1" s="38">
      <c r="A167" s="69" t="inlineStr">
        <is>
          <t>Remates Macal Ltda.</t>
        </is>
      </c>
      <c r="B167" s="69" t="inlineStr">
        <is>
          <t>Alex</t>
        </is>
      </c>
      <c r="C167" s="69" t="inlineStr">
        <is>
          <t>Gerente de TI</t>
        </is>
      </c>
      <c r="D167" s="69" t="inlineStr">
        <is>
          <t>Minería</t>
        </is>
      </c>
      <c r="E167" s="69" t="inlineStr">
        <is>
          <t>nan</t>
        </is>
      </c>
      <c r="F167" s="70" t="inlineStr">
        <is>
          <t>Hola Alex, trabajo con empresas del sector minero en digitalización de operaciones. En OpenCORE construimos sistemas de gestión de activos y trazabilidad para faenas. ¿Están evaluando mejorar el control de procesos críticos en Remates Macal Ltda.?</t>
        </is>
      </c>
      <c r="G167" s="69" t="n"/>
    </row>
    <row r="168" ht="54" customHeight="1" s="38">
      <c r="A168" s="69" t="inlineStr">
        <is>
          <t>Rheintek Chile Ltda.</t>
        </is>
      </c>
      <c r="B168" s="69" t="inlineStr">
        <is>
          <t>Rafael</t>
        </is>
      </c>
      <c r="C168" s="69" t="inlineStr">
        <is>
          <t>Director Comercial</t>
        </is>
      </c>
      <c r="D168" s="69" t="inlineStr">
        <is>
          <t>Minería</t>
        </is>
      </c>
      <c r="E168" s="69" t="inlineStr">
        <is>
          <t>nan</t>
        </is>
      </c>
      <c r="F168" s="70" t="inlineStr">
        <is>
          <t>Hola Rafael, trabajo con empresas del sector minero en digitalización de operaciones. En OpenCORE construimos sistemas de gestión de activos y trazabilidad para faenas. ¿Están evaluando mejorar el control de procesos críticos en Rheintek Chile Ltda.?</t>
        </is>
      </c>
      <c r="G168" s="69" t="n"/>
    </row>
    <row r="169" ht="54" customHeight="1" s="38">
      <c r="A169" s="69" t="inlineStr">
        <is>
          <t>Rivet Ltda.</t>
        </is>
      </c>
      <c r="B169" s="69" t="inlineStr">
        <is>
          <t>Yerko</t>
        </is>
      </c>
      <c r="C169" s="69" t="inlineStr">
        <is>
          <t>Ing. Ventas (Tech Contact</t>
        </is>
      </c>
      <c r="D169" s="69" t="inlineStr">
        <is>
          <t>Industrial</t>
        </is>
      </c>
      <c r="E169" s="69" t="inlineStr">
        <is>
          <t>nan</t>
        </is>
      </c>
      <c r="F169" s="70" t="inlineStr">
        <is>
          <t>Hola Yerko, en OpenCORE desarrollamos software para operaciones industriales: gestión de activos, trazabilidad y control operacional a medida. ¿Hay algún proceso en Rivet Ltda. donde estén evaluando digitalizar o mejorar eficiencia?</t>
        </is>
      </c>
      <c r="G169" s="69" t="n"/>
    </row>
    <row r="170" ht="54" customHeight="1" s="38">
      <c r="A170" s="69" t="inlineStr">
        <is>
          <t>RockBlast</t>
        </is>
      </c>
      <c r="B170" s="69" t="inlineStr">
        <is>
          <t>Rodrigo</t>
        </is>
      </c>
      <c r="C170" s="69" t="inlineStr">
        <is>
          <t>Network Engineer OT/IT</t>
        </is>
      </c>
      <c r="D170" s="69" t="inlineStr">
        <is>
          <t>Industrial</t>
        </is>
      </c>
      <c r="E170" s="69" t="inlineStr">
        <is>
          <t>nan</t>
        </is>
      </c>
      <c r="F170" s="70" t="inlineStr">
        <is>
          <t>Hola Rodrigo, en OpenCORE desarrollamos software para operaciones industriales: gestión de activos, trazabilidad y control operacional a medida. ¿Hay algún proceso en RockBlast donde estén evaluando digitalizar o mejorar eficiencia?</t>
        </is>
      </c>
      <c r="G170" s="69" t="n"/>
    </row>
    <row r="171" ht="54" customHeight="1" s="38">
      <c r="A171" s="69" t="inlineStr">
        <is>
          <t>Rodac S.A.</t>
        </is>
      </c>
      <c r="B171" s="69" t="inlineStr">
        <is>
          <t>Augusto</t>
        </is>
      </c>
      <c r="C171" s="69" t="inlineStr">
        <is>
          <t>Gerente General</t>
        </is>
      </c>
      <c r="D171" s="69" t="inlineStr">
        <is>
          <t>Minería</t>
        </is>
      </c>
      <c r="E171" s="69" t="inlineStr">
        <is>
          <t>nan</t>
        </is>
      </c>
      <c r="F171" s="70" t="inlineStr">
        <is>
          <t>Hola Augusto, trabajo con empresas del sector minero en digitalización de operaciones. En OpenCORE construimos sistemas de gestión de activos y trazabilidad para faenas. ¿Están evaluando mejorar el control de procesos críticos en Rodac S.A.?</t>
        </is>
      </c>
      <c r="G171" s="69" t="n"/>
    </row>
    <row r="172" ht="54" customHeight="1" s="38">
      <c r="A172" s="69" t="inlineStr">
        <is>
          <t>Rodaméndez Ltda.</t>
        </is>
      </c>
      <c r="B172" s="69" t="inlineStr">
        <is>
          <t>Jaime</t>
        </is>
      </c>
      <c r="C172" s="69" t="inlineStr">
        <is>
          <t>Gerente General</t>
        </is>
      </c>
      <c r="D172" s="69" t="inlineStr">
        <is>
          <t>Energía</t>
        </is>
      </c>
      <c r="E172" s="69" t="inlineStr">
        <is>
          <t>nan</t>
        </is>
      </c>
      <c r="F172" s="70" t="inlineStr">
        <is>
          <t>Hola Jaime, en OpenCORE trabajamos con empresas del sector energético en sistemas de monitoreo y gestión de activos eléctricos. ¿Rodaméndez Ltda. está evaluando soluciones para mejorar la trazabilidad de operaciones?</t>
        </is>
      </c>
      <c r="G172" s="69" t="n"/>
    </row>
    <row r="173" ht="54" customHeight="1" s="38">
      <c r="A173" s="69" t="inlineStr">
        <is>
          <t>Rthö Elektrische</t>
        </is>
      </c>
      <c r="B173" s="69" t="inlineStr">
        <is>
          <t>Matías</t>
        </is>
      </c>
      <c r="C173" s="69" t="inlineStr">
        <is>
          <t>Gerente General</t>
        </is>
      </c>
      <c r="D173" s="69" t="inlineStr">
        <is>
          <t>Industrial</t>
        </is>
      </c>
      <c r="E173" s="69" t="inlineStr">
        <is>
          <t>nan</t>
        </is>
      </c>
      <c r="F173" s="70" t="inlineStr">
        <is>
          <t>Hola Matías, en OpenCORE desarrollamos software para operaciones industriales: gestión de activos, trazabilidad y control operacional a medida. ¿Hay algún proceso en Rthö Elektrische donde estén evaluando digitalizar o mejorar eficiencia?</t>
        </is>
      </c>
      <c r="G173" s="69" t="n"/>
    </row>
    <row r="174" ht="54" customHeight="1" s="38">
      <c r="A174" s="69" t="inlineStr">
        <is>
          <t>SKM Industrial Ltda.</t>
        </is>
      </c>
      <c r="B174" s="69" t="inlineStr">
        <is>
          <t>Juan</t>
        </is>
      </c>
      <c r="C174" s="69" t="inlineStr">
        <is>
          <t>Gerente Proyectos</t>
        </is>
      </c>
      <c r="D174" s="69" t="inlineStr">
        <is>
          <t>Energía</t>
        </is>
      </c>
      <c r="E174" s="69" t="inlineStr">
        <is>
          <t>nan</t>
        </is>
      </c>
      <c r="F174" s="70" t="inlineStr">
        <is>
          <t>Hola Juan, en OpenCORE trabajamos con empresas del sector energético en sistemas de monitoreo y gestión de activos eléctricos. ¿SKM Industrial Ltda. está evaluando soluciones para mejorar la trazabilidad de operaciones?</t>
        </is>
      </c>
      <c r="G174" s="69" t="n"/>
    </row>
    <row r="175" ht="54" customHeight="1" s="38">
      <c r="A175" s="69" t="inlineStr">
        <is>
          <t>SKY Airline</t>
        </is>
      </c>
      <c r="B175" s="69" t="inlineStr">
        <is>
          <t>Iskun</t>
        </is>
      </c>
      <c r="C175" s="69" t="inlineStr">
        <is>
          <t>CDO &amp; CIO</t>
        </is>
      </c>
      <c r="D175" s="69" t="inlineStr">
        <is>
          <t>Logística</t>
        </is>
      </c>
      <c r="E175" s="69" t="inlineStr">
        <is>
          <t>nan</t>
        </is>
      </c>
      <c r="F175" s="70" t="inlineStr">
        <is>
          <t>Hola Iskun, vi que SKY Airline opera en logística y transporte. En OpenCORE desarrollamos plataformas que conectan tracking, WMS y ERP en tiempo real. ¿Tienen desafíos con visibilidad de carga o trazabilidad operativa?</t>
        </is>
      </c>
      <c r="G175" s="69" t="n"/>
    </row>
    <row r="176" ht="54" customHeight="1" s="38">
      <c r="A176" s="69" t="inlineStr">
        <is>
          <t>Saam Extraportuarios</t>
        </is>
      </c>
      <c r="B176" s="69" t="inlineStr">
        <is>
          <t>Juan</t>
        </is>
      </c>
      <c r="C176" s="69" t="inlineStr">
        <is>
          <t>Group CIO</t>
        </is>
      </c>
      <c r="D176" s="69" t="inlineStr">
        <is>
          <t>Logística</t>
        </is>
      </c>
      <c r="E176" s="69" t="inlineStr">
        <is>
          <t>nan</t>
        </is>
      </c>
      <c r="F176" s="70" t="inlineStr">
        <is>
          <t>Hola Juan, vi que Saam Extraportuarios opera en logística y transporte. En OpenCORE desarrollamos plataformas que conectan tracking, WMS y ERP en tiempo real. ¿Tienen desafíos con visibilidad de carga o trazabilidad operativa?</t>
        </is>
      </c>
      <c r="G176" s="69" t="n"/>
    </row>
    <row r="177" ht="54" customHeight="1" s="38">
      <c r="A177" s="69" t="inlineStr">
        <is>
          <t>Saam S.A.</t>
        </is>
      </c>
      <c r="B177" s="69" t="inlineStr">
        <is>
          <t>Juan</t>
        </is>
      </c>
      <c r="C177" s="69" t="inlineStr">
        <is>
          <t>Group CIO</t>
        </is>
      </c>
      <c r="D177" s="69" t="inlineStr">
        <is>
          <t>Logística</t>
        </is>
      </c>
      <c r="E177" s="69" t="inlineStr">
        <is>
          <t>nan</t>
        </is>
      </c>
      <c r="F177" s="70" t="inlineStr">
        <is>
          <t>Hola Juan, vi que Saam S.A. opera en logística y transporte. En OpenCORE desarrollamos plataformas que conectan tracking, WMS y ERP en tiempo real. ¿Tienen desafíos con visibilidad de carga o trazabilidad operativa?</t>
        </is>
      </c>
      <c r="G177" s="69" t="n"/>
    </row>
    <row r="178" ht="54" customHeight="1" s="38">
      <c r="A178" s="69" t="inlineStr">
        <is>
          <t>Saavedra y Abalo M&amp;S Ltda.</t>
        </is>
      </c>
      <c r="B178" s="69" t="inlineStr">
        <is>
          <t>Jorge</t>
        </is>
      </c>
      <c r="C178" s="69" t="inlineStr">
        <is>
          <t>Jefe de Operaciones (IT Resp</t>
        </is>
      </c>
      <c r="D178" s="69" t="inlineStr">
        <is>
          <t>Minería</t>
        </is>
      </c>
      <c r="E178" s="69" t="inlineStr">
        <is>
          <t>nan</t>
        </is>
      </c>
      <c r="F178" s="70" t="inlineStr">
        <is>
          <t>Hola Jorge, trabajo con empresas del sector minero en digitalización de operaciones. En OpenCORE construimos sistemas de gestión de activos y trazabilidad para faenas. ¿Están evaluando mejorar el control de procesos críticos en Saavedra y Abalo M&amp;S Ltda.?</t>
        </is>
      </c>
      <c r="G178" s="69" t="n"/>
    </row>
    <row r="179" ht="54" customHeight="1" s="38">
      <c r="A179" s="69" t="inlineStr">
        <is>
          <t>Samtech S.A.</t>
        </is>
      </c>
      <c r="B179" s="69" t="inlineStr">
        <is>
          <t>Claudio</t>
        </is>
      </c>
      <c r="C179" s="69" t="inlineStr">
        <is>
          <t>Gerente de Infraestructura y Seguridad</t>
        </is>
      </c>
      <c r="D179" s="69" t="inlineStr">
        <is>
          <t>Industrial</t>
        </is>
      </c>
      <c r="E179" s="69" t="inlineStr">
        <is>
          <t>nan</t>
        </is>
      </c>
      <c r="F179" s="70" t="inlineStr">
        <is>
          <t>Hola Claudio, en OpenCORE desarrollamos software para operaciones industriales: gestión de activos, trazabilidad y control operacional a medida. ¿Hay algún proceso en Samtech S.A. donde estén evaluando digitalizar o mejorar eficiencia?</t>
        </is>
      </c>
      <c r="G179" s="69" t="n"/>
    </row>
    <row r="180" ht="54" customHeight="1" s="38">
      <c r="A180" s="69" t="inlineStr">
        <is>
          <t>Sargent S.A.</t>
        </is>
      </c>
      <c r="B180" s="69" t="inlineStr">
        <is>
          <t>Mario</t>
        </is>
      </c>
      <c r="C180" s="69" t="inlineStr">
        <is>
          <t>Jefe de Sistemas</t>
        </is>
      </c>
      <c r="D180" s="69" t="inlineStr">
        <is>
          <t>Automatiz.</t>
        </is>
      </c>
      <c r="E180" s="69" t="inlineStr">
        <is>
          <t>nan</t>
        </is>
      </c>
      <c r="F180" s="70" t="inlineStr">
        <is>
          <t>Hola Mario, vi que Sargent S.A. trabaja en automatización industrial. En OpenCORE desarrollamos capas de software sobre sistemas SCADA/PLC para análisis y gestión de datos operacionales. ¿Hay proyectos de digitalización en carpeta?</t>
        </is>
      </c>
      <c r="G180" s="69" t="n"/>
    </row>
    <row r="181" ht="54" customHeight="1" s="38">
      <c r="A181" s="69" t="inlineStr">
        <is>
          <t>Sattel Chile Ltda.</t>
        </is>
      </c>
      <c r="B181" s="69" t="inlineStr">
        <is>
          <t>Jairo</t>
        </is>
      </c>
      <c r="C181" s="69" t="inlineStr">
        <is>
          <t>Gerente Operaciones</t>
        </is>
      </c>
      <c r="D181" s="69" t="inlineStr">
        <is>
          <t>Energía</t>
        </is>
      </c>
      <c r="E181" s="69" t="inlineStr">
        <is>
          <t>nan</t>
        </is>
      </c>
      <c r="F181" s="70" t="inlineStr">
        <is>
          <t>Hola Jairo, en OpenCORE trabajamos con empresas del sector energético en sistemas de monitoreo y gestión de activos eléctricos. ¿Sattel Chile Ltda. está evaluando soluciones para mejorar la trazabilidad de operaciones?</t>
        </is>
      </c>
      <c r="G181" s="69" t="n"/>
    </row>
    <row r="182" ht="54" customHeight="1" s="38">
      <c r="A182" s="69" t="inlineStr">
        <is>
          <t>Scafom-Rux Chile SpA</t>
        </is>
      </c>
      <c r="B182" s="69" t="inlineStr">
        <is>
          <t>Cristian</t>
        </is>
      </c>
      <c r="C182" s="69" t="inlineStr">
        <is>
          <t>Operations Manager</t>
        </is>
      </c>
      <c r="D182" s="69" t="inlineStr">
        <is>
          <t>Construcción</t>
        </is>
      </c>
      <c r="E182" s="69" t="inlineStr">
        <is>
          <t>nan</t>
        </is>
      </c>
      <c r="F182" s="70" t="inlineStr">
        <is>
          <t>Hola Cristian, vi que Scafom-Rux Chile SpA trabaja en proyectos de construcción e ingeniería. En OpenCORE hacemos software de control de avance, costos y subcontratos en terreno. ¿Tienen desafíos en la visibilidad de proyectos o control de avance?</t>
        </is>
      </c>
      <c r="G182" s="69" t="n"/>
    </row>
    <row r="183" ht="54" customHeight="1" s="38">
      <c r="A183" s="69" t="inlineStr">
        <is>
          <t>Scan Global Logistics Chile S.A.</t>
        </is>
      </c>
      <c r="B183" s="69" t="inlineStr">
        <is>
          <t>Eduardo</t>
        </is>
      </c>
      <c r="C183" s="69" t="inlineStr">
        <is>
          <t>IT Manager Chile</t>
        </is>
      </c>
      <c r="D183" s="69" t="inlineStr">
        <is>
          <t>Logística</t>
        </is>
      </c>
      <c r="E183" s="69" t="inlineStr">
        <is>
          <t>nan</t>
        </is>
      </c>
      <c r="F183" s="70" t="inlineStr">
        <is>
          <t>Hola Eduardo, vi que Scan Global Logistics Chile S.A. opera en logística y transporte. En OpenCORE desarrollamos plataformas que conectan tracking, WMS y ERP en tiempo real. ¿Tienen desafíos con visibilidad de carga o trazabilidad operativa?</t>
        </is>
      </c>
      <c r="G183" s="69" t="n"/>
    </row>
    <row r="184" ht="54" customHeight="1" s="38">
      <c r="A184" s="69" t="inlineStr">
        <is>
          <t>Scanavini S.A.</t>
        </is>
      </c>
      <c r="B184" s="69" t="inlineStr">
        <is>
          <t>Manuel</t>
        </is>
      </c>
      <c r="C184" s="69" t="inlineStr">
        <is>
          <t>Jefe de Sistemas</t>
        </is>
      </c>
      <c r="D184" s="69" t="inlineStr">
        <is>
          <t>Seguridad/EPP</t>
        </is>
      </c>
      <c r="E184" s="69" t="inlineStr">
        <is>
          <t>nan</t>
        </is>
      </c>
      <c r="F184" s="70" t="inlineStr">
        <is>
          <t>Hola Manuel, trabajo con distribuidores de EPP e industria química. En OpenCORE desarrollamos plataformas B2B para inventario, pedidos y trazabilidad. ¿Scanavini S.A. tiene desafíos en gestión de inventario o canal de ventas B2B?</t>
        </is>
      </c>
      <c r="G184" s="69" t="n"/>
    </row>
    <row r="185" ht="54" customHeight="1" s="38">
      <c r="A185" s="69" t="inlineStr">
        <is>
          <t>Scancontrols</t>
        </is>
      </c>
      <c r="B185" s="69" t="inlineStr">
        <is>
          <t>Patricio</t>
        </is>
      </c>
      <c r="C185" s="69" t="inlineStr">
        <is>
          <t>Jefe de Informática</t>
        </is>
      </c>
      <c r="D185" s="69" t="inlineStr">
        <is>
          <t>Repuestos</t>
        </is>
      </c>
      <c r="E185" s="69" t="inlineStr">
        <is>
          <t>nan</t>
        </is>
      </c>
      <c r="F185" s="70" t="inlineStr">
        <is>
          <t>Hola Patricio, en OpenCORE construimos software para empresas de repuestos y mantención: control de stock, trazabilidad de fallas y planificación de mantenimiento. ¿Tienen algún dolor en gestión de inventario o tiempo de respuesta?</t>
        </is>
      </c>
      <c r="G185" s="69" t="n"/>
    </row>
    <row r="186" ht="54" customHeight="1" s="38">
      <c r="A186" s="69" t="inlineStr">
        <is>
          <t>Scharfstein S.A.</t>
        </is>
      </c>
      <c r="B186" s="69" t="inlineStr">
        <is>
          <t>Pablo</t>
        </is>
      </c>
      <c r="C186" s="69" t="inlineStr">
        <is>
          <t>Encargado IT e Infraestructura</t>
        </is>
      </c>
      <c r="D186" s="69" t="inlineStr">
        <is>
          <t>Seguridad/EPP</t>
        </is>
      </c>
      <c r="E186" s="69" t="inlineStr">
        <is>
          <t>nan</t>
        </is>
      </c>
      <c r="F186" s="70" t="inlineStr">
        <is>
          <t>Hola Pablo, trabajo con distribuidores de EPP e industria química. En OpenCORE desarrollamos plataformas B2B para inventario, pedidos y trazabilidad. ¿Scharfstein S.A. tiene desafíos en gestión de inventario o canal de ventas B2B?</t>
        </is>
      </c>
      <c r="G186" s="69" t="n"/>
    </row>
    <row r="187" ht="54" customHeight="1" s="38">
      <c r="A187" s="69" t="inlineStr">
        <is>
          <t>Serpram S.A.</t>
        </is>
      </c>
      <c r="B187" s="69" t="inlineStr">
        <is>
          <t>Andrés</t>
        </is>
      </c>
      <c r="C187" s="69" t="inlineStr">
        <is>
          <t>TIC Manager</t>
        </is>
      </c>
      <c r="D187" s="69" t="inlineStr">
        <is>
          <t>Industrial</t>
        </is>
      </c>
      <c r="E187" s="69" t="inlineStr">
        <is>
          <t>nan</t>
        </is>
      </c>
      <c r="F187" s="70" t="inlineStr">
        <is>
          <t>Hola Andrés, en OpenCORE desarrollamos software para operaciones industriales: gestión de activos, trazabilidad y control operacional a medida. ¿Hay algún proceso en Serpram S.A. donde estén evaluando digitalizar o mejorar eficiencia?</t>
        </is>
      </c>
      <c r="G187" s="69" t="n"/>
    </row>
    <row r="188" ht="54" customHeight="1" s="38">
      <c r="A188" s="69" t="inlineStr">
        <is>
          <t>Shimin Ingeniería SpA</t>
        </is>
      </c>
      <c r="B188" s="69" t="inlineStr">
        <is>
          <t>Luis</t>
        </is>
      </c>
      <c r="C188" s="69" t="inlineStr">
        <is>
          <t>Gerente Proyectos</t>
        </is>
      </c>
      <c r="D188" s="69" t="inlineStr">
        <is>
          <t>Logística</t>
        </is>
      </c>
      <c r="E188" s="69" t="inlineStr">
        <is>
          <t>nan</t>
        </is>
      </c>
      <c r="F188" s="70" t="inlineStr">
        <is>
          <t>Hola Luis, vi que Shimin Ingeniería SpA opera en logística y transporte. En OpenCORE desarrollamos plataformas que conectan tracking, WMS y ERP en tiempo real. ¿Tienen desafíos con visibilidad de carga o trazabilidad operativa?</t>
        </is>
      </c>
      <c r="G188" s="69" t="n"/>
    </row>
    <row r="189" ht="54" customHeight="1" s="38">
      <c r="A189" s="69" t="inlineStr">
        <is>
          <t>Sick SpA</t>
        </is>
      </c>
      <c r="B189" s="69" t="inlineStr">
        <is>
          <t>Jared</t>
        </is>
      </c>
      <c r="C189" s="69" t="inlineStr">
        <is>
          <t>Head Product Management</t>
        </is>
      </c>
      <c r="D189" s="69" t="inlineStr">
        <is>
          <t>Energía</t>
        </is>
      </c>
      <c r="E189" s="69" t="inlineStr">
        <is>
          <t>nan</t>
        </is>
      </c>
      <c r="F189" s="70" t="inlineStr">
        <is>
          <t>Hola Jared, en OpenCORE trabajamos con empresas del sector energético en sistemas de monitoreo y gestión de activos eléctricos. ¿Sick SpA está evaluando soluciones para mejorar la trazabilidad de operaciones?</t>
        </is>
      </c>
      <c r="G189" s="69" t="n"/>
    </row>
    <row r="190" ht="54" customHeight="1" s="38">
      <c r="A190" s="69" t="inlineStr">
        <is>
          <t>Sitrans Ltda.</t>
        </is>
      </c>
      <c r="B190" s="69" t="inlineStr">
        <is>
          <t>Luis</t>
        </is>
      </c>
      <c r="C190" s="69" t="inlineStr">
        <is>
          <t>Gerente Procesos y TI</t>
        </is>
      </c>
      <c r="D190" s="69" t="inlineStr">
        <is>
          <t>Logística</t>
        </is>
      </c>
      <c r="E190" s="69" t="inlineStr">
        <is>
          <t>nan</t>
        </is>
      </c>
      <c r="F190" s="70" t="inlineStr">
        <is>
          <t>Hola Luis, vi que Sitrans Ltda. opera en logística y transporte. En OpenCORE desarrollamos plataformas que conectan tracking, WMS y ERP en tiempo real. ¿Tienen desafíos con visibilidad de carga o trazabilidad operativa?</t>
        </is>
      </c>
      <c r="G190" s="69" t="n"/>
    </row>
    <row r="191" ht="54" customHeight="1" s="38">
      <c r="A191" s="69" t="inlineStr">
        <is>
          <t>Socadin</t>
        </is>
      </c>
      <c r="B191" s="69" t="inlineStr">
        <is>
          <t>Felipe</t>
        </is>
      </c>
      <c r="C191" s="69" t="inlineStr">
        <is>
          <t>Jefe de Operaciones</t>
        </is>
      </c>
      <c r="D191" s="69" t="inlineStr">
        <is>
          <t>Minería</t>
        </is>
      </c>
      <c r="E191" s="69" t="inlineStr">
        <is>
          <t>nan</t>
        </is>
      </c>
      <c r="F191" s="70" t="inlineStr">
        <is>
          <t>Hola Felipe, trabajo con empresas del sector minero en digitalización de operaciones. En OpenCORE construimos sistemas de gestión de activos y trazabilidad para faenas. ¿Están evaluando mejorar el control de procesos críticos en Socadin?</t>
        </is>
      </c>
      <c r="G191" s="69" t="n"/>
    </row>
    <row r="192" ht="54" customHeight="1" s="38">
      <c r="A192" s="69" t="inlineStr">
        <is>
          <t>Solarpack Chile Ltda.</t>
        </is>
      </c>
      <c r="B192" s="69" t="inlineStr">
        <is>
          <t>Enrique</t>
        </is>
      </c>
      <c r="C192" s="69" t="inlineStr">
        <is>
          <t>EPC Manager</t>
        </is>
      </c>
      <c r="D192" s="69" t="inlineStr">
        <is>
          <t>Energía</t>
        </is>
      </c>
      <c r="E192" s="69" t="inlineStr">
        <is>
          <t>nan</t>
        </is>
      </c>
      <c r="F192" s="70" t="inlineStr">
        <is>
          <t>Hola Enrique, en OpenCORE trabajamos con empresas del sector energético en sistemas de monitoreo y gestión de activos eléctricos. ¿Solarpack Chile Ltda. está evaluando soluciones para mejorar la trazabilidad de operaciones?</t>
        </is>
      </c>
      <c r="G192" s="69" t="n"/>
    </row>
    <row r="193" ht="54" customHeight="1" s="38">
      <c r="A193" s="69" t="inlineStr">
        <is>
          <t>Systec S.A.</t>
        </is>
      </c>
      <c r="B193" s="69" t="inlineStr">
        <is>
          <t>Luis</t>
        </is>
      </c>
      <c r="C193" s="69" t="inlineStr">
        <is>
          <t>Gerente TI / CDO</t>
        </is>
      </c>
      <c r="D193" s="69" t="inlineStr">
        <is>
          <t>Energía</t>
        </is>
      </c>
      <c r="E193" s="69" t="inlineStr">
        <is>
          <t>nan</t>
        </is>
      </c>
      <c r="F193" s="70" t="inlineStr">
        <is>
          <t>Hola Luis, en OpenCORE trabajamos con empresas del sector energético en sistemas de monitoreo y gestión de activos eléctricos. ¿Systec S.A. está evaluando soluciones para mejorar la trazabilidad de operaciones?</t>
        </is>
      </c>
      <c r="G193" s="69" t="n"/>
    </row>
    <row r="194" ht="54" customHeight="1" s="38">
      <c r="A194" s="69" t="inlineStr">
        <is>
          <t>THC Chile S.A.</t>
        </is>
      </c>
      <c r="B194" s="69" t="inlineStr">
        <is>
          <t>Tech</t>
        </is>
      </c>
      <c r="C194" s="69" t="inlineStr">
        <is>
          <t>Tech Lead</t>
        </is>
      </c>
      <c r="D194" s="69" t="inlineStr">
        <is>
          <t>Industrial</t>
        </is>
      </c>
      <c r="E194" s="69" t="inlineStr">
        <is>
          <t>nan</t>
        </is>
      </c>
      <c r="F194" s="70" t="inlineStr">
        <is>
          <t>Hola Tech, en OpenCORE desarrollamos software para operaciones industriales: gestión de activos, trazabilidad y control operacional a medida. ¿Hay algún proceso en THC Chile S.A. donde estén evaluando digitalizar o mejorar eficiencia?</t>
        </is>
      </c>
      <c r="G194" s="69" t="n"/>
    </row>
    <row r="195" ht="54" customHeight="1" s="38">
      <c r="A195" s="69" t="inlineStr">
        <is>
          <t>TIMining</t>
        </is>
      </c>
      <c r="B195" s="69" t="inlineStr">
        <is>
          <t>Carlo</t>
        </is>
      </c>
      <c r="C195" s="69" t="inlineStr">
        <is>
          <t>CTO</t>
        </is>
      </c>
      <c r="D195" s="69" t="inlineStr">
        <is>
          <t>TI/Telecom</t>
        </is>
      </c>
      <c r="E195" s="69" t="inlineStr">
        <is>
          <t>nan</t>
        </is>
      </c>
      <c r="F195" s="70" t="inlineStr">
        <is>
          <t>Hola Carlo, en OpenCORE desarrollamos software industrial a medida para empresas que digitalizan procesos críticos. ¿Trabajan con clientes industriales donde podría haber sinergia con TIMining?</t>
        </is>
      </c>
      <c r="G195" s="69" t="n"/>
    </row>
    <row r="196" ht="54" customHeight="1" s="38">
      <c r="A196" s="69" t="inlineStr">
        <is>
          <t>Technosteel</t>
        </is>
      </c>
      <c r="B196" s="69" t="inlineStr">
        <is>
          <t>Ariel</t>
        </is>
      </c>
      <c r="C196" s="69" t="inlineStr">
        <is>
          <t>Jefe de Planta</t>
        </is>
      </c>
      <c r="D196" s="69" t="inlineStr">
        <is>
          <t>Minería</t>
        </is>
      </c>
      <c r="E196" s="69" t="inlineStr">
        <is>
          <t>nan</t>
        </is>
      </c>
      <c r="F196" s="70" t="inlineStr">
        <is>
          <t>Hola Ariel, trabajo con empresas del sector minero en digitalización de operaciones. En OpenCORE construimos sistemas de gestión de activos y trazabilidad para faenas. ¿Están evaluando mejorar el control de procesos críticos en Technosteel?</t>
        </is>
      </c>
      <c r="G196" s="69" t="n"/>
    </row>
    <row r="197" ht="54" customHeight="1" s="38">
      <c r="A197" s="69" t="inlineStr">
        <is>
          <t>Terraservice S.A.</t>
        </is>
      </c>
      <c r="B197" s="69" t="inlineStr">
        <is>
          <t>Juan</t>
        </is>
      </c>
      <c r="C197" s="69" t="inlineStr">
        <is>
          <t>Jefe de TI</t>
        </is>
      </c>
      <c r="D197" s="69" t="inlineStr">
        <is>
          <t>Construcción</t>
        </is>
      </c>
      <c r="E197" s="69" t="inlineStr">
        <is>
          <t>nan</t>
        </is>
      </c>
      <c r="F197" s="70" t="inlineStr">
        <is>
          <t>Hola Juan, vi que Terraservice S.A. trabaja en proyectos de construcción e ingeniería. En OpenCORE hacemos software de control de avance, costos y subcontratos en terreno. ¿Tienen desafíos en la visibilidad de proyectos o control de avance?</t>
        </is>
      </c>
      <c r="G197" s="69" t="n"/>
    </row>
    <row r="198" ht="54" customHeight="1" s="38">
      <c r="A198" s="69" t="inlineStr">
        <is>
          <t>Tesa Tape Chile S.A.</t>
        </is>
      </c>
      <c r="B198" s="69" t="inlineStr">
        <is>
          <t>Marcelo</t>
        </is>
      </c>
      <c r="C198" s="69" t="inlineStr">
        <is>
          <t>IT Manager Chile</t>
        </is>
      </c>
      <c r="D198" s="69" t="inlineStr">
        <is>
          <t>Industrial</t>
        </is>
      </c>
      <c r="E198" s="69" t="inlineStr">
        <is>
          <t>nan</t>
        </is>
      </c>
      <c r="F198" s="70" t="inlineStr">
        <is>
          <t>Hola Marcelo, en OpenCORE desarrollamos software para operaciones industriales: gestión de activos, trazabilidad y control operacional a medida. ¿Hay algún proceso en Tesa Tape Chile S.A. donde estén evaluando digitalizar o mejorar eficiencia?</t>
        </is>
      </c>
      <c r="G198" s="69" t="n"/>
    </row>
    <row r="199" ht="54" customHeight="1" s="38">
      <c r="A199" s="69" t="inlineStr">
        <is>
          <t>Tesacom</t>
        </is>
      </c>
      <c r="B199" s="69" t="inlineStr">
        <is>
          <t>Álvaro</t>
        </is>
      </c>
      <c r="C199" s="69" t="inlineStr">
        <is>
          <t>Gerente Ingeniería/TI</t>
        </is>
      </c>
      <c r="D199" s="69" t="inlineStr">
        <is>
          <t>TI/Telecom</t>
        </is>
      </c>
      <c r="E199" s="69" t="inlineStr">
        <is>
          <t>nan</t>
        </is>
      </c>
      <c r="F199" s="70" t="inlineStr">
        <is>
          <t>Hola Álvaro, en OpenCORE desarrollamos software industrial a medida para empresas que digitalizan procesos críticos. ¿Trabajan con clientes industriales donde podría haber sinergia con Tesacom?</t>
        </is>
      </c>
      <c r="G199" s="69" t="n"/>
    </row>
    <row r="200" ht="54" customHeight="1" s="38">
      <c r="A200" s="69" t="inlineStr">
        <is>
          <t>Thermal Engineering Ltda.</t>
        </is>
      </c>
      <c r="B200" s="69" t="inlineStr">
        <is>
          <t>Technical</t>
        </is>
      </c>
      <c r="C200" s="69" t="inlineStr">
        <is>
          <t>Technical Lead</t>
        </is>
      </c>
      <c r="D200" s="69" t="inlineStr">
        <is>
          <t>Industrial</t>
        </is>
      </c>
      <c r="E200" s="69" t="inlineStr">
        <is>
          <t>nan</t>
        </is>
      </c>
      <c r="F200" s="70" t="inlineStr">
        <is>
          <t>Hola Technical, en OpenCORE desarrollamos software para operaciones industriales: gestión de activos, trazabilidad y control operacional a medida. ¿Hay algún proceso en Thermal Engineering Ltda. donde estén evaluando digitalizar o mejorar eficiencia?</t>
        </is>
      </c>
      <c r="G200" s="69" t="n"/>
    </row>
    <row r="201" ht="54" customHeight="1" s="38">
      <c r="A201" s="69" t="inlineStr">
        <is>
          <t>Thermo Fisher Scientific</t>
        </is>
      </c>
      <c r="B201" s="69" t="inlineStr">
        <is>
          <t>Joaquin</t>
        </is>
      </c>
      <c r="C201" s="69" t="inlineStr">
        <is>
          <t>Lead Desktop Support Analyst</t>
        </is>
      </c>
      <c r="D201" s="69" t="inlineStr">
        <is>
          <t>Seguridad/EPP</t>
        </is>
      </c>
      <c r="E201" s="69" t="inlineStr">
        <is>
          <t>nan</t>
        </is>
      </c>
      <c r="F201" s="70" t="inlineStr">
        <is>
          <t>Hola Joaquin, trabajo con distribuidores de EPP e industria química. En OpenCORE desarrollamos plataformas B2B para inventario, pedidos y trazabilidad. ¿Thermo Fisher Scientific tiene desafíos en gestión de inventario o canal de ventas B2B?</t>
        </is>
      </c>
      <c r="G201" s="69" t="n"/>
    </row>
    <row r="202" ht="54" customHeight="1" s="38">
      <c r="A202" s="69" t="inlineStr">
        <is>
          <t>Tiar Ltda.</t>
        </is>
      </c>
      <c r="B202" s="69" t="inlineStr">
        <is>
          <t>Jose</t>
        </is>
      </c>
      <c r="C202" s="69" t="inlineStr">
        <is>
          <t>Gerente General</t>
        </is>
      </c>
      <c r="D202" s="69" t="inlineStr">
        <is>
          <t>Industrial</t>
        </is>
      </c>
      <c r="E202" s="69" t="inlineStr">
        <is>
          <t>nan</t>
        </is>
      </c>
      <c r="F202" s="70" t="inlineStr">
        <is>
          <t>Hola Jose, en OpenCORE desarrollamos software para operaciones industriales: gestión de activos, trazabilidad y control operacional a medida. ¿Hay algún proceso en Tiar Ltda. donde estén evaluando digitalizar o mejorar eficiencia?</t>
        </is>
      </c>
      <c r="G202" s="69" t="n"/>
    </row>
    <row r="203" ht="54" customHeight="1" s="38">
      <c r="A203" s="69" t="inlineStr">
        <is>
          <t>Tigre Chile S.A.</t>
        </is>
      </c>
      <c r="B203" s="69" t="inlineStr">
        <is>
          <t>Rodrigo</t>
        </is>
      </c>
      <c r="C203" s="69" t="inlineStr">
        <is>
          <t>IT &amp; Systems Manager Chile</t>
        </is>
      </c>
      <c r="D203" s="69" t="inlineStr">
        <is>
          <t>Repuestos</t>
        </is>
      </c>
      <c r="E203" s="69" t="inlineStr">
        <is>
          <t>nan</t>
        </is>
      </c>
      <c r="F203" s="70" t="inlineStr">
        <is>
          <t>Hola Rodrigo, en OpenCORE construimos software para empresas de repuestos y mantención: control de stock, trazabilidad de fallas y planificación de mantenimiento. ¿Tienen algún dolor en gestión de inventario o tiempo de respuesta?</t>
        </is>
      </c>
      <c r="G203" s="69" t="n"/>
    </row>
    <row r="204" ht="54" customHeight="1" s="38">
      <c r="A204" s="69" t="inlineStr">
        <is>
          <t>Todo Izaje</t>
        </is>
      </c>
      <c r="B204" s="69" t="inlineStr">
        <is>
          <t>Gonzalo</t>
        </is>
      </c>
      <c r="C204" s="69" t="inlineStr">
        <is>
          <t>Gerente Operaciones</t>
        </is>
      </c>
      <c r="D204" s="69" t="inlineStr">
        <is>
          <t>Industrial</t>
        </is>
      </c>
      <c r="E204" s="69" t="inlineStr">
        <is>
          <t>nan</t>
        </is>
      </c>
      <c r="F204" s="70" t="inlineStr">
        <is>
          <t>Hola Gonzalo, en OpenCORE desarrollamos software para operaciones industriales: gestión de activos, trazabilidad y control operacional a medida. ¿Hay algún proceso en Todo Izaje donde estén evaluando digitalizar o mejorar eficiencia?</t>
        </is>
      </c>
      <c r="G204" s="69" t="n"/>
    </row>
    <row r="205" ht="54" customHeight="1" s="38">
      <c r="A205" s="69" t="inlineStr">
        <is>
          <t>Tracktec Ltda.</t>
        </is>
      </c>
      <c r="B205" s="69" t="inlineStr">
        <is>
          <t>Renato</t>
        </is>
      </c>
      <c r="C205" s="69" t="inlineStr">
        <is>
          <t>CEO | Transformación Digital</t>
        </is>
      </c>
      <c r="D205" s="69" t="inlineStr">
        <is>
          <t>Industrial</t>
        </is>
      </c>
      <c r="E205" s="69" t="inlineStr">
        <is>
          <t>nan</t>
        </is>
      </c>
      <c r="F205" s="70" t="inlineStr">
        <is>
          <t>Hola Renato, en OpenCORE desarrollamos software para operaciones industriales: gestión de activos, trazabilidad y control operacional a medida. ¿Hay algún proceso en Tracktec Ltda. donde estén evaluando digitalizar o mejorar eficiencia?</t>
        </is>
      </c>
      <c r="G205" s="69" t="n"/>
    </row>
    <row r="206" ht="54" customHeight="1" s="38">
      <c r="A206" s="69" t="inlineStr">
        <is>
          <t>Tradecor S.A.</t>
        </is>
      </c>
      <c r="B206" s="69" t="inlineStr">
        <is>
          <t>Carolina</t>
        </is>
      </c>
      <c r="C206" s="69" t="inlineStr">
        <is>
          <t>Key Account Manager</t>
        </is>
      </c>
      <c r="D206" s="69" t="inlineStr">
        <is>
          <t>Industrial</t>
        </is>
      </c>
      <c r="E206" s="69" t="inlineStr">
        <is>
          <t>nan</t>
        </is>
      </c>
      <c r="F206" s="70" t="inlineStr">
        <is>
          <t>Hola Carolina, en OpenCORE desarrollamos software para operaciones industriales: gestión de activos, trazabilidad y control operacional a medida. ¿Hay algún proceso en Tradecor S.A. donde estén evaluando digitalizar o mejorar eficiencia?</t>
        </is>
      </c>
      <c r="G206" s="69" t="n"/>
    </row>
    <row r="207" ht="54" customHeight="1" s="38">
      <c r="A207" s="69" t="inlineStr">
        <is>
          <t>Trane de Chile S.A.</t>
        </is>
      </c>
      <c r="B207" s="69" t="inlineStr">
        <is>
          <t>Gonzalo</t>
        </is>
      </c>
      <c r="C207" s="69" t="inlineStr">
        <is>
          <t>IT Manager Chile</t>
        </is>
      </c>
      <c r="D207" s="69" t="inlineStr">
        <is>
          <t>Arriendo Maq.</t>
        </is>
      </c>
      <c r="E207" s="69" t="inlineStr">
        <is>
          <t>nan</t>
        </is>
      </c>
      <c r="F207" s="70" t="inlineStr">
        <is>
          <t>Hola Gonzalo, sé que Trane de Chile S.A. trabaja con arriendo de equipos industriales. OpenCORE desarrolla software de control de flota y mantenimiento predictivo. ¿Tienen algún desafío en la gestión de equipos o disponibilidad de activos?</t>
        </is>
      </c>
      <c r="G207" s="69" t="n"/>
    </row>
    <row r="208" ht="54" customHeight="1" s="38">
      <c r="A208" s="69" t="inlineStr">
        <is>
          <t>Transagro S.A.</t>
        </is>
      </c>
      <c r="B208" s="69" t="inlineStr">
        <is>
          <t>Carlos</t>
        </is>
      </c>
      <c r="C208" s="69" t="inlineStr">
        <is>
          <t>Gerente Operaciones</t>
        </is>
      </c>
      <c r="D208" s="69" t="inlineStr">
        <is>
          <t>Arriendo Maq.</t>
        </is>
      </c>
      <c r="E208" s="69" t="inlineStr">
        <is>
          <t>nan</t>
        </is>
      </c>
      <c r="F208" s="70" t="inlineStr">
        <is>
          <t>Hola Carlos, sé que Transagro S.A. trabaja con arriendo de equipos industriales. OpenCORE desarrolla software de control de flota y mantenimiento predictivo. ¿Tienen algún desafío en la gestión de equipos o disponibilidad de activos?</t>
        </is>
      </c>
      <c r="G208" s="69" t="n"/>
    </row>
    <row r="209" ht="54" customHeight="1" s="38">
      <c r="A209" s="69" t="inlineStr">
        <is>
          <t>Transap S.A.</t>
        </is>
      </c>
      <c r="B209" s="69" t="inlineStr">
        <is>
          <t>Jorge</t>
        </is>
      </c>
      <c r="C209" s="69" t="inlineStr">
        <is>
          <t>Jefe de TI</t>
        </is>
      </c>
      <c r="D209" s="69" t="inlineStr">
        <is>
          <t>Logística</t>
        </is>
      </c>
      <c r="E209" s="69" t="inlineStr">
        <is>
          <t>nan</t>
        </is>
      </c>
      <c r="F209" s="70" t="inlineStr">
        <is>
          <t>Hola Jorge, vi que Transap S.A. opera en logística y transporte. En OpenCORE desarrollamos plataformas que conectan tracking, WMS y ERP en tiempo real. ¿Tienen desafíos con visibilidad de carga o trazabilidad operativa?</t>
        </is>
      </c>
      <c r="G209" s="69" t="n"/>
    </row>
    <row r="210" ht="54" customHeight="1" s="38">
      <c r="A210" s="69" t="inlineStr">
        <is>
          <t>Transelec S.A.</t>
        </is>
      </c>
      <c r="B210" s="69" t="inlineStr">
        <is>
          <t>Alejandro</t>
        </is>
      </c>
      <c r="C210" s="69" t="inlineStr">
        <is>
          <t>VP Innovación</t>
        </is>
      </c>
      <c r="D210" s="69" t="inlineStr">
        <is>
          <t>Energía</t>
        </is>
      </c>
      <c r="E210" s="69" t="inlineStr">
        <is>
          <t>nan</t>
        </is>
      </c>
      <c r="F210" s="70" t="inlineStr">
        <is>
          <t>Hola Alejandro, en OpenCORE trabajamos con empresas del sector energético en sistemas de monitoreo y gestión de activos eléctricos. ¿Transelec S.A. está evaluando soluciones para mejorar la trazabilidad de operaciones?</t>
        </is>
      </c>
      <c r="G210" s="69" t="n"/>
    </row>
    <row r="211" ht="54" customHeight="1" s="38">
      <c r="A211" s="69" t="inlineStr">
        <is>
          <t>Transformadores CH S.A.</t>
        </is>
      </c>
      <c r="B211" s="69" t="inlineStr">
        <is>
          <t>Rodrigo</t>
        </is>
      </c>
      <c r="C211" s="69" t="inlineStr">
        <is>
          <t>Gerente Operaciones</t>
        </is>
      </c>
      <c r="D211" s="69" t="inlineStr">
        <is>
          <t>Energía</t>
        </is>
      </c>
      <c r="E211" s="69" t="inlineStr">
        <is>
          <t>nan</t>
        </is>
      </c>
      <c r="F211" s="70" t="inlineStr">
        <is>
          <t>Hola Rodrigo, en OpenCORE trabajamos con empresas del sector energético en sistemas de monitoreo y gestión de activos eléctricos. ¿Transformadores CH S.A. está evaluando soluciones para mejorar la trazabilidad de operaciones?</t>
        </is>
      </c>
      <c r="G211" s="69" t="n"/>
    </row>
    <row r="212" ht="54" customHeight="1" s="38">
      <c r="A212" s="69" t="inlineStr">
        <is>
          <t>Transportes CVU</t>
        </is>
      </c>
      <c r="B212" s="69" t="inlineStr">
        <is>
          <t>Victor</t>
        </is>
      </c>
      <c r="C212" s="69" t="inlineStr">
        <is>
          <t>Gerente de Proyectos (IT Decision Maker</t>
        </is>
      </c>
      <c r="D212" s="69" t="inlineStr">
        <is>
          <t>Logística</t>
        </is>
      </c>
      <c r="E212" s="69" t="inlineStr">
        <is>
          <t>nan</t>
        </is>
      </c>
      <c r="F212" s="70" t="inlineStr">
        <is>
          <t>Hola Victor, vi que Transportes CVU opera en logística y transporte. En OpenCORE desarrollamos plataformas que conectan tracking, WMS y ERP en tiempo real. ¿Tienen desafíos con visibilidad de carga o trazabilidad operativa?</t>
        </is>
      </c>
      <c r="G212" s="69" t="n"/>
    </row>
    <row r="213" ht="54" customHeight="1" s="38">
      <c r="A213" s="69" t="inlineStr">
        <is>
          <t>Transworld Chile</t>
        </is>
      </c>
      <c r="B213" s="69" t="inlineStr">
        <is>
          <t>Williams</t>
        </is>
      </c>
      <c r="C213" s="69" t="inlineStr">
        <is>
          <t>Gerente de Tecnología</t>
        </is>
      </c>
      <c r="D213" s="69" t="inlineStr">
        <is>
          <t>TI/Telecom</t>
        </is>
      </c>
      <c r="E213" s="69" t="inlineStr">
        <is>
          <t>nan</t>
        </is>
      </c>
      <c r="F213" s="70" t="inlineStr">
        <is>
          <t>Hola Williams, en OpenCORE desarrollamos software industrial a medida para empresas que digitalizan procesos críticos. ¿Trabajan con clientes industriales donde podría haber sinergia con Transworld Chile?</t>
        </is>
      </c>
      <c r="G213" s="69" t="n"/>
    </row>
    <row r="214" ht="54" customHeight="1" s="38">
      <c r="A214" s="69" t="inlineStr">
        <is>
          <t>Trefimet S.A.</t>
        </is>
      </c>
      <c r="B214" s="69" t="inlineStr">
        <is>
          <t>Sergio</t>
        </is>
      </c>
      <c r="C214" s="69" t="inlineStr">
        <is>
          <t>Subgerente Mejora Continua y TI</t>
        </is>
      </c>
      <c r="D214" s="69" t="inlineStr">
        <is>
          <t>Minería</t>
        </is>
      </c>
      <c r="E214" s="69" t="inlineStr">
        <is>
          <t>nan</t>
        </is>
      </c>
      <c r="F214" s="70" t="inlineStr">
        <is>
          <t>Hola Sergio, trabajo con empresas del sector minero en digitalización de operaciones. En OpenCORE construimos sistemas de gestión de activos y trazabilidad para faenas. ¿Están evaluando mejorar el control de procesos críticos en Trefimet S.A.?</t>
        </is>
      </c>
      <c r="G214" s="69" t="n"/>
    </row>
    <row r="215" ht="54" customHeight="1" s="38">
      <c r="A215" s="69" t="inlineStr">
        <is>
          <t>Truly Nolen Chile S.A.</t>
        </is>
      </c>
      <c r="B215" s="69" t="inlineStr">
        <is>
          <t>Claudio</t>
        </is>
      </c>
      <c r="C215" s="69" t="inlineStr">
        <is>
          <t>Gerente de Operaciones</t>
        </is>
      </c>
      <c r="D215" s="69" t="inlineStr">
        <is>
          <t>Industrial</t>
        </is>
      </c>
      <c r="E215" s="69" t="inlineStr">
        <is>
          <t>nan</t>
        </is>
      </c>
      <c r="F215" s="70" t="inlineStr">
        <is>
          <t>Hola Claudio, en OpenCORE desarrollamos software para operaciones industriales: gestión de activos, trazabilidad y control operacional a medida. ¿Hay algún proceso en Truly Nolen Chile S.A. donde estén evaluando digitalizar o mejorar eficiencia?</t>
        </is>
      </c>
      <c r="G215" s="69" t="n"/>
    </row>
    <row r="216" ht="54" customHeight="1" s="38">
      <c r="A216" s="69" t="inlineStr">
        <is>
          <t>Tunning Ingeniería Ltda.</t>
        </is>
      </c>
      <c r="B216" s="69" t="inlineStr">
        <is>
          <t>Claudio</t>
        </is>
      </c>
      <c r="C216" s="69" t="inlineStr">
        <is>
          <t>Gerente General</t>
        </is>
      </c>
      <c r="D216" s="69" t="inlineStr">
        <is>
          <t>Automatiz.</t>
        </is>
      </c>
      <c r="E216" s="69" t="inlineStr">
        <is>
          <t>nan</t>
        </is>
      </c>
      <c r="F216" s="70" t="inlineStr">
        <is>
          <t>Hola Claudio, vi que Tunning Ingeniería Ltda. trabaja en automatización industrial. En OpenCORE desarrollamos capas de software sobre sistemas SCADA/PLC para análisis y gestión de datos operacionales. ¿Hay proyectos de digitalización en carpeta?</t>
        </is>
      </c>
      <c r="G216" s="69" t="n"/>
    </row>
    <row r="217" ht="54" customHeight="1" s="38">
      <c r="A217" s="69" t="inlineStr">
        <is>
          <t>Turbodal S.A.</t>
        </is>
      </c>
      <c r="B217" s="69" t="inlineStr">
        <is>
          <t>Juan</t>
        </is>
      </c>
      <c r="C217" s="69" t="inlineStr">
        <is>
          <t>Jefe de Operaciones TI</t>
        </is>
      </c>
      <c r="D217" s="69" t="inlineStr">
        <is>
          <t>Arriendo Maq.</t>
        </is>
      </c>
      <c r="E217" s="69" t="inlineStr">
        <is>
          <t>nan</t>
        </is>
      </c>
      <c r="F217" s="70" t="inlineStr">
        <is>
          <t>Hola Juan, sé que Turbodal S.A. trabaja con arriendo de equipos industriales. OpenCORE desarrolla software de control de flota y mantenimiento predictivo. ¿Tienen algún desafío en la gestión de equipos o disponibilidad de activos?</t>
        </is>
      </c>
      <c r="G217" s="69" t="n"/>
    </row>
    <row r="218" ht="54" customHeight="1" s="38">
      <c r="A218" s="69" t="inlineStr">
        <is>
          <t>Turner &amp; Townsend Ltda.</t>
        </is>
      </c>
      <c r="B218" s="69" t="inlineStr">
        <is>
          <t>Manuel</t>
        </is>
      </c>
      <c r="C218" s="69" t="inlineStr">
        <is>
          <t>Associate Director</t>
        </is>
      </c>
      <c r="D218" s="69" t="inlineStr">
        <is>
          <t>Servicios</t>
        </is>
      </c>
      <c r="E218" s="69" t="inlineStr">
        <is>
          <t>nan</t>
        </is>
      </c>
      <c r="F218" s="70" t="inlineStr">
        <is>
          <t>Hola Manuel, en OpenCORE desarrollamos software para empresas de servicios profesionales que buscan digitalizar la gestión de proyectos y clientes. ¿Hay algún proceso en Turner &amp; Townsend Ltda. que estén evaluando optimizar?</t>
        </is>
      </c>
      <c r="G218" s="69" t="n"/>
    </row>
    <row r="219" ht="54" customHeight="1" s="38">
      <c r="A219" s="69" t="inlineStr">
        <is>
          <t>Tyco Fire &amp; Security</t>
        </is>
      </c>
      <c r="B219" s="69" t="inlineStr">
        <is>
          <t>Leopoldo</t>
        </is>
      </c>
      <c r="C219" s="69" t="inlineStr">
        <is>
          <t>Business Unit Manager</t>
        </is>
      </c>
      <c r="D219" s="69" t="inlineStr">
        <is>
          <t>Minería</t>
        </is>
      </c>
      <c r="E219" s="69" t="inlineStr">
        <is>
          <t>nan</t>
        </is>
      </c>
      <c r="F219" s="70" t="inlineStr">
        <is>
          <t>Hola Leopoldo, trabajo con empresas del sector minero en digitalización de operaciones. En OpenCORE construimos sistemas de gestión de activos y trazabilidad para faenas. ¿Están evaluando mejorar el control de procesos críticos en Tyco Fire &amp; Security?</t>
        </is>
      </c>
      <c r="G219" s="69" t="n"/>
    </row>
    <row r="220" ht="54" customHeight="1" s="38">
      <c r="A220" s="69" t="inlineStr">
        <is>
          <t>Ulog -Ultramar Logistic</t>
        </is>
      </c>
      <c r="B220" s="69" t="inlineStr">
        <is>
          <t>Francisco</t>
        </is>
      </c>
      <c r="C220" s="69" t="inlineStr">
        <is>
          <t>Gerente TI</t>
        </is>
      </c>
      <c r="D220" s="69" t="inlineStr">
        <is>
          <t>Logística</t>
        </is>
      </c>
      <c r="E220" s="69" t="inlineStr">
        <is>
          <t>nan</t>
        </is>
      </c>
      <c r="F220" s="70" t="inlineStr">
        <is>
          <t>Hola Francisco, vi que Ulog -Ultramar Logistic opera en logística y transporte. En OpenCORE desarrollamos plataformas que conectan tracking, WMS y ERP en tiempo real. ¿Tienen desafíos con visibilidad de carga o trazabilidad operativa?</t>
        </is>
      </c>
      <c r="G220" s="69" t="n"/>
    </row>
    <row r="221" ht="54" customHeight="1" s="38">
      <c r="A221" s="69" t="inlineStr">
        <is>
          <t>V-Max Latam</t>
        </is>
      </c>
      <c r="B221" s="69" t="inlineStr">
        <is>
          <t>Javier</t>
        </is>
      </c>
      <c r="C221" s="69" t="inlineStr">
        <is>
          <t>Gerente General</t>
        </is>
      </c>
      <c r="D221" s="69" t="inlineStr">
        <is>
          <t>Logística</t>
        </is>
      </c>
      <c r="E221" s="69" t="inlineStr">
        <is>
          <t>nan</t>
        </is>
      </c>
      <c r="F221" s="70" t="inlineStr">
        <is>
          <t>Hola Javier, vi que V-Max Latam opera en logística y transporte. En OpenCORE desarrollamos plataformas que conectan tracking, WMS y ERP en tiempo real. ¿Tienen desafíos con visibilidad de carga o trazabilidad operativa?</t>
        </is>
      </c>
      <c r="G221" s="69" t="n"/>
    </row>
    <row r="222" ht="54" customHeight="1" s="38">
      <c r="A222" s="69" t="inlineStr">
        <is>
          <t>Vantaz Group</t>
        </is>
      </c>
      <c r="B222" s="69" t="inlineStr">
        <is>
          <t>Mauro</t>
        </is>
      </c>
      <c r="C222" s="69" t="inlineStr">
        <is>
          <t>Partner (Digital Lead</t>
        </is>
      </c>
      <c r="D222" s="69" t="inlineStr">
        <is>
          <t>Minería</t>
        </is>
      </c>
      <c r="E222" s="69" t="inlineStr">
        <is>
          <t>nan</t>
        </is>
      </c>
      <c r="F222" s="70" t="inlineStr">
        <is>
          <t>Hola Mauro, trabajo con empresas del sector minero en digitalización de operaciones. En OpenCORE construimos sistemas de gestión de activos y trazabilidad para faenas. ¿Están evaluando mejorar el control de procesos críticos en Vantaz Group?</t>
        </is>
      </c>
      <c r="G222" s="69" t="n"/>
    </row>
    <row r="223" ht="54" customHeight="1" s="38">
      <c r="A223" s="69" t="inlineStr">
        <is>
          <t>Vega Industries Chile</t>
        </is>
      </c>
      <c r="B223" s="69" t="inlineStr">
        <is>
          <t>Neftalí</t>
        </is>
      </c>
      <c r="C223" s="69" t="inlineStr">
        <is>
          <t>Sales Manager</t>
        </is>
      </c>
      <c r="D223" s="69" t="inlineStr">
        <is>
          <t>Minería</t>
        </is>
      </c>
      <c r="E223" s="69" t="inlineStr">
        <is>
          <t>nan</t>
        </is>
      </c>
      <c r="F223" s="70" t="inlineStr">
        <is>
          <t>Hola Neftalí, trabajo con empresas del sector minero en digitalización de operaciones. En OpenCORE construimos sistemas de gestión de activos y trazabilidad para faenas. ¿Están evaluando mejorar el control de procesos críticos en Vega Industries Chile?</t>
        </is>
      </c>
      <c r="G223" s="69" t="n"/>
    </row>
    <row r="224" ht="54" customHeight="1" s="38">
      <c r="A224" s="69" t="inlineStr">
        <is>
          <t>Vertex SpA</t>
        </is>
      </c>
      <c r="B224" s="69" t="inlineStr">
        <is>
          <t>Claudio</t>
        </is>
      </c>
      <c r="C224" s="69" t="inlineStr">
        <is>
          <t>Gerente de Operaciones y TI</t>
        </is>
      </c>
      <c r="D224" s="69" t="inlineStr">
        <is>
          <t>Industrial</t>
        </is>
      </c>
      <c r="E224" s="69" t="inlineStr">
        <is>
          <t>nan</t>
        </is>
      </c>
      <c r="F224" s="70" t="inlineStr">
        <is>
          <t>Hola Claudio, en OpenCORE desarrollamos software para operaciones industriales: gestión de activos, trazabilidad y control operacional a medida. ¿Hay algún proceso en Vertex SpA donde estén evaluando digitalizar o mejorar eficiencia?</t>
        </is>
      </c>
      <c r="G224" s="69" t="n"/>
    </row>
    <row r="225" ht="54" customHeight="1" s="38">
      <c r="A225" s="69" t="inlineStr">
        <is>
          <t>VialCorp</t>
        </is>
      </c>
      <c r="B225" s="69" t="inlineStr">
        <is>
          <t>Rodrigo</t>
        </is>
      </c>
      <c r="C225" s="69" t="inlineStr">
        <is>
          <t>Jefe de IT</t>
        </is>
      </c>
      <c r="D225" s="69" t="inlineStr">
        <is>
          <t>Industrial</t>
        </is>
      </c>
      <c r="E225" s="69" t="inlineStr">
        <is>
          <t>nan</t>
        </is>
      </c>
      <c r="F225" s="70" t="inlineStr">
        <is>
          <t>Hola Rodrigo, en OpenCORE desarrollamos software para operaciones industriales: gestión de activos, trazabilidad y control operacional a medida. ¿Hay algún proceso en VialCorp donde estén evaluando digitalizar o mejorar eficiencia?</t>
        </is>
      </c>
      <c r="G225" s="69" t="n"/>
    </row>
    <row r="226" ht="54" customHeight="1" s="38">
      <c r="A226" s="69" t="inlineStr">
        <is>
          <t>Vigaflow</t>
        </is>
      </c>
      <c r="B226" s="69" t="inlineStr">
        <is>
          <t>Rodrigo</t>
        </is>
      </c>
      <c r="C226" s="69" t="inlineStr">
        <is>
          <t>Jefe de TI</t>
        </is>
      </c>
      <c r="D226" s="69" t="inlineStr">
        <is>
          <t>Industrial</t>
        </is>
      </c>
      <c r="E226" s="69" t="inlineStr">
        <is>
          <t>nan</t>
        </is>
      </c>
      <c r="F226" s="70" t="inlineStr">
        <is>
          <t>Hola Rodrigo, en OpenCORE desarrollamos software para operaciones industriales: gestión de activos, trazabilidad y control operacional a medida. ¿Hay algún proceso en Vigaflow donde estén evaluando digitalizar o mejorar eficiencia?</t>
        </is>
      </c>
      <c r="G226" s="69" t="n"/>
    </row>
    <row r="227" ht="54" customHeight="1" s="38">
      <c r="A227" s="69" t="inlineStr">
        <is>
          <t>Vignola S.A.</t>
        </is>
      </c>
      <c r="B227" s="69" t="inlineStr">
        <is>
          <t>Pedro</t>
        </is>
      </c>
      <c r="C227" s="69" t="inlineStr">
        <is>
          <t>Ingeniero RPA/IA</t>
        </is>
      </c>
      <c r="D227" s="69" t="inlineStr">
        <is>
          <t>Repuestos</t>
        </is>
      </c>
      <c r="E227" s="69" t="inlineStr">
        <is>
          <t>nan</t>
        </is>
      </c>
      <c r="F227" s="70" t="inlineStr">
        <is>
          <t>Hola Pedro, en OpenCORE construimos software para empresas de repuestos y mantención: control de stock, trazabilidad de fallas y planificación de mantenimiento. ¿Tienen algún dolor en gestión de inventario o tiempo de respuesta?</t>
        </is>
      </c>
      <c r="G227" s="69" t="n"/>
    </row>
    <row r="228" ht="54" customHeight="1" s="38">
      <c r="A228" s="69" t="inlineStr">
        <is>
          <t>WSP Chile</t>
        </is>
      </c>
      <c r="B228" s="69" t="inlineStr">
        <is>
          <t>Marcos</t>
        </is>
      </c>
      <c r="C228" s="69" t="inlineStr">
        <is>
          <t>Director TI</t>
        </is>
      </c>
      <c r="D228" s="69" t="inlineStr">
        <is>
          <t>Industrial</t>
        </is>
      </c>
      <c r="E228" s="69" t="inlineStr">
        <is>
          <t>nan</t>
        </is>
      </c>
      <c r="F228" s="70" t="inlineStr">
        <is>
          <t>Hola Marcos, en OpenCORE desarrollamos software para operaciones industriales: gestión de activos, trazabilidad y control operacional a medida. ¿Hay algún proceso en WSP Chile donde estén evaluando digitalizar o mejorar eficiencia?</t>
        </is>
      </c>
      <c r="G228" s="69" t="n"/>
    </row>
    <row r="229" ht="54" customHeight="1" s="38">
      <c r="A229" s="69" t="inlineStr">
        <is>
          <t>Widefense S.A.</t>
        </is>
      </c>
      <c r="B229" s="69" t="inlineStr">
        <is>
          <t>Jose</t>
        </is>
      </c>
      <c r="C229" s="69" t="inlineStr">
        <is>
          <t>Gte Tecnología</t>
        </is>
      </c>
      <c r="D229" s="69" t="inlineStr">
        <is>
          <t>Seguridad/EPP</t>
        </is>
      </c>
      <c r="E229" s="69" t="inlineStr">
        <is>
          <t>nan</t>
        </is>
      </c>
      <c r="F229" s="70" t="inlineStr">
        <is>
          <t>Hola Jose, trabajo con distribuidores de EPP e industria química. En OpenCORE desarrollamos plataformas B2B para inventario, pedidos y trazabilidad. ¿Widefense S.A. tiene desafíos en gestión de inventario o canal de ventas B2B?</t>
        </is>
      </c>
      <c r="G229" s="69" t="n"/>
    </row>
    <row r="230" ht="54" customHeight="1" s="38">
      <c r="A230" s="69" t="inlineStr">
        <is>
          <t>WorkMate</t>
        </is>
      </c>
      <c r="B230" s="69" t="inlineStr">
        <is>
          <t>Claudio</t>
        </is>
      </c>
      <c r="C230" s="69" t="inlineStr">
        <is>
          <t>IT Manager</t>
        </is>
      </c>
      <c r="D230" s="69" t="inlineStr">
        <is>
          <t>Industrial</t>
        </is>
      </c>
      <c r="E230" s="69" t="inlineStr">
        <is>
          <t>nan</t>
        </is>
      </c>
      <c r="F230" s="70" t="inlineStr">
        <is>
          <t>Hola Claudio, en OpenCORE desarrollamos software para operaciones industriales: gestión de activos, trazabilidad y control operacional a medida. ¿Hay algún proceso en WorkMate donde estén evaluando digitalizar o mejorar eficiencia?</t>
        </is>
      </c>
      <c r="G230" s="69" t="n"/>
    </row>
    <row r="231" ht="54" customHeight="1" s="38">
      <c r="A231" s="69" t="inlineStr">
        <is>
          <t>Worley</t>
        </is>
      </c>
      <c r="B231" s="69" t="inlineStr">
        <is>
          <t>Jorge</t>
        </is>
      </c>
      <c r="C231" s="69" t="inlineStr">
        <is>
          <t>Digital Manager</t>
        </is>
      </c>
      <c r="D231" s="69" t="inlineStr">
        <is>
          <t>Servicios</t>
        </is>
      </c>
      <c r="E231" s="69" t="inlineStr">
        <is>
          <t>nan</t>
        </is>
      </c>
      <c r="F231" s="70" t="inlineStr">
        <is>
          <t>Hola Jorge, en OpenCORE desarrollamos software para empresas de servicios profesionales que buscan digitalizar la gestión de proyectos y clientes. ¿Hay algún proceso en Worley que estén evaluando optimizar?</t>
        </is>
      </c>
      <c r="G231" s="69" t="n"/>
    </row>
    <row r="232" ht="54" customHeight="1" s="38">
      <c r="A232" s="69" t="inlineStr">
        <is>
          <t>Xinerlink</t>
        </is>
      </c>
      <c r="B232" s="69" t="inlineStr">
        <is>
          <t>Ricardo</t>
        </is>
      </c>
      <c r="C232" s="69" t="inlineStr">
        <is>
          <t>Gerente TI</t>
        </is>
      </c>
      <c r="D232" s="69" t="inlineStr">
        <is>
          <t>Industrial</t>
        </is>
      </c>
      <c r="E232" s="69" t="inlineStr">
        <is>
          <t>nan</t>
        </is>
      </c>
      <c r="F232" s="70" t="inlineStr">
        <is>
          <t>Hola Ricardo, en OpenCORE desarrollamos software para operaciones industriales: gestión de activos, trazabilidad y control operacional a medida. ¿Hay algún proceso en Xinerlink donde estén evaluando digitalizar o mejorar eficiencia?</t>
        </is>
      </c>
      <c r="G232" s="69" t="n"/>
    </row>
    <row r="233" ht="54" customHeight="1" s="38">
      <c r="A233" s="69" t="inlineStr">
        <is>
          <t>Zitrón Chile SpA</t>
        </is>
      </c>
      <c r="B233" s="69" t="inlineStr">
        <is>
          <t>Nelson</t>
        </is>
      </c>
      <c r="C233" s="69" t="inlineStr">
        <is>
          <t>Subgerente TI</t>
        </is>
      </c>
      <c r="D233" s="69" t="inlineStr">
        <is>
          <t>Industrial</t>
        </is>
      </c>
      <c r="E233" s="69" t="inlineStr">
        <is>
          <t>nan</t>
        </is>
      </c>
      <c r="F233" s="70" t="inlineStr">
        <is>
          <t>Hola Nelson, en OpenCORE desarrollamos software para operaciones industriales: gestión de activos, trazabilidad y control operacional a medida. ¿Hay algún proceso en Zitrón Chile SpA donde estén evaluando digitalizar o mejorar eficiencia?</t>
        </is>
      </c>
      <c r="G233" s="69" t="n"/>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B52"/>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B9" activeCellId="0" sqref="B9"/>
    </sheetView>
  </sheetViews>
  <sheetFormatPr baseColWidth="8" defaultColWidth="8.54296875" defaultRowHeight="15" customHeight="0" zeroHeight="0" outlineLevelRow="0"/>
  <cols>
    <col width="14" customWidth="1" style="37" min="1" max="1"/>
    <col width="90" customWidth="1" style="37" min="2" max="2"/>
  </cols>
  <sheetData>
    <row r="1" ht="18" customHeight="1" s="38">
      <c r="A1" s="68" t="inlineStr">
        <is>
          <t>Fecha</t>
        </is>
      </c>
      <c r="B1" s="68" t="inlineStr">
        <is>
          <t>Comentario</t>
        </is>
      </c>
    </row>
    <row r="2" ht="18" customHeight="1" s="38">
      <c r="A2" s="71" t="inlineStr">
        <is>
          <t>17/03/2026</t>
        </is>
      </c>
      <c r="B2" s="71" t="inlineStr">
        <is>
          <t>Probando la funcionalidad</t>
        </is>
      </c>
    </row>
    <row r="3" ht="18" customHeight="1" s="38">
      <c r="A3" s="72" t="n"/>
      <c r="B3" s="69" t="n"/>
    </row>
    <row r="4" ht="18" customHeight="1" s="38">
      <c r="A4" s="72" t="n"/>
      <c r="B4" s="69" t="n"/>
    </row>
    <row r="5" ht="18" customHeight="1" s="38">
      <c r="A5" s="72" t="n"/>
      <c r="B5" s="69" t="n"/>
    </row>
    <row r="6" ht="18" customHeight="1" s="38">
      <c r="A6" s="72" t="n"/>
      <c r="B6" s="69" t="n"/>
    </row>
    <row r="7" ht="18" customHeight="1" s="38">
      <c r="A7" s="72" t="n"/>
      <c r="B7" s="69" t="n"/>
    </row>
    <row r="8" ht="18" customHeight="1" s="38">
      <c r="A8" s="72" t="n"/>
      <c r="B8" s="69" t="n"/>
    </row>
    <row r="9" ht="18" customHeight="1" s="38">
      <c r="A9" s="72" t="n"/>
      <c r="B9" s="69" t="n"/>
    </row>
    <row r="10" ht="18" customHeight="1" s="38">
      <c r="A10" s="72" t="n"/>
      <c r="B10" s="69" t="n"/>
    </row>
    <row r="11" ht="18" customHeight="1" s="38">
      <c r="A11" s="72" t="n"/>
      <c r="B11" s="69" t="n"/>
    </row>
    <row r="12" ht="18" customHeight="1" s="38">
      <c r="A12" s="72" t="n"/>
      <c r="B12" s="69" t="n"/>
    </row>
    <row r="13" ht="18" customHeight="1" s="38">
      <c r="A13" s="72" t="n"/>
      <c r="B13" s="69" t="n"/>
    </row>
    <row r="14" ht="18" customHeight="1" s="38">
      <c r="A14" s="72" t="n"/>
      <c r="B14" s="69" t="n"/>
    </row>
    <row r="15" ht="18" customHeight="1" s="38">
      <c r="A15" s="72" t="n"/>
      <c r="B15" s="69" t="n"/>
    </row>
    <row r="16" ht="18" customHeight="1" s="38">
      <c r="A16" s="72" t="n"/>
      <c r="B16" s="69" t="n"/>
    </row>
    <row r="17" ht="18" customHeight="1" s="38">
      <c r="A17" s="72" t="n"/>
      <c r="B17" s="69" t="n"/>
    </row>
    <row r="18" ht="18" customHeight="1" s="38">
      <c r="A18" s="72" t="n"/>
      <c r="B18" s="69" t="n"/>
    </row>
    <row r="19" ht="18" customHeight="1" s="38">
      <c r="A19" s="72" t="n"/>
      <c r="B19" s="69" t="n"/>
    </row>
    <row r="20" ht="18" customHeight="1" s="38">
      <c r="A20" s="72" t="n"/>
      <c r="B20" s="69" t="n"/>
    </row>
    <row r="21" ht="18" customHeight="1" s="38">
      <c r="A21" s="72" t="n"/>
      <c r="B21" s="69" t="n"/>
    </row>
    <row r="22" ht="18" customHeight="1" s="38">
      <c r="A22" s="72" t="n"/>
      <c r="B22" s="69" t="n"/>
    </row>
    <row r="23" ht="18" customHeight="1" s="38">
      <c r="A23" s="72" t="n"/>
      <c r="B23" s="69" t="n"/>
    </row>
    <row r="24" ht="18" customHeight="1" s="38">
      <c r="A24" s="72" t="n"/>
      <c r="B24" s="69" t="n"/>
    </row>
    <row r="25" ht="18" customHeight="1" s="38">
      <c r="A25" s="72" t="n"/>
      <c r="B25" s="69" t="n"/>
    </row>
    <row r="26" ht="18" customHeight="1" s="38">
      <c r="A26" s="72" t="n"/>
      <c r="B26" s="69" t="n"/>
    </row>
    <row r="27" ht="18" customHeight="1" s="38">
      <c r="A27" s="72" t="n"/>
      <c r="B27" s="69" t="n"/>
    </row>
    <row r="28" ht="18" customHeight="1" s="38">
      <c r="A28" s="72" t="n"/>
      <c r="B28" s="69" t="n"/>
    </row>
    <row r="29" ht="18" customHeight="1" s="38">
      <c r="A29" s="72" t="n"/>
      <c r="B29" s="69" t="n"/>
    </row>
    <row r="30" ht="18" customHeight="1" s="38">
      <c r="A30" s="72" t="n"/>
      <c r="B30" s="69" t="n"/>
    </row>
    <row r="31" ht="18" customHeight="1" s="38">
      <c r="A31" s="72" t="n"/>
      <c r="B31" s="69" t="n"/>
    </row>
    <row r="32" ht="18" customHeight="1" s="38">
      <c r="A32" s="72" t="n"/>
      <c r="B32" s="69" t="n"/>
    </row>
    <row r="33" ht="18" customHeight="1" s="38">
      <c r="A33" s="72" t="n"/>
      <c r="B33" s="69" t="n"/>
    </row>
    <row r="34" ht="18" customHeight="1" s="38">
      <c r="A34" s="72" t="n"/>
      <c r="B34" s="69" t="n"/>
    </row>
    <row r="35" ht="18" customHeight="1" s="38">
      <c r="A35" s="72" t="n"/>
      <c r="B35" s="69" t="n"/>
    </row>
    <row r="36" ht="18" customHeight="1" s="38">
      <c r="A36" s="72" t="n"/>
      <c r="B36" s="69" t="n"/>
    </row>
    <row r="37" ht="18" customHeight="1" s="38">
      <c r="A37" s="72" t="n"/>
      <c r="B37" s="69" t="n"/>
    </row>
    <row r="38" ht="18" customHeight="1" s="38">
      <c r="A38" s="72" t="n"/>
      <c r="B38" s="69" t="n"/>
    </row>
    <row r="39" ht="18" customHeight="1" s="38">
      <c r="A39" s="72" t="n"/>
      <c r="B39" s="69" t="n"/>
    </row>
    <row r="40" ht="18" customHeight="1" s="38">
      <c r="A40" s="72" t="n"/>
      <c r="B40" s="69" t="n"/>
    </row>
    <row r="41" ht="18" customHeight="1" s="38">
      <c r="A41" s="72" t="n"/>
      <c r="B41" s="69" t="n"/>
    </row>
    <row r="42" ht="18" customHeight="1" s="38">
      <c r="A42" s="72" t="n"/>
      <c r="B42" s="69" t="n"/>
    </row>
    <row r="43" ht="18" customHeight="1" s="38">
      <c r="A43" s="72" t="n"/>
      <c r="B43" s="69" t="n"/>
    </row>
    <row r="44" ht="18" customHeight="1" s="38">
      <c r="A44" s="72" t="n"/>
      <c r="B44" s="69" t="n"/>
    </row>
    <row r="45" ht="18" customHeight="1" s="38">
      <c r="A45" s="72" t="n"/>
      <c r="B45" s="69" t="n"/>
    </row>
    <row r="46" ht="18" customHeight="1" s="38">
      <c r="A46" s="72" t="n"/>
      <c r="B46" s="69" t="n"/>
    </row>
    <row r="47" ht="18" customHeight="1" s="38">
      <c r="A47" s="72" t="n"/>
      <c r="B47" s="69" t="n"/>
    </row>
    <row r="48" ht="18" customHeight="1" s="38">
      <c r="A48" s="72" t="n"/>
      <c r="B48" s="69" t="n"/>
    </row>
    <row r="49" ht="18" customHeight="1" s="38">
      <c r="A49" s="72" t="n"/>
      <c r="B49" s="69" t="n"/>
    </row>
    <row r="50" ht="18" customHeight="1" s="38">
      <c r="A50" s="72" t="n"/>
      <c r="B50" s="69" t="n"/>
    </row>
    <row r="51" ht="18" customHeight="1" s="38">
      <c r="A51" s="72" t="n"/>
      <c r="B51" s="69" t="n"/>
    </row>
    <row r="52" ht="18" customHeight="1" s="38">
      <c r="A52" s="72" t="n"/>
      <c r="B52" s="69" t="n"/>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es-CL</dc:language>
  <dcterms:created xmlns:dcterms="http://purl.org/dc/terms/" xmlns:xsi="http://www.w3.org/2001/XMLSchema-instance" xsi:type="dcterms:W3CDTF">2026-03-17T20:14:10Z</dcterms:created>
  <dcterms:modified xmlns:dcterms="http://purl.org/dc/terms/" xmlns:xsi="http://www.w3.org/2001/XMLSchema-instance" xsi:type="dcterms:W3CDTF">2026-03-17T20:27:19Z</dcterms:modified>
  <cp:revision>1</cp:revision>
</cp:coreProperties>
</file>